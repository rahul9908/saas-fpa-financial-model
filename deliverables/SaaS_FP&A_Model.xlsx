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a6c7a968a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da329d6f7d74482"/>
    <x:sheet xmlns:r="http://schemas.openxmlformats.org/officeDocument/2006/relationships" name="Assumptions" sheetId="2" r:id="R0896fcbfafce4c3d"/>
    <x:sheet xmlns:r="http://schemas.openxmlformats.org/officeDocument/2006/relationships" name="Revenue Model" sheetId="3" r:id="R59e81eb768574c49"/>
    <x:sheet xmlns:r="http://schemas.openxmlformats.org/officeDocument/2006/relationships" name="Expense Model" sheetId="4" r:id="Rea3f1c1d08704713"/>
    <x:sheet xmlns:r="http://schemas.openxmlformats.org/officeDocument/2006/relationships" name="Headcount" sheetId="5" r:id="R9bb0232fd8eb4735"/>
    <x:sheet xmlns:r="http://schemas.openxmlformats.org/officeDocument/2006/relationships" name="BvA" sheetId="6" r:id="R511f20d61c984cd8"/>
    <x:sheet xmlns:r="http://schemas.openxmlformats.org/officeDocument/2006/relationships" name="Cash Flow" sheetId="7" r:id="R13e4d475b96e4549"/>
    <x:sheet xmlns:r="http://schemas.openxmlformats.org/officeDocument/2006/relationships" name="Scenarios" sheetId="8" r:id="Rad2f2057c51a4d55"/>
    <x:sheet xmlns:r="http://schemas.openxmlformats.org/officeDocument/2006/relationships" name="Sensitivity" sheetId="9" r:id="Ra0f8b4714d0e4239"/>
    <x:sheet xmlns:r="http://schemas.openxmlformats.org/officeDocument/2006/relationships" name="Actuals Data" sheetId="10" r:id="Rf3d1415327214f9b"/>
    <x:sheet xmlns:r="http://schemas.openxmlformats.org/officeDocument/2006/relationships" name="Subscriptions" sheetId="11" r:id="R40cf904f20af4801"/>
    <x:sheet xmlns:r="http://schemas.openxmlformats.org/officeDocument/2006/relationships" name="Employees" sheetId="12" r:id="R44a6e441110a45ae"/>
    <x:sheet xmlns:r="http://schemas.openxmlformats.org/officeDocument/2006/relationships" name="Opex Data" sheetId="13" r:id="R3ec5fc0170c5452a"/>
    <x:sheet xmlns:r="http://schemas.openxmlformats.org/officeDocument/2006/relationships" name="Audit" sheetId="14" r:id="Rfee65ba97ae544a5"/>
    <x:sheet xmlns:r="http://schemas.openxmlformats.org/officeDocument/2006/relationships" name="ReadMe" sheetId="15" r:id="Ra443c4066b1b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%;[Red](0.0%);-"/>
    <x:numFmt numFmtId="202" formatCode="0.00x"/>
    <x:numFmt numFmtId="203" formatCode="mmm-yy"/>
    <x:numFmt numFmtId="204" formatCode="$#,##0;[Red]($#,##0);-"/>
    <x:numFmt numFmtId="205" formatCode="0.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0"/>
      <x:color rgb="FF667085"/>
      <x:name val="Carlito"/>
    </x:font>
    <x:font>
      <x:b/>
      <x:sz val="11"/>
      <x:color rgb="FF7F6000"/>
      <x:name val="Carlito"/>
    </x:font>
    <x:font>
      <x:b/>
      <x:sz val="10"/>
      <x:color rgb="FFFFFFFF"/>
      <x:name val="Aptos"/>
    </x:font>
    <x:font>
      <x:i/>
      <x:sz val="10"/>
      <x:color rgb="FF667085"/>
      <x:name val="Aptos"/>
    </x:font>
    <x:font>
      <x:sz val="10"/>
      <x:name val="Aptos"/>
    </x:font>
    <x:font>
      <x:b/>
      <x:sz val="10"/>
      <x:color rgb="FF7F6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6324F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201" fontId="4" fillId="4" borderId="2" xfId="0" applyNumberFormat="1" applyFont="1" applyFill="1" applyBorder="1"/>
    <x:xf numFmtId="202" fontId="4" fillId="4" borderId="2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/>
    <x:xf numFmtId="201" fontId="8" fillId="4" borderId="2" xfId="0" applyNumberFormat="1" applyFont="1" applyFill="1" applyBorder="1"/>
    <x:xf numFmtId="202" fontId="8" fillId="4" borderId="2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8" fillId="4" borderId="2" xfId="0" applyNumberFormat="1" applyFont="1" applyFill="1" applyBorder="1" applyAlignment="1">
      <x:alignment vertical="center"/>
    </x:xf>
    <x:xf numFmtId="201" fontId="8" fillId="4" borderId="2" xfId="0" applyNumberFormat="1" applyFont="1" applyFill="1" applyBorder="1" applyAlignment="1">
      <x:alignment vertical="center"/>
    </x:xf>
    <x:xf numFmtId="202" fontId="8" fillId="4" borderId="2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/>
    <x:xf numFmtId="205" fontId="7" fillId="0" borderId="0" xfId="0" applyNumberFormat="1" applyFont="1" applyFill="1" applyBorder="1" applyAlignment="1">
      <x:alignment vertical="center"/>
    </x:xf>
    <x:xf numFmtId="201" fontId="5" fillId="2" borderId="1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47043a85d4565" /><Relationship Type="http://schemas.openxmlformats.org/officeDocument/2006/relationships/theme" Target="/xl/theme/theme1.xml" Id="Rfab689a0b0bc4b14" /><Relationship Type="http://schemas.microsoft.com/office/2022/11/relationships/FeaturePropertyBag" Target="/xl/featurePropertyBag/featurePropertyBag.xml" Id="Rda6d2be1fed84253" /><Relationship Type="http://schemas.openxmlformats.org/officeDocument/2006/relationships/sharedStrings" Target="/xl/sharedStrings.xml" Id="R3bcfb029229444f8" /><Relationship Type="http://schemas.openxmlformats.org/officeDocument/2006/relationships/worksheet" Target="/xl/worksheets/sheet1.xml" Id="Rcda329d6f7d74482" /><Relationship Type="http://schemas.openxmlformats.org/officeDocument/2006/relationships/worksheet" Target="/xl/worksheets/sheet2.xml" Id="R0896fcbfafce4c3d" /><Relationship Type="http://schemas.openxmlformats.org/officeDocument/2006/relationships/worksheet" Target="/xl/worksheets/sheet3.xml" Id="R59e81eb768574c49" /><Relationship Type="http://schemas.openxmlformats.org/officeDocument/2006/relationships/worksheet" Target="/xl/worksheets/sheet4.xml" Id="Rea3f1c1d08704713" /><Relationship Type="http://schemas.openxmlformats.org/officeDocument/2006/relationships/worksheet" Target="/xl/worksheets/sheet5.xml" Id="R9bb0232fd8eb4735" /><Relationship Type="http://schemas.openxmlformats.org/officeDocument/2006/relationships/worksheet" Target="/xl/worksheets/sheet6.xml" Id="R511f20d61c984cd8" /><Relationship Type="http://schemas.openxmlformats.org/officeDocument/2006/relationships/worksheet" Target="/xl/worksheets/sheet7.xml" Id="R13e4d475b96e4549" /><Relationship Type="http://schemas.openxmlformats.org/officeDocument/2006/relationships/worksheet" Target="/xl/worksheets/sheet8.xml" Id="Rad2f2057c51a4d55" /><Relationship Type="http://schemas.openxmlformats.org/officeDocument/2006/relationships/worksheet" Target="/xl/worksheets/sheet9.xml" Id="Ra0f8b4714d0e4239" /><Relationship Type="http://schemas.openxmlformats.org/officeDocument/2006/relationships/worksheet" Target="/xl/worksheets/sheet10.xml" Id="Rf3d1415327214f9b" /><Relationship Type="http://schemas.openxmlformats.org/officeDocument/2006/relationships/worksheet" Target="/xl/worksheets/sheet11.xml" Id="R40cf904f20af4801" /><Relationship Type="http://schemas.openxmlformats.org/officeDocument/2006/relationships/worksheet" Target="/xl/worksheets/sheet12.xml" Id="R44a6e441110a45ae" /><Relationship Type="http://schemas.openxmlformats.org/officeDocument/2006/relationships/worksheet" Target="/xl/worksheets/sheet13.xml" Id="R3ec5fc0170c5452a" /><Relationship Type="http://schemas.openxmlformats.org/officeDocument/2006/relationships/worksheet" Target="/xl/worksheets/sheet14.xml" Id="Rfee65ba97ae544a5" /><Relationship Type="http://schemas.openxmlformats.org/officeDocument/2006/relationships/worksheet" Target="/xl/worksheets/sheet15.xml" Id="Ra443c4066b1b46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0bf83ce64746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MRR and ending cash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MRR</c:v>
          </c:tx>
          <c:marker>
            <c:symbol val="none"/>
          </c:marker>
          <c:cat>
            <c:strRef>
              <c:f>'Executive Summary'!$A$14:$A$25</c:f>
              <c:strCache>
                <c:ptCount val="0"/>
              </c:strCache>
            </c:strRef>
          </c:cat>
          <c:val>
            <c:numRef>
              <c:f>'Executive Summary'!$B$14:$B$25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Ending cash</c:v>
          </c:tx>
          <c:marker>
            <c:symbol val="none"/>
          </c:marker>
          <c:cat>
            <c:strRef>
              <c:f>'Executive Summary'!$A$14:$A$25</c:f>
              <c:strCache>
                <c:ptCount val="0"/>
              </c:strCache>
            </c:strRef>
          </c:cat>
          <c:val>
            <c:numRef>
              <c:f>'Executive Summary'!$C$14:$C$25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0bf83ce647469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nancialsTable" displayName="FinancialsTable" ref="A1:Q49" headerRowCount="1" totalsRowCount="0" totalsRowShown="0">
  <x:tableColumns count="17">
    <x:tableColumn id="1" name="month"/>
    <x:tableColumn id="2" name="budget_revenue"/>
    <x:tableColumn id="3" name="budget_cogs"/>
    <x:tableColumn id="4" name="budget_payroll"/>
    <x:tableColumn id="5" name="budget_opex"/>
    <x:tableColumn id="6" name="actual_revenue"/>
    <x:tableColumn id="7" name="actual_cogs"/>
    <x:tableColumn id="8" name="actual_payroll"/>
    <x:tableColumn id="9" name="actual_opex"/>
    <x:tableColumn id="10" name="forecast_revenue"/>
    <x:tableColumn id="11" name="forecast_cogs"/>
    <x:tableColumn id="12" name="forecast_payroll"/>
    <x:tableColumn id="13" name="forecast_opex"/>
    <x:tableColumn id="14" name="starting_cash"/>
    <x:tableColumn id="15" name="capex"/>
    <x:tableColumn id="16" name="financing"/>
    <x:tableColumn id="17" name="ending_cas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scriptionsTable" displayName="SubscriptionsTable" ref="A1:I145" headerRowCount="1" totalsRowCount="0" totalsRowShown="0">
  <x:tableColumns count="9">
    <x:tableColumn id="1" name="month"/>
    <x:tableColumn id="2" name="plan"/>
    <x:tableColumn id="3" name="starting_customers"/>
    <x:tableColumn id="4" name="new_customers"/>
    <x:tableColumn id="5" name="churned_customers"/>
    <x:tableColumn id="6" name="ending_customers"/>
    <x:tableColumn id="7" name="price_per_month"/>
    <x:tableColumn id="8" name="mrr"/>
    <x:tableColumn id="9" name="is_foreca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ployeesTable" displayName="EmployeesTable" ref="A1:F53" headerRowCount="1" totalsRowCount="0" totalsRowShown="0">
  <x:tableColumns count="6">
    <x:tableColumn id="1" name="employee_id"/>
    <x:tableColumn id="2" name="department"/>
    <x:tableColumn id="3" name="planned_hire_date"/>
    <x:tableColumn id="4" name="actual_hire_date"/>
    <x:tableColumn id="5" name="annual_salary"/>
    <x:tableColumn id="6" name="benefits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xTable" displayName="OpexTable" ref="A1:E241" headerRowCount="1" totalsRowCount="0" totalsRowShown="0">
  <x:tableColumns count="5">
    <x:tableColumn id="1" name="month"/>
    <x:tableColumn id="2" name="category"/>
    <x:tableColumn id="3" name="budget"/>
    <x:tableColumn id="4" name="actual"/>
    <x:tableColumn id="5" name="cost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3a0ebc0c404d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e86ddd50b7d142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0ec8cb68195c4e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.xml" Id="Rdd045eb578c845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3d0d93252fa941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4" customHeight="1">
      <x:c r="A1" s="23" t="str">
        <x:v>SaaS FP&amp;A executive summary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" customHeight="1">
      <x:c r="A2" s="29" t="str">
        <x:v>Actuals through June 2026; forecast through December 2026 | Selected case linked from Assumptions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26" t="str">
        <x:v>KPI</x:v>
      </x:c>
      <x:c r="B4" s="26" t="str">
        <x:v>Value</x:v>
      </x:c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>
      <x:c r="A5" s="30" t="str">
        <x:v>Selected scenario</x:v>
      </x:c>
      <x:c r="B5" s="30" t="str">
        <x:f>Assumptions!B4</x:f>
        <x:v>Base</x:v>
      </x:c>
      <x:c r="C5" s="30"/>
      <x:c r="D5" s="30"/>
      <x:c r="E5" s="30"/>
      <x:c r="F5" s="30"/>
      <x:c r="G5" s="30"/>
      <x:c r="H5" s="30"/>
      <x:c r="I5" s="30"/>
      <x:c r="J5" s="30"/>
      <x:c r="K5" s="30"/>
      <x:c r="L5" s="30"/>
    </x:row>
    <x:row r="6">
      <x:c r="A6" s="30" t="str">
        <x:v>Jun-26 MRR</x:v>
      </x:c>
      <x:c r="B6" s="31" t="n">
        <x:f>'Revenue Model'!F46</x:f>
        <x:v>430357.31600325066</x:v>
      </x:c>
      <x:c r="C6" s="30"/>
      <x:c r="D6" s="30"/>
      <x:c r="E6" s="30"/>
      <x:c r="F6" s="30"/>
      <x:c r="G6" s="30"/>
      <x:c r="H6" s="30"/>
      <x:c r="I6" s="30"/>
      <x:c r="J6" s="30"/>
      <x:c r="K6" s="30"/>
      <x:c r="L6" s="30"/>
    </x:row>
    <x:row r="7">
      <x:c r="A7" s="30" t="str">
        <x:v>Jun-26 ARR</x:v>
      </x:c>
      <x:c r="B7" s="31" t="n">
        <x:f>'Revenue Model'!G46</x:f>
        <x:v>5164287.792039008</x:v>
      </x:c>
      <x:c r="C7" s="30"/>
      <x:c r="D7" s="30"/>
      <x:c r="E7" s="30"/>
      <x:c r="F7" s="30"/>
      <x:c r="G7" s="30"/>
      <x:c r="H7" s="30"/>
      <x:c r="I7" s="30"/>
      <x:c r="J7" s="30"/>
      <x:c r="K7" s="30"/>
      <x:c r="L7" s="30"/>
    </x:row>
    <x:row r="8">
      <x:c r="A8" s="30" t="str">
        <x:v>YTD revenue variance</x:v>
      </x:c>
      <x:c r="B8" s="31" t="n">
        <x:f>SUM(BvA!D41:D46)</x:f>
        <x:v>58993.88909832144</x:v>
      </x:c>
      <x:c r="C8" s="30"/>
      <x:c r="D8" s="30"/>
      <x:c r="E8" s="30"/>
      <x:c r="F8" s="30"/>
      <x:c r="G8" s="30"/>
      <x:c r="H8" s="30"/>
      <x:c r="I8" s="30"/>
      <x:c r="J8" s="30"/>
      <x:c r="K8" s="30"/>
      <x:c r="L8" s="30"/>
    </x:row>
    <x:row r="9">
      <x:c r="A9" s="30" t="str">
        <x:v>YTD operating loss</x:v>
      </x:c>
      <x:c r="B9" s="31" t="n">
        <x:f>SUM(BvA!C41:C46)-SUM(BvA!F41:F46)-SUM(BvA!I41:I46)-SUM(BvA!L41:L46)</x:f>
        <x:v>-3573794.658149491</x:v>
      </x:c>
      <x:c r="C9" s="30"/>
      <x:c r="D9" s="30"/>
      <x:c r="E9" s="30"/>
      <x:c r="F9" s="30"/>
      <x:c r="G9" s="30"/>
      <x:c r="H9" s="30"/>
      <x:c r="I9" s="30"/>
      <x:c r="J9" s="30"/>
      <x:c r="K9" s="30"/>
      <x:c r="L9" s="30"/>
    </x:row>
    <x:row r="10">
      <x:c r="A10" s="30" t="str">
        <x:v>Jun-26 ending cash</x:v>
      </x:c>
      <x:c r="B10" s="31" t="n">
        <x:f>'Cash Flow'!H46</x:f>
        <x:v>4614383.332705087</x:v>
      </x:c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</x:row>
    <x:row r="13">
      <x:c r="A13" s="26" t="str">
        <x:v>Month</x:v>
      </x:c>
      <x:c r="B13" s="26" t="str">
        <x:v>MRR</x:v>
      </x:c>
      <x:c r="C13" s="26" t="str">
        <x:v>Ending cash</x:v>
      </x:c>
      <x:c r="D13" s="30"/>
      <x:c r="E13" s="30"/>
      <x:c r="F13" s="30"/>
      <x:c r="G13" s="30"/>
      <x:c r="H13" s="30"/>
      <x:c r="I13" s="30"/>
      <x:c r="J13" s="30"/>
      <x:c r="K13" s="30"/>
      <x:c r="L13" s="30"/>
    </x:row>
    <x:row r="14">
      <x:c r="A14" s="32" t="n">
        <x:v>46023</x:v>
      </x:c>
      <x:c r="B14" s="31" t="n">
        <x:f>'Revenue Model'!F41</x:f>
        <x:v>374047.61952160567</x:v>
      </x:c>
      <x:c r="C14" s="31" t="n">
        <x:f>'Cash Flow'!H41</x:f>
        <x:v>7653894.723583814</x:v>
      </x:c>
      <x:c r="D14" s="30"/>
      <x:c r="E14" s="30"/>
      <x:c r="F14" s="30"/>
      <x:c r="G14" s="30"/>
      <x:c r="H14" s="30"/>
      <x:c r="I14" s="30"/>
      <x:c r="J14" s="30"/>
      <x:c r="K14" s="30"/>
      <x:c r="L14" s="30"/>
    </x:row>
    <x:row r="15">
      <x:c r="A15" s="32" t="n">
        <x:v>46054</x:v>
      </x:c>
      <x:c r="B15" s="31" t="n">
        <x:f>'Revenue Model'!F42</x:f>
        <x:v>386139.67363043316</x:v>
      </x:c>
      <x:c r="C15" s="31" t="n">
        <x:f>'Cash Flow'!H42</x:f>
        <x:v>7069075.5450902805</x:v>
      </x:c>
      <x:c r="D15" s="30"/>
      <x:c r="E15" s="30"/>
      <x:c r="F15" s="30"/>
      <x:c r="G15" s="30"/>
      <x:c r="H15" s="30"/>
      <x:c r="I15" s="30"/>
      <x:c r="J15" s="30"/>
      <x:c r="K15" s="30"/>
      <x:c r="L15" s="30"/>
    </x:row>
    <x:row r="16">
      <x:c r="A16" s="32" t="n">
        <x:v>46082</x:v>
      </x:c>
      <x:c r="B16" s="31" t="n">
        <x:f>'Revenue Model'!F43</x:f>
        <x:v>397181.56347267516</x:v>
      </x:c>
      <x:c r="C16" s="31" t="n">
        <x:f>'Cash Flow'!H43</x:f>
        <x:v>6467457.778995366</x:v>
      </x:c>
      <x:c r="D16" s="30"/>
      <x:c r="E16" s="30"/>
      <x:c r="F16" s="30"/>
      <x:c r="G16" s="30"/>
      <x:c r="H16" s="30"/>
      <x:c r="I16" s="30"/>
      <x:c r="J16" s="30"/>
      <x:c r="K16" s="30"/>
      <x:c r="L16" s="30"/>
    </x:row>
    <x:row r="17">
      <x:c r="A17" s="32" t="n">
        <x:v>46113</x:v>
      </x:c>
      <x:c r="B17" s="31" t="n">
        <x:f>'Revenue Model'!F44</x:f>
        <x:v>410448.3751280091</x:v>
      </x:c>
      <x:c r="C17" s="31" t="n">
        <x:f>'Cash Flow'!H44</x:f>
        <x:v>5863410.23309063</x:v>
      </x:c>
      <x:c r="D17" s="30"/>
      <x:c r="E17" s="30"/>
      <x:c r="F17" s="30"/>
      <x:c r="G17" s="30"/>
      <x:c r="H17" s="30"/>
      <x:c r="I17" s="30"/>
      <x:c r="J17" s="30"/>
      <x:c r="K17" s="30"/>
      <x:c r="L17" s="30"/>
    </x:row>
    <x:row r="18">
      <x:c r="A18" s="32" t="n">
        <x:v>46143</x:v>
      </x:c>
      <x:c r="B18" s="31" t="n">
        <x:f>'Revenue Model'!F45</x:f>
        <x:v>420574.9052752154</x:v>
      </x:c>
      <x:c r="C18" s="31" t="n">
        <x:f>'Cash Flow'!H45</x:f>
        <x:v>5242595.16340912</x:v>
      </x:c>
      <x:c r="D18" s="30"/>
      <x:c r="E18" s="30"/>
      <x:c r="F18" s="30"/>
      <x:c r="G18" s="30"/>
      <x:c r="H18" s="30"/>
      <x:c r="I18" s="30"/>
      <x:c r="J18" s="30"/>
      <x:c r="K18" s="30"/>
      <x:c r="L18" s="30"/>
    </x:row>
    <x:row r="19">
      <x:c r="A19" s="32" t="n">
        <x:v>46174</x:v>
      </x:c>
      <x:c r="B19" s="31" t="n">
        <x:f>'Revenue Model'!F46</x:f>
        <x:v>430357.31600325066</x:v>
      </x:c>
      <x:c r="C19" s="31" t="n">
        <x:f>'Cash Flow'!H46</x:f>
        <x:v>4614383.332705087</x:v>
      </x:c>
      <x:c r="D19" s="30"/>
      <x:c r="E19" s="30"/>
      <x:c r="F19" s="30"/>
      <x:c r="G19" s="30"/>
      <x:c r="H19" s="30"/>
      <x:c r="I19" s="30"/>
      <x:c r="J19" s="30"/>
      <x:c r="K19" s="30"/>
      <x:c r="L19" s="30"/>
    </x:row>
    <x:row r="20">
      <x:c r="A20" s="32" t="n">
        <x:v>46204</x:v>
      </x:c>
      <x:c r="B20" s="31" t="n">
        <x:f>'Revenue Model'!F47</x:f>
        <x:v>440593.60922008194</x:v>
      </x:c>
      <x:c r="C20" s="31" t="n">
        <x:f>'Cash Flow'!H47</x:f>
        <x:v>3963068.093943567</x:v>
      </x:c>
      <x:c r="D20" s="30"/>
      <x:c r="E20" s="30"/>
      <x:c r="F20" s="30"/>
      <x:c r="G20" s="30"/>
      <x:c r="H20" s="30"/>
      <x:c r="I20" s="30"/>
      <x:c r="J20" s="30"/>
      <x:c r="K20" s="30"/>
      <x:c r="L20" s="30"/>
    </x:row>
    <x:row r="21">
      <x:c r="A21" s="32" t="n">
        <x:v>46235</x:v>
      </x:c>
      <x:c r="B21" s="31" t="n">
        <x:f>'Revenue Model'!F48</x:f>
        <x:v>449936.96766961715</x:v>
      </x:c>
      <x:c r="C21" s="31" t="n">
        <x:f>'Cash Flow'!H48</x:f>
        <x:v>3347621.3758421196</x:v>
      </x:c>
      <x:c r="D21" s="30"/>
      <x:c r="E21" s="30"/>
      <x:c r="F21" s="30"/>
      <x:c r="G21" s="30"/>
      <x:c r="H21" s="30"/>
      <x:c r="I21" s="30"/>
      <x:c r="J21" s="30"/>
      <x:c r="K21" s="30"/>
      <x:c r="L21" s="30"/>
    </x:row>
    <x:row r="22">
      <x:c r="A22" s="32" t="n">
        <x:v>46266</x:v>
      </x:c>
      <x:c r="B22" s="31" t="n">
        <x:f>'Revenue Model'!F49</x:f>
        <x:v>459060.7999799024</x:v>
      </x:c>
      <x:c r="C22" s="31" t="n">
        <x:f>'Cash Flow'!H49</x:f>
        <x:v>2737090.9535590126</x:v>
      </x:c>
      <x:c r="D22" s="30"/>
      <x:c r="E22" s="30"/>
      <x:c r="F22" s="30"/>
      <x:c r="G22" s="30"/>
      <x:c r="H22" s="30"/>
      <x:c r="I22" s="30"/>
      <x:c r="J22" s="30"/>
      <x:c r="K22" s="30"/>
      <x:c r="L22" s="30"/>
    </x:row>
    <x:row r="23">
      <x:c r="A23" s="32" t="n">
        <x:v>46296</x:v>
      </x:c>
      <x:c r="B23" s="31" t="n">
        <x:f>'Revenue Model'!F50</x:f>
        <x:v>468184.63229018764</x:v>
      </x:c>
      <x:c r="C23" s="31" t="n">
        <x:f>'Cash Flow'!H50</x:f>
        <x:v>2130492.787329196</x:v>
      </x:c>
      <x:c r="D23" s="30"/>
      <x:c r="E23" s="30"/>
      <x:c r="F23" s="30"/>
      <x:c r="G23" s="30"/>
      <x:c r="H23" s="30"/>
      <x:c r="I23" s="30"/>
      <x:c r="J23" s="30"/>
      <x:c r="K23" s="30"/>
      <x:c r="L23" s="30"/>
    </x:row>
    <x:row r="24">
      <x:c r="A24" s="32" t="n">
        <x:v>46327</x:v>
      </x:c>
      <x:c r="B24" s="31" t="n">
        <x:f>'Revenue Model'!F51</x:f>
        <x:v>477809.81351893337</x:v>
      </x:c>
      <x:c r="C24" s="31" t="n">
        <x:f>'Cash Flow'!H51</x:f>
        <x:v>1527271.678866941</x:v>
      </x:c>
      <x:c r="D24" s="30"/>
      <x:c r="E24" s="30"/>
      <x:c r="F24" s="30"/>
      <x:c r="G24" s="30"/>
      <x:c r="H24" s="30"/>
      <x:c r="I24" s="30"/>
      <x:c r="J24" s="30"/>
      <x:c r="K24" s="30"/>
      <x:c r="L24" s="30"/>
    </x:row>
    <x:row r="25">
      <x:c r="A25" s="32" t="n">
        <x:v>46357</x:v>
      </x:c>
      <x:c r="B25" s="31" t="n">
        <x:f>'Revenue Model'!F52</x:f>
        <x:v>487936.34366613964</x:v>
      </x:c>
      <x:c r="C25" s="31" t="n">
        <x:f>'Cash Flow'!H52</x:f>
        <x:v>927197.2705698473</x:v>
      </x:c>
      <x:c r="D25" s="30"/>
      <x:c r="E25" s="30"/>
      <x:c r="F25" s="30"/>
      <x:c r="G25" s="30"/>
      <x:c r="H25" s="30"/>
      <x:c r="I25" s="30"/>
      <x:c r="J25" s="30"/>
      <x:c r="K25" s="30"/>
      <x:c r="L25" s="30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b83a0ebc0c404d0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23" t="str">
        <x:v>Assumptions and scenario controls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" customHeight="1">
      <x:c r="A2" s="29" t="str">
        <x:v>Yellow cells are editable. Historical actuals do not change with the selector.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26" t="str">
        <x:v>Active scenario</x:v>
      </x:c>
      <x:c r="B4" s="38" t="str">
        <x:v>Base</x:v>
      </x:c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</x:row>
    <x:row r="7">
      <x:c r="A7" s="26" t="str">
        <x:v>Scenario</x:v>
      </x:c>
      <x:c r="B7" s="26" t="str">
        <x:v>Monthly growth</x:v>
      </x:c>
      <x:c r="C7" s="26" t="str">
        <x:v>Monthly churn</x:v>
      </x:c>
      <x:c r="D7" s="26" t="str">
        <x:v>Price multiplier</x:v>
      </x:c>
      <x:c r="E7" s="26" t="str">
        <x:v>Hiring multiplier</x:v>
      </x:c>
      <x:c r="F7" s="26" t="str">
        <x:v>Marketing multiplier</x:v>
      </x:c>
      <x:c r="G7" s="26" t="str">
        <x:v>Cloud cost multiplier</x:v>
      </x:c>
      <x:c r="H7" s="30"/>
      <x:c r="I7" s="30"/>
      <x:c r="J7" s="30"/>
      <x:c r="K7" s="30"/>
      <x:c r="L7" s="30"/>
    </x:row>
    <x:row r="8">
      <x:c r="A8" s="30" t="str">
        <x:v>Base</x:v>
      </x:c>
      <x:c r="B8" s="39" t="n">
        <x:v>0.045</x:v>
      </x:c>
      <x:c r="C8" s="39" t="n">
        <x:v>0.018</x:v>
      </x:c>
      <x:c r="D8" s="40" t="n">
        <x:v>1</x:v>
      </x:c>
      <x:c r="E8" s="40" t="n">
        <x:v>1</x:v>
      </x:c>
      <x:c r="F8" s="40" t="n">
        <x:v>1</x:v>
      </x:c>
      <x:c r="G8" s="40" t="n">
        <x:v>1</x:v>
      </x:c>
      <x:c r="H8" s="30"/>
      <x:c r="I8" s="30"/>
      <x:c r="J8" s="30"/>
      <x:c r="K8" s="30"/>
      <x:c r="L8" s="30"/>
    </x:row>
    <x:row r="9">
      <x:c r="A9" s="30" t="str">
        <x:v>Upside</x:v>
      </x:c>
      <x:c r="B9" s="39" t="n">
        <x:v>0.06</x:v>
      </x:c>
      <x:c r="C9" s="39" t="n">
        <x:v>0.014</x:v>
      </x:c>
      <x:c r="D9" s="40" t="n">
        <x:v>1.04</x:v>
      </x:c>
      <x:c r="E9" s="40" t="n">
        <x:v>1.1</x:v>
      </x:c>
      <x:c r="F9" s="40" t="n">
        <x:v>1.12</x:v>
      </x:c>
      <x:c r="G9" s="40" t="n">
        <x:v>0.95</x:v>
      </x:c>
      <x:c r="H9" s="30"/>
      <x:c r="I9" s="30"/>
      <x:c r="J9" s="30"/>
      <x:c r="K9" s="30"/>
      <x:c r="L9" s="30"/>
    </x:row>
    <x:row r="10">
      <x:c r="A10" s="30" t="str">
        <x:v>Downside</x:v>
      </x:c>
      <x:c r="B10" s="39" t="n">
        <x:v>0.025</x:v>
      </x:c>
      <x:c r="C10" s="39" t="n">
        <x:v>0.026</x:v>
      </x:c>
      <x:c r="D10" s="40" t="n">
        <x:v>0.97</x:v>
      </x:c>
      <x:c r="E10" s="40" t="n">
        <x:v>0.75</x:v>
      </x:c>
      <x:c r="F10" s="40" t="n">
        <x:v>0.82</x:v>
      </x:c>
      <x:c r="G10" s="40" t="n">
        <x:v>1.12</x:v>
      </x:c>
      <x:c r="H10" s="30"/>
      <x:c r="I10" s="30"/>
      <x:c r="J10" s="30"/>
      <x:c r="K10" s="30"/>
      <x:c r="L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</x:row>
    <x:row r="13">
      <x:c r="A13" s="26" t="str">
        <x:v>Active driver</x:v>
      </x:c>
      <x:c r="B13" s="26" t="str">
        <x:v>Value</x:v>
      </x:c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</x:row>
    <x:row r="14">
      <x:c r="A14" s="30" t="str">
        <x:v>Monthly growth</x:v>
      </x:c>
      <x:c r="B14" s="41" t="n">
        <x:f>_xlfn.XLOOKUP($B$4,$A$8:$A$10,B$8:B$10)</x:f>
        <x:v>0.045</x:v>
      </x:c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</x:row>
    <x:row r="15">
      <x:c r="A15" s="30" t="str">
        <x:v>Monthly churn</x:v>
      </x:c>
      <x:c r="B15" s="41" t="n">
        <x:f>_xlfn.XLOOKUP($B$4,$A$8:$A$10,C$8:C$10)</x:f>
        <x:v>0.018</x:v>
      </x:c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</x:row>
    <x:row r="16">
      <x:c r="A16" s="30" t="str">
        <x:v>Price multiplier</x:v>
      </x:c>
      <x:c r="B16" s="42" t="n">
        <x:f>_xlfn.XLOOKUP($B$4,$A$8:$A$10,D$8:D$10)</x:f>
        <x:v>1</x:v>
      </x:c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</x:row>
    <x:row r="17">
      <x:c r="A17" s="30" t="str">
        <x:v>Hiring multiplier</x:v>
      </x:c>
      <x:c r="B17" s="42" t="n">
        <x:f>_xlfn.XLOOKUP($B$4,$A$8:$A$10,E$8:E$10)</x:f>
        <x:v>1</x:v>
      </x:c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</x:row>
    <x:row r="18">
      <x:c r="A18" s="30" t="str">
        <x:v>Marketing multiplier</x:v>
      </x:c>
      <x:c r="B18" s="42" t="n">
        <x:f>_xlfn.XLOOKUP($B$4,$A$8:$A$10,F$8:F$10)</x:f>
        <x:v>1</x:v>
      </x:c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</x:row>
    <x:row r="19">
      <x:c r="A19" s="30" t="str">
        <x:v>Cloud cost multiplier</x:v>
      </x:c>
      <x:c r="B19" s="42" t="n">
        <x:f>_xlfn.XLOOKUP($B$4,$A$8:$A$10,G$8:G$10)</x:f>
        <x:v>1</x:v>
      </x:c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</x:row>
  </x:sheetData>
  <x:mergeCells>
    <x:mergeCell ref="A1:L1"/>
    <x:mergeCell ref="A2:L2"/>
  </x:mergeCells>
  <x:dataValidations count="1">
    <x:dataValidation type="list" sqref="B4">
      <x:formula1>"Base,Upside,Downside"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4" customHeight="1">
      <x:c r="A1" s="23" t="str">
        <x:v>Revenue model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" customHeight="1">
      <x:c r="A2" s="29" t="str">
        <x:v>Monthly customer bridge, MRR, ARR, churn, growth, and ARPC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26" t="str">
        <x:v>Month</x:v>
      </x:c>
      <x:c r="B4" s="26" t="str">
        <x:v>Starting customers</x:v>
      </x:c>
      <x:c r="C4" s="26" t="str">
        <x:v>New customers</x:v>
      </x:c>
      <x:c r="D4" s="26" t="str">
        <x:v>Churned customers</x:v>
      </x:c>
      <x:c r="E4" s="26" t="str">
        <x:v>Ending customers</x:v>
      </x:c>
      <x:c r="F4" s="26" t="str">
        <x:v>MRR</x:v>
      </x:c>
      <x:c r="G4" s="26" t="str">
        <x:v>ARR</x:v>
      </x:c>
      <x:c r="H4" s="26" t="str">
        <x:v>Revenue growth</x:v>
      </x:c>
      <x:c r="I4" s="26" t="str">
        <x:v>Gross churn</x:v>
      </x:c>
      <x:c r="J4" s="26" t="str">
        <x:v>ARPC</x:v>
      </x:c>
      <x:c r="K4" s="26" t="str">
        <x:v>Period</x:v>
      </x:c>
      <x:c r="L4" s="30"/>
    </x:row>
    <x:row r="5">
      <x:c r="A5" s="32" t="n">
        <x:v>44927</x:v>
      </x:c>
      <x:c r="B5" s="30" t="n">
        <x:f>SUMIFS(Subscriptions!$C$2:$C$145,Subscriptions!$A$2:$A$145,$A5)</x:f>
        <x:v>493</x:v>
      </x:c>
      <x:c r="C5" s="30" t="n">
        <x:f>SUMIFS(Subscriptions!$D$2:$D$145,Subscriptions!$A$2:$A$145,$A5)</x:f>
        <x:v>20</x:v>
      </x:c>
      <x:c r="D5" s="30" t="n">
        <x:f>SUMIFS(Subscriptions!$E$2:$E$145,Subscriptions!$A$2:$A$145,$A5)</x:f>
        <x:v>10</x:v>
      </x:c>
      <x:c r="E5" s="30" t="n">
        <x:f>SUMIFS(Subscriptions!$F$2:$F$145,Subscriptions!$A$2:$A$145,$A5)</x:f>
        <x:v>503</x:v>
      </x:c>
      <x:c r="F5" s="31" t="n">
        <x:f>SUMIFS(Subscriptions!$H$2:$H$145,Subscriptions!$A$2:$A$145,$A5)</x:f>
        <x:v>129227.37400000001</x:v>
      </x:c>
      <x:c r="G5" s="31" t="n">
        <x:f>F5*12</x:f>
        <x:v>1550728.4880000001</x:v>
      </x:c>
      <x:c r="H5" s="41" t="n">
        <x:f>0</x:f>
        <x:v>0</x:v>
      </x:c>
      <x:c r="I5" s="41" t="n">
        <x:f>IFERROR(D5/B5,0)</x:f>
        <x:v>0.02028397565922921</x:v>
      </x:c>
      <x:c r="J5" s="31" t="n">
        <x:f>IFERROR(F5/E5,0)</x:f>
        <x:v>256.91326838966205</x:v>
      </x:c>
      <x:c r="K5" s="30" t="str">
        <x:f>IF(A5&lt;DATE(2026,7,1),"Actual","Forecast")</x:f>
        <x:v>Actual</x:v>
      </x:c>
      <x:c r="L5" s="30"/>
    </x:row>
    <x:row r="6">
      <x:c r="A6" s="32" t="n">
        <x:v>44958</x:v>
      </x:c>
      <x:c r="B6" s="30" t="n">
        <x:f>SUMIFS(Subscriptions!$C$2:$C$145,Subscriptions!$A$2:$A$145,$A6)</x:f>
        <x:v>503</x:v>
      </x:c>
      <x:c r="C6" s="30" t="n">
        <x:f>SUMIFS(Subscriptions!$D$2:$D$145,Subscriptions!$A$2:$A$145,$A6)</x:f>
        <x:v>24</x:v>
      </x:c>
      <x:c r="D6" s="30" t="n">
        <x:f>SUMIFS(Subscriptions!$E$2:$E$145,Subscriptions!$A$2:$A$145,$A6)</x:f>
        <x:v>11</x:v>
      </x:c>
      <x:c r="E6" s="30" t="n">
        <x:f>SUMIFS(Subscriptions!$F$2:$F$145,Subscriptions!$A$2:$A$145,$A6)</x:f>
        <x:v>516</x:v>
      </x:c>
      <x:c r="F6" s="31" t="n">
        <x:f>SUMIFS(Subscriptions!$H$2:$H$145,Subscriptions!$A$2:$A$145,$A6)</x:f>
        <x:v>133218.292</x:v>
      </x:c>
      <x:c r="G6" s="31" t="n">
        <x:f>F6*12</x:f>
        <x:v>1598619.5039999997</x:v>
      </x:c>
      <x:c r="H6" s="41" t="n">
        <x:f>IFERROR(F6/F5-1,0)</x:f>
        <x:v>0.03088291494648776</x:v>
      </x:c>
      <x:c r="I6" s="41" t="n">
        <x:f>IFERROR(D6/B6,0)</x:f>
        <x:v>0.02186878727634195</x:v>
      </x:c>
      <x:c r="J6" s="31" t="n">
        <x:f>IFERROR(F6/E6,0)</x:f>
        <x:v>258.174984496124</x:v>
      </x:c>
      <x:c r="K6" s="30" t="str">
        <x:f>IF(A6&lt;DATE(2026,7,1),"Actual","Forecast")</x:f>
        <x:v>Actual</x:v>
      </x:c>
      <x:c r="L6" s="30"/>
    </x:row>
    <x:row r="7">
      <x:c r="A7" s="32" t="n">
        <x:v>44986</x:v>
      </x:c>
      <x:c r="B7" s="30" t="n">
        <x:f>SUMIFS(Subscriptions!$C$2:$C$145,Subscriptions!$A$2:$A$145,$A7)</x:f>
        <x:v>516</x:v>
      </x:c>
      <x:c r="C7" s="30" t="n">
        <x:f>SUMIFS(Subscriptions!$D$2:$D$145,Subscriptions!$A$2:$A$145,$A7)</x:f>
        <x:v>21</x:v>
      </x:c>
      <x:c r="D7" s="30" t="n">
        <x:f>SUMIFS(Subscriptions!$E$2:$E$145,Subscriptions!$A$2:$A$145,$A7)</x:f>
        <x:v>9</x:v>
      </x:c>
      <x:c r="E7" s="30" t="n">
        <x:f>SUMIFS(Subscriptions!$F$2:$F$145,Subscriptions!$A$2:$A$145,$A7)</x:f>
        <x:v>528</x:v>
      </x:c>
      <x:c r="F7" s="31" t="n">
        <x:f>SUMIFS(Subscriptions!$H$2:$H$145,Subscriptions!$A$2:$A$145,$A7)</x:f>
        <x:v>137364.398</x:v>
      </x:c>
      <x:c r="G7" s="31" t="n">
        <x:f>F7*12</x:f>
        <x:v>1648372.7759999998</x:v>
      </x:c>
      <x:c r="H7" s="41" t="n">
        <x:f>IFERROR(F7/F6-1,0)</x:f>
        <x:v>0.031122647931862035</x:v>
      </x:c>
      <x:c r="I7" s="41" t="n">
        <x:f>IFERROR(D7/B7,0)</x:f>
        <x:v>0.01744186046511628</x:v>
      </x:c>
      <x:c r="J7" s="31" t="n">
        <x:f>IFERROR(F7/E7,0)</x:f>
        <x:v>260.1598446969697</x:v>
      </x:c>
      <x:c r="K7" s="30" t="str">
        <x:f>IF(A7&lt;DATE(2026,7,1),"Actual","Forecast")</x:f>
        <x:v>Actual</x:v>
      </x:c>
      <x:c r="L7" s="30"/>
    </x:row>
    <x:row r="8">
      <x:c r="A8" s="32" t="n">
        <x:v>45017</x:v>
      </x:c>
      <x:c r="B8" s="30" t="n">
        <x:f>SUMIFS(Subscriptions!$C$2:$C$145,Subscriptions!$A$2:$A$145,$A8)</x:f>
        <x:v>528</x:v>
      </x:c>
      <x:c r="C8" s="30" t="n">
        <x:f>SUMIFS(Subscriptions!$D$2:$D$145,Subscriptions!$A$2:$A$145,$A8)</x:f>
        <x:v>24</x:v>
      </x:c>
      <x:c r="D8" s="30" t="n">
        <x:f>SUMIFS(Subscriptions!$E$2:$E$145,Subscriptions!$A$2:$A$145,$A8)</x:f>
        <x:v>10</x:v>
      </x:c>
      <x:c r="E8" s="30" t="n">
        <x:f>SUMIFS(Subscriptions!$F$2:$F$145,Subscriptions!$A$2:$A$145,$A8)</x:f>
        <x:v>542</x:v>
      </x:c>
      <x:c r="F8" s="31" t="n">
        <x:f>SUMIFS(Subscriptions!$H$2:$H$145,Subscriptions!$A$2:$A$145,$A8)</x:f>
        <x:v>141962.692</x:v>
      </x:c>
      <x:c r="G8" s="31" t="n">
        <x:f>F8*12</x:f>
        <x:v>1703552.304</x:v>
      </x:c>
      <x:c r="H8" s="41" t="n">
        <x:f>IFERROR(F8/F7-1,0)</x:f>
        <x:v>0.033475151254257485</x:v>
      </x:c>
      <x:c r="I8" s="41" t="n">
        <x:f>IFERROR(D8/B8,0)</x:f>
        <x:v>0.01893939393939394</x:v>
      </x:c>
      <x:c r="J8" s="31" t="n">
        <x:f>IFERROR(F8/E8,0)</x:f>
        <x:v>261.9237859778598</x:v>
      </x:c>
      <x:c r="K8" s="30" t="str">
        <x:f>IF(A8&lt;DATE(2026,7,1),"Actual","Forecast")</x:f>
        <x:v>Actual</x:v>
      </x:c>
      <x:c r="L8" s="30"/>
    </x:row>
    <x:row r="9">
      <x:c r="A9" s="32" t="n">
        <x:v>45047</x:v>
      </x:c>
      <x:c r="B9" s="30" t="n">
        <x:f>SUMIFS(Subscriptions!$C$2:$C$145,Subscriptions!$A$2:$A$145,$A9)</x:f>
        <x:v>542</x:v>
      </x:c>
      <x:c r="C9" s="30" t="n">
        <x:f>SUMIFS(Subscriptions!$D$2:$D$145,Subscriptions!$A$2:$A$145,$A9)</x:f>
        <x:v>26</x:v>
      </x:c>
      <x:c r="D9" s="30" t="n">
        <x:f>SUMIFS(Subscriptions!$E$2:$E$145,Subscriptions!$A$2:$A$145,$A9)</x:f>
        <x:v>11</x:v>
      </x:c>
      <x:c r="E9" s="30" t="n">
        <x:f>SUMIFS(Subscriptions!$F$2:$F$145,Subscriptions!$A$2:$A$145,$A9)</x:f>
        <x:v>557</x:v>
      </x:c>
      <x:c r="F9" s="31" t="n">
        <x:f>SUMIFS(Subscriptions!$H$2:$H$145,Subscriptions!$A$2:$A$145,$A9)</x:f>
        <x:v>146659.986</x:v>
      </x:c>
      <x:c r="G9" s="31" t="n">
        <x:f>F9*12</x:f>
        <x:v>1759919.832</x:v>
      </x:c>
      <x:c r="H9" s="41" t="n">
        <x:f>IFERROR(F9/F8-1,0)</x:f>
        <x:v>0.03308822856078275</x:v>
      </x:c>
      <x:c r="I9" s="41" t="n">
        <x:f>IFERROR(D9/B9,0)</x:f>
        <x:v>0.02029520295202952</x:v>
      </x:c>
      <x:c r="J9" s="31" t="n">
        <x:f>IFERROR(F9/E9,0)</x:f>
        <x:v>263.30338599640936</x:v>
      </x:c>
      <x:c r="K9" s="30" t="str">
        <x:f>IF(A9&lt;DATE(2026,7,1),"Actual","Forecast")</x:f>
        <x:v>Actual</x:v>
      </x:c>
      <x:c r="L9" s="30"/>
    </x:row>
    <x:row r="10">
      <x:c r="A10" s="32" t="n">
        <x:v>45078</x:v>
      </x:c>
      <x:c r="B10" s="30" t="n">
        <x:f>SUMIFS(Subscriptions!$C$2:$C$145,Subscriptions!$A$2:$A$145,$A10)</x:f>
        <x:v>557</x:v>
      </x:c>
      <x:c r="C10" s="30" t="n">
        <x:f>SUMIFS(Subscriptions!$D$2:$D$145,Subscriptions!$A$2:$A$145,$A10)</x:f>
        <x:v>21</x:v>
      </x:c>
      <x:c r="D10" s="30" t="n">
        <x:f>SUMIFS(Subscriptions!$E$2:$E$145,Subscriptions!$A$2:$A$145,$A10)</x:f>
        <x:v>11</x:v>
      </x:c>
      <x:c r="E10" s="30" t="n">
        <x:f>SUMIFS(Subscriptions!$F$2:$F$145,Subscriptions!$A$2:$A$145,$A10)</x:f>
        <x:v>567</x:v>
      </x:c>
      <x:c r="F10" s="31" t="n">
        <x:f>SUMIFS(Subscriptions!$H$2:$H$145,Subscriptions!$A$2:$A$145,$A10)</x:f>
        <x:v>150099.71600000001</x:v>
      </x:c>
      <x:c r="G10" s="31" t="n">
        <x:f>F10*12</x:f>
        <x:v>1801196.5920000002</x:v>
      </x:c>
      <x:c r="H10" s="41" t="n">
        <x:f>IFERROR(F10/F9-1,0)</x:f>
        <x:v>0.023453772864808542</x:v>
      </x:c>
      <x:c r="I10" s="41" t="n">
        <x:f>IFERROR(D10/B10,0)</x:f>
        <x:v>0.019748653500897665</x:v>
      </x:c>
      <x:c r="J10" s="31" t="n">
        <x:f>IFERROR(F10/E10,0)</x:f>
        <x:v>264.72613051146385</x:v>
      </x:c>
      <x:c r="K10" s="30" t="str">
        <x:f>IF(A10&lt;DATE(2026,7,1),"Actual","Forecast")</x:f>
        <x:v>Actual</x:v>
      </x:c>
      <x:c r="L10" s="30"/>
    </x:row>
    <x:row r="11">
      <x:c r="A11" s="32" t="n">
        <x:v>45108</x:v>
      </x:c>
      <x:c r="B11" s="30" t="n">
        <x:f>SUMIFS(Subscriptions!$C$2:$C$145,Subscriptions!$A$2:$A$145,$A11)</x:f>
        <x:v>567</x:v>
      </x:c>
      <x:c r="C11" s="30" t="n">
        <x:f>SUMIFS(Subscriptions!$D$2:$D$145,Subscriptions!$A$2:$A$145,$A11)</x:f>
        <x:v>26</x:v>
      </x:c>
      <x:c r="D11" s="30" t="n">
        <x:f>SUMIFS(Subscriptions!$E$2:$E$145,Subscriptions!$A$2:$A$145,$A11)</x:f>
        <x:v>10</x:v>
      </x:c>
      <x:c r="E11" s="30" t="n">
        <x:f>SUMIFS(Subscriptions!$F$2:$F$145,Subscriptions!$A$2:$A$145,$A11)</x:f>
        <x:v>583</x:v>
      </x:c>
      <x:c r="F11" s="31" t="n">
        <x:f>SUMIFS(Subscriptions!$H$2:$H$145,Subscriptions!$A$2:$A$145,$A11)</x:f>
        <x:v>155150.198</x:v>
      </x:c>
      <x:c r="G11" s="31" t="n">
        <x:f>F11*12</x:f>
        <x:v>1861802.3760000002</x:v>
      </x:c>
      <x:c r="H11" s="41" t="n">
        <x:f>IFERROR(F11/F10-1,0)</x:f>
        <x:v>0.03364751203126848</x:v>
      </x:c>
      <x:c r="I11" s="41" t="n">
        <x:f>IFERROR(D11/B11,0)</x:f>
        <x:v>0.01763668430335097</x:v>
      </x:c>
      <x:c r="J11" s="31" t="n">
        <x:f>IFERROR(F11/E11,0)</x:f>
        <x:v>266.1238387650086</x:v>
      </x:c>
      <x:c r="K11" s="30" t="str">
        <x:f>IF(A11&lt;DATE(2026,7,1),"Actual","Forecast")</x:f>
        <x:v>Actual</x:v>
      </x:c>
      <x:c r="L11" s="30"/>
    </x:row>
    <x:row r="12">
      <x:c r="A12" s="32" t="n">
        <x:v>45139</x:v>
      </x:c>
      <x:c r="B12" s="30" t="n">
        <x:f>SUMIFS(Subscriptions!$C$2:$C$145,Subscriptions!$A$2:$A$145,$A12)</x:f>
        <x:v>583</x:v>
      </x:c>
      <x:c r="C12" s="30" t="n">
        <x:f>SUMIFS(Subscriptions!$D$2:$D$145,Subscriptions!$A$2:$A$145,$A12)</x:f>
        <x:v>24</x:v>
      </x:c>
      <x:c r="D12" s="30" t="n">
        <x:f>SUMIFS(Subscriptions!$E$2:$E$145,Subscriptions!$A$2:$A$145,$A12)</x:f>
        <x:v>11</x:v>
      </x:c>
      <x:c r="E12" s="30" t="n">
        <x:f>SUMIFS(Subscriptions!$F$2:$F$145,Subscriptions!$A$2:$A$145,$A12)</x:f>
        <x:v>596</x:v>
      </x:c>
      <x:c r="F12" s="31" t="n">
        <x:f>SUMIFS(Subscriptions!$H$2:$H$145,Subscriptions!$A$2:$A$145,$A12)</x:f>
        <x:v>159395.304</x:v>
      </x:c>
      <x:c r="G12" s="31" t="n">
        <x:f>F12*12</x:f>
        <x:v>1912743.648</x:v>
      </x:c>
      <x:c r="H12" s="41" t="n">
        <x:f>IFERROR(F12/F11-1,0)</x:f>
        <x:v>0.027361267047818938</x:v>
      </x:c>
      <x:c r="I12" s="41" t="n">
        <x:f>IFERROR(D12/B12,0)</x:f>
        <x:v>0.018867924528301886</x:v>
      </x:c>
      <x:c r="J12" s="31" t="n">
        <x:f>IFERROR(F12/E12,0)</x:f>
        <x:v>267.4417852348993</x:v>
      </x:c>
      <x:c r="K12" s="30" t="str">
        <x:f>IF(A12&lt;DATE(2026,7,1),"Actual","Forecast")</x:f>
        <x:v>Actual</x:v>
      </x:c>
      <x:c r="L12" s="30"/>
    </x:row>
    <x:row r="13">
      <x:c r="A13" s="32" t="n">
        <x:v>45170</x:v>
      </x:c>
      <x:c r="B13" s="30" t="n">
        <x:f>SUMIFS(Subscriptions!$C$2:$C$145,Subscriptions!$A$2:$A$145,$A13)</x:f>
        <x:v>596</x:v>
      </x:c>
      <x:c r="C13" s="30" t="n">
        <x:f>SUMIFS(Subscriptions!$D$2:$D$145,Subscriptions!$A$2:$A$145,$A13)</x:f>
        <x:v>21</x:v>
      </x:c>
      <x:c r="D13" s="30" t="n">
        <x:f>SUMIFS(Subscriptions!$E$2:$E$145,Subscriptions!$A$2:$A$145,$A13)</x:f>
        <x:v>14</x:v>
      </x:c>
      <x:c r="E13" s="30" t="n">
        <x:f>SUMIFS(Subscriptions!$F$2:$F$145,Subscriptions!$A$2:$A$145,$A13)</x:f>
        <x:v>603</x:v>
      </x:c>
      <x:c r="F13" s="31" t="n">
        <x:f>SUMIFS(Subscriptions!$H$2:$H$145,Subscriptions!$A$2:$A$145,$A13)</x:f>
        <x:v>162538.03399999999</x:v>
      </x:c>
      <x:c r="G13" s="31" t="n">
        <x:f>F13*12</x:f>
        <x:v>1950456.4079999998</x:v>
      </x:c>
      <x:c r="H13" s="41" t="n">
        <x:f>IFERROR(F13/F12-1,0)</x:f>
        <x:v>0.019716578350388314</x:v>
      </x:c>
      <x:c r="I13" s="41" t="n">
        <x:f>IFERROR(D13/B13,0)</x:f>
        <x:v>0.02348993288590604</x:v>
      </x:c>
      <x:c r="J13" s="31" t="n">
        <x:f>IFERROR(F13/E13,0)</x:f>
        <x:v>269.54897844112764</x:v>
      </x:c>
      <x:c r="K13" s="30" t="str">
        <x:f>IF(A13&lt;DATE(2026,7,1),"Actual","Forecast")</x:f>
        <x:v>Actual</x:v>
      </x:c>
      <x:c r="L13" s="30"/>
    </x:row>
    <x:row r="14">
      <x:c r="A14" s="32" t="n">
        <x:v>45200</x:v>
      </x:c>
      <x:c r="B14" s="30" t="n">
        <x:f>SUMIFS(Subscriptions!$C$2:$C$145,Subscriptions!$A$2:$A$145,$A14)</x:f>
        <x:v>603</x:v>
      </x:c>
      <x:c r="C14" s="30" t="n">
        <x:f>SUMIFS(Subscriptions!$D$2:$D$145,Subscriptions!$A$2:$A$145,$A14)</x:f>
        <x:v>18</x:v>
      </x:c>
      <x:c r="D14" s="30" t="n">
        <x:f>SUMIFS(Subscriptions!$E$2:$E$145,Subscriptions!$A$2:$A$145,$A14)</x:f>
        <x:v>10</x:v>
      </x:c>
      <x:c r="E14" s="30" t="n">
        <x:f>SUMIFS(Subscriptions!$F$2:$F$145,Subscriptions!$A$2:$A$145,$A14)</x:f>
        <x:v>611</x:v>
      </x:c>
      <x:c r="F14" s="31" t="n">
        <x:f>SUMIFS(Subscriptions!$H$2:$H$145,Subscriptions!$A$2:$A$145,$A14)</x:f>
        <x:v>166033.952</x:v>
      </x:c>
      <x:c r="G14" s="31" t="n">
        <x:f>F14*12</x:f>
        <x:v>1992407.4239999999</x:v>
      </x:c>
      <x:c r="H14" s="41" t="n">
        <x:f>IFERROR(F14/F13-1,0)</x:f>
        <x:v>0.021508307403299787</x:v>
      </x:c>
      <x:c r="I14" s="41" t="n">
        <x:f>IFERROR(D14/B14,0)</x:f>
        <x:v>0.01658374792703151</x:v>
      </x:c>
      <x:c r="J14" s="31" t="n">
        <x:f>IFERROR(F14/E14,0)</x:f>
        <x:v>271.7413289689034</x:v>
      </x:c>
      <x:c r="K14" s="30" t="str">
        <x:f>IF(A14&lt;DATE(2026,7,1),"Actual","Forecast")</x:f>
        <x:v>Actual</x:v>
      </x:c>
      <x:c r="L14" s="30"/>
    </x:row>
    <x:row r="15">
      <x:c r="A15" s="32" t="n">
        <x:v>45231</x:v>
      </x:c>
      <x:c r="B15" s="30" t="n">
        <x:f>SUMIFS(Subscriptions!$C$2:$C$145,Subscriptions!$A$2:$A$145,$A15)</x:f>
        <x:v>611</x:v>
      </x:c>
      <x:c r="C15" s="30" t="n">
        <x:f>SUMIFS(Subscriptions!$D$2:$D$145,Subscriptions!$A$2:$A$145,$A15)</x:f>
        <x:v>25</x:v>
      </x:c>
      <x:c r="D15" s="30" t="n">
        <x:f>SUMIFS(Subscriptions!$E$2:$E$145,Subscriptions!$A$2:$A$145,$A15)</x:f>
        <x:v>13</x:v>
      </x:c>
      <x:c r="E15" s="30" t="n">
        <x:f>SUMIFS(Subscriptions!$F$2:$F$145,Subscriptions!$A$2:$A$145,$A15)</x:f>
        <x:v>623</x:v>
      </x:c>
      <x:c r="F15" s="31" t="n">
        <x:f>SUMIFS(Subscriptions!$H$2:$H$145,Subscriptions!$A$2:$A$145,$A15)</x:f>
        <x:v>170434.246</x:v>
      </x:c>
      <x:c r="G15" s="31" t="n">
        <x:f>F15*12</x:f>
        <x:v>2045210.952</x:v>
      </x:c>
      <x:c r="H15" s="41" t="n">
        <x:f>IFERROR(F15/F14-1,0)</x:f>
        <x:v>0.026502374646843352</x:v>
      </x:c>
      <x:c r="I15" s="41" t="n">
        <x:f>IFERROR(D15/B15,0)</x:f>
        <x:v>0.02127659574468085</x:v>
      </x:c>
      <x:c r="J15" s="31" t="n">
        <x:f>IFERROR(F15/E15,0)</x:f>
        <x:v>273.5702182985554</x:v>
      </x:c>
      <x:c r="K15" s="30" t="str">
        <x:f>IF(A15&lt;DATE(2026,7,1),"Actual","Forecast")</x:f>
        <x:v>Actual</x:v>
      </x:c>
      <x:c r="L15" s="30"/>
    </x:row>
    <x:row r="16">
      <x:c r="A16" s="32" t="n">
        <x:v>45261</x:v>
      </x:c>
      <x:c r="B16" s="30" t="n">
        <x:f>SUMIFS(Subscriptions!$C$2:$C$145,Subscriptions!$A$2:$A$145,$A16)</x:f>
        <x:v>623</x:v>
      </x:c>
      <x:c r="C16" s="30" t="n">
        <x:f>SUMIFS(Subscriptions!$D$2:$D$145,Subscriptions!$A$2:$A$145,$A16)</x:f>
        <x:v>26</x:v>
      </x:c>
      <x:c r="D16" s="30" t="n">
        <x:f>SUMIFS(Subscriptions!$E$2:$E$145,Subscriptions!$A$2:$A$145,$A16)</x:f>
        <x:v>11</x:v>
      </x:c>
      <x:c r="E16" s="30" t="n">
        <x:f>SUMIFS(Subscriptions!$F$2:$F$145,Subscriptions!$A$2:$A$145,$A16)</x:f>
        <x:v>638</x:v>
      </x:c>
      <x:c r="F16" s="31" t="n">
        <x:f>SUMIFS(Subscriptions!$H$2:$H$145,Subscriptions!$A$2:$A$145,$A16)</x:f>
        <x:v>175131.54</x:v>
      </x:c>
      <x:c r="G16" s="31" t="n">
        <x:f>F16*12</x:f>
        <x:v>2101578.48</x:v>
      </x:c>
      <x:c r="H16" s="41" t="n">
        <x:f>IFERROR(F16/F15-1,0)</x:f>
        <x:v>0.027560740345575763</x:v>
      </x:c>
      <x:c r="I16" s="41" t="n">
        <x:f>IFERROR(D16/B16,0)</x:f>
        <x:v>0.01765650080256822</x:v>
      </x:c>
      <x:c r="J16" s="31" t="n">
        <x:f>IFERROR(F16/E16,0)</x:f>
        <x:v>274.50084639498436</x:v>
      </x:c>
      <x:c r="K16" s="30" t="str">
        <x:f>IF(A16&lt;DATE(2026,7,1),"Actual","Forecast")</x:f>
        <x:v>Actual</x:v>
      </x:c>
      <x:c r="L16" s="30"/>
    </x:row>
    <x:row r="17">
      <x:c r="A17" s="32" t="n">
        <x:v>45292</x:v>
      </x:c>
      <x:c r="B17" s="30" t="n">
        <x:f>SUMIFS(Subscriptions!$C$2:$C$145,Subscriptions!$A$2:$A$145,$A17)</x:f>
        <x:v>638</x:v>
      </x:c>
      <x:c r="C17" s="30" t="n">
        <x:f>SUMIFS(Subscriptions!$D$2:$D$145,Subscriptions!$A$2:$A$145,$A17)</x:f>
        <x:v>26</x:v>
      </x:c>
      <x:c r="D17" s="30" t="n">
        <x:f>SUMIFS(Subscriptions!$E$2:$E$145,Subscriptions!$A$2:$A$145,$A17)</x:f>
        <x:v>14</x:v>
      </x:c>
      <x:c r="E17" s="30" t="n">
        <x:f>SUMIFS(Subscriptions!$F$2:$F$145,Subscriptions!$A$2:$A$145,$A17)</x:f>
        <x:v>650</x:v>
      </x:c>
      <x:c r="F17" s="31" t="n">
        <x:f>SUMIFS(Subscriptions!$H$2:$H$145,Subscriptions!$A$2:$A$145,$A17)</x:f>
        <x:v>185552.36361</x:v>
      </x:c>
      <x:c r="G17" s="31" t="n">
        <x:f>F17*12</x:f>
        <x:v>2226628.36332</x:v>
      </x:c>
      <x:c r="H17" s="41" t="n">
        <x:f>IFERROR(F17/F16-1,0)</x:f>
        <x:v>0.05950283775269716</x:v>
      </x:c>
      <x:c r="I17" s="41" t="n">
        <x:f>IFERROR(D17/B17,0)</x:f>
        <x:v>0.0219435736677116</x:v>
      </x:c>
      <x:c r="J17" s="31" t="n">
        <x:f>IFERROR(F17/E17,0)</x:f>
        <x:v>285.4651747846154</x:v>
      </x:c>
      <x:c r="K17" s="30" t="str">
        <x:f>IF(A17&lt;DATE(2026,7,1),"Actual","Forecast")</x:f>
        <x:v>Actual</x:v>
      </x:c>
      <x:c r="L17" s="30"/>
    </x:row>
    <x:row r="18">
      <x:c r="A18" s="32" t="n">
        <x:v>45323</x:v>
      </x:c>
      <x:c r="B18" s="30" t="n">
        <x:f>SUMIFS(Subscriptions!$C$2:$C$145,Subscriptions!$A$2:$A$145,$A18)</x:f>
        <x:v>650</x:v>
      </x:c>
      <x:c r="C18" s="30" t="n">
        <x:f>SUMIFS(Subscriptions!$D$2:$D$145,Subscriptions!$A$2:$A$145,$A18)</x:f>
        <x:v>27</x:v>
      </x:c>
      <x:c r="D18" s="30" t="n">
        <x:f>SUMIFS(Subscriptions!$E$2:$E$145,Subscriptions!$A$2:$A$145,$A18)</x:f>
        <x:v>13</x:v>
      </x:c>
      <x:c r="E18" s="30" t="n">
        <x:f>SUMIFS(Subscriptions!$F$2:$F$145,Subscriptions!$A$2:$A$145,$A18)</x:f>
        <x:v>664</x:v>
      </x:c>
      <x:c r="F18" s="31" t="n">
        <x:f>SUMIFS(Subscriptions!$H$2:$H$145,Subscriptions!$A$2:$A$145,$A18)</x:f>
        <x:v>190311.5979</x:v>
      </x:c>
      <x:c r="G18" s="31" t="n">
        <x:f>F18*12</x:f>
        <x:v>2283739.1748</x:v>
      </x:c>
      <x:c r="H18" s="41" t="n">
        <x:f>IFERROR(F18/F17-1,0)</x:f>
        <x:v>0.02564900924680802</x:v>
      </x:c>
      <x:c r="I18" s="41" t="n">
        <x:f>IFERROR(D18/B18,0)</x:f>
        <x:v>0.02</x:v>
      </x:c>
      <x:c r="J18" s="31" t="n">
        <x:f>IFERROR(F18/E18,0)</x:f>
        <x:v>286.61385225903615</x:v>
      </x:c>
      <x:c r="K18" s="30" t="str">
        <x:f>IF(A18&lt;DATE(2026,7,1),"Actual","Forecast")</x:f>
        <x:v>Actual</x:v>
      </x:c>
      <x:c r="L18" s="30"/>
    </x:row>
    <x:row r="19">
      <x:c r="A19" s="32" t="n">
        <x:v>45352</x:v>
      </x:c>
      <x:c r="B19" s="30" t="n">
        <x:f>SUMIFS(Subscriptions!$C$2:$C$145,Subscriptions!$A$2:$A$145,$A19)</x:f>
        <x:v>664</x:v>
      </x:c>
      <x:c r="C19" s="30" t="n">
        <x:f>SUMIFS(Subscriptions!$D$2:$D$145,Subscriptions!$A$2:$A$145,$A19)</x:f>
        <x:v>31</x:v>
      </x:c>
      <x:c r="D19" s="30" t="n">
        <x:f>SUMIFS(Subscriptions!$E$2:$E$145,Subscriptions!$A$2:$A$145,$A19)</x:f>
        <x:v>11</x:v>
      </x:c>
      <x:c r="E19" s="30" t="n">
        <x:f>SUMIFS(Subscriptions!$F$2:$F$145,Subscriptions!$A$2:$A$145,$A19)</x:f>
        <x:v>684</x:v>
      </x:c>
      <x:c r="F19" s="31" t="n">
        <x:f>SUMIFS(Subscriptions!$H$2:$H$145,Subscriptions!$A$2:$A$145,$A19)</x:f>
        <x:v>196211.79134999996</x:v>
      </x:c>
      <x:c r="G19" s="31" t="n">
        <x:f>F19*12</x:f>
        <x:v>2354541.4961999995</x:v>
      </x:c>
      <x:c r="H19" s="41" t="n">
        <x:f>IFERROR(F19/F18-1,0)</x:f>
        <x:v>0.031002805478519635</x:v>
      </x:c>
      <x:c r="I19" s="41" t="n">
        <x:f>IFERROR(D19/B19,0)</x:f>
        <x:v>0.016566265060240965</x:v>
      </x:c>
      <x:c r="J19" s="31" t="n">
        <x:f>IFERROR(F19/E19,0)</x:f>
        <x:v>286.8593440789473</x:v>
      </x:c>
      <x:c r="K19" s="30" t="str">
        <x:f>IF(A19&lt;DATE(2026,7,1),"Actual","Forecast")</x:f>
        <x:v>Actual</x:v>
      </x:c>
      <x:c r="L19" s="30"/>
    </x:row>
    <x:row r="20">
      <x:c r="A20" s="32" t="n">
        <x:v>45383</x:v>
      </x:c>
      <x:c r="B20" s="30" t="n">
        <x:f>SUMIFS(Subscriptions!$C$2:$C$145,Subscriptions!$A$2:$A$145,$A20)</x:f>
        <x:v>684</x:v>
      </x:c>
      <x:c r="C20" s="30" t="n">
        <x:f>SUMIFS(Subscriptions!$D$2:$D$145,Subscriptions!$A$2:$A$145,$A20)</x:f>
        <x:v>33</x:v>
      </x:c>
      <x:c r="D20" s="30" t="n">
        <x:f>SUMIFS(Subscriptions!$E$2:$E$145,Subscriptions!$A$2:$A$145,$A20)</x:f>
        <x:v>13</x:v>
      </x:c>
      <x:c r="E20" s="30" t="n">
        <x:f>SUMIFS(Subscriptions!$F$2:$F$145,Subscriptions!$A$2:$A$145,$A20)</x:f>
        <x:v>704</x:v>
      </x:c>
      <x:c r="F20" s="31" t="n">
        <x:f>SUMIFS(Subscriptions!$H$2:$H$145,Subscriptions!$A$2:$A$145,$A20)</x:f>
        <x:v>203332.03245</x:v>
      </x:c>
      <x:c r="G20" s="31" t="n">
        <x:f>F20*12</x:f>
        <x:v>2439984.3893999998</x:v>
      </x:c>
      <x:c r="H20" s="41" t="n">
        <x:f>IFERROR(F20/F19-1,0)</x:f>
        <x:v>0.03628854846597385</x:v>
      </x:c>
      <x:c r="I20" s="41" t="n">
        <x:f>IFERROR(D20/B20,0)</x:f>
        <x:v>0.019005847953216373</x:v>
      </x:c>
      <x:c r="J20" s="31" t="n">
        <x:f>IFERROR(F20/E20,0)</x:f>
        <x:v>288.82390973011366</x:v>
      </x:c>
      <x:c r="K20" s="30" t="str">
        <x:f>IF(A20&lt;DATE(2026,7,1),"Actual","Forecast")</x:f>
        <x:v>Actual</x:v>
      </x:c>
      <x:c r="L20" s="30"/>
    </x:row>
    <x:row r="21">
      <x:c r="A21" s="32" t="n">
        <x:v>45413</x:v>
      </x:c>
      <x:c r="B21" s="30" t="n">
        <x:f>SUMIFS(Subscriptions!$C$2:$C$145,Subscriptions!$A$2:$A$145,$A21)</x:f>
        <x:v>704</x:v>
      </x:c>
      <x:c r="C21" s="30" t="n">
        <x:f>SUMIFS(Subscriptions!$D$2:$D$145,Subscriptions!$A$2:$A$145,$A21)</x:f>
        <x:v>30</x:v>
      </x:c>
      <x:c r="D21" s="30" t="n">
        <x:f>SUMIFS(Subscriptions!$E$2:$E$145,Subscriptions!$A$2:$A$145,$A21)</x:f>
        <x:v>15</x:v>
      </x:c>
      <x:c r="E21" s="30" t="n">
        <x:f>SUMIFS(Subscriptions!$F$2:$F$145,Subscriptions!$A$2:$A$145,$A21)</x:f>
        <x:v>719</x:v>
      </x:c>
      <x:c r="F21" s="31" t="n">
        <x:f>SUMIFS(Subscriptions!$H$2:$H$145,Subscriptions!$A$2:$A$145,$A21)</x:f>
        <x:v>209676.86397</x:v>
      </x:c>
      <x:c r="G21" s="31" t="n">
        <x:f>F21*12</x:f>
        <x:v>2516122.36764</x:v>
      </x:c>
      <x:c r="H21" s="41" t="n">
        <x:f>IFERROR(F21/F20-1,0)</x:f>
        <x:v>0.03120428908101447</x:v>
      </x:c>
      <x:c r="I21" s="41" t="n">
        <x:f>IFERROR(D21/B21,0)</x:f>
        <x:v>0.02130681818181818</x:v>
      </x:c>
      <x:c r="J21" s="31" t="n">
        <x:f>IFERROR(F21/E21,0)</x:f>
        <x:v>291.62289842837276</x:v>
      </x:c>
      <x:c r="K21" s="30" t="str">
        <x:f>IF(A21&lt;DATE(2026,7,1),"Actual","Forecast")</x:f>
        <x:v>Actual</x:v>
      </x:c>
      <x:c r="L21" s="30"/>
    </x:row>
    <x:row r="22">
      <x:c r="A22" s="32" t="n">
        <x:v>45444</x:v>
      </x:c>
      <x:c r="B22" s="30" t="n">
        <x:f>SUMIFS(Subscriptions!$C$2:$C$145,Subscriptions!$A$2:$A$145,$A22)</x:f>
        <x:v>719</x:v>
      </x:c>
      <x:c r="C22" s="30" t="n">
        <x:f>SUMIFS(Subscriptions!$D$2:$D$145,Subscriptions!$A$2:$A$145,$A22)</x:f>
        <x:v>32</x:v>
      </x:c>
      <x:c r="D22" s="30" t="n">
        <x:f>SUMIFS(Subscriptions!$E$2:$E$145,Subscriptions!$A$2:$A$145,$A22)</x:f>
        <x:v>15</x:v>
      </x:c>
      <x:c r="E22" s="30" t="n">
        <x:f>SUMIFS(Subscriptions!$F$2:$F$145,Subscriptions!$A$2:$A$145,$A22)</x:f>
        <x:v>736</x:v>
      </x:c>
      <x:c r="F22" s="31" t="n">
        <x:f>SUMIFS(Subscriptions!$H$2:$H$145,Subscriptions!$A$2:$A$145,$A22)</x:f>
        <x:v>217015.87922999996</x:v>
      </x:c>
      <x:c r="G22" s="31" t="n">
        <x:f>F22*12</x:f>
        <x:v>2604190.5507599995</x:v>
      </x:c>
      <x:c r="H22" s="41" t="n">
        <x:f>IFERROR(F22/F21-1,0)</x:f>
        <x:v>0.035001550104498014</x:v>
      </x:c>
      <x:c r="I22" s="41" t="n">
        <x:f>IFERROR(D22/B22,0)</x:f>
        <x:v>0.02086230876216968</x:v>
      </x:c>
      <x:c r="J22" s="31" t="n">
        <x:f>IFERROR(F22/E22,0)</x:f>
        <x:v>294.85853156249993</x:v>
      </x:c>
      <x:c r="K22" s="30" t="str">
        <x:f>IF(A22&lt;DATE(2026,7,1),"Actual","Forecast")</x:f>
        <x:v>Actual</x:v>
      </x:c>
      <x:c r="L22" s="30"/>
    </x:row>
    <x:row r="23">
      <x:c r="A23" s="32" t="n">
        <x:v>45474</x:v>
      </x:c>
      <x:c r="B23" s="30" t="n">
        <x:f>SUMIFS(Subscriptions!$C$2:$C$145,Subscriptions!$A$2:$A$145,$A23)</x:f>
        <x:v>736</x:v>
      </x:c>
      <x:c r="C23" s="30" t="n">
        <x:f>SUMIFS(Subscriptions!$D$2:$D$145,Subscriptions!$A$2:$A$145,$A23)</x:f>
        <x:v>30</x:v>
      </x:c>
      <x:c r="D23" s="30" t="n">
        <x:f>SUMIFS(Subscriptions!$E$2:$E$145,Subscriptions!$A$2:$A$145,$A23)</x:f>
        <x:v>11</x:v>
      </x:c>
      <x:c r="E23" s="30" t="n">
        <x:f>SUMIFS(Subscriptions!$F$2:$F$145,Subscriptions!$A$2:$A$145,$A23)</x:f>
        <x:v>755</x:v>
      </x:c>
      <x:c r="F23" s="31" t="n">
        <x:f>SUMIFS(Subscriptions!$H$2:$H$145,Subscriptions!$A$2:$A$145,$A23)</x:f>
        <x:v>223770.57075</x:v>
      </x:c>
      <x:c r="G23" s="31" t="n">
        <x:f>F23*12</x:f>
        <x:v>2685246.8490000004</x:v>
      </x:c>
      <x:c r="H23" s="41" t="n">
        <x:f>IFERROR(F23/F22-1,0)</x:f>
        <x:v>0.031125333058422022</x:v>
      </x:c>
      <x:c r="I23" s="41" t="n">
        <x:f>IFERROR(D23/B23,0)</x:f>
        <x:v>0.014945652173913044</x:v>
      </x:c>
      <x:c r="J23" s="31" t="n">
        <x:f>IFERROR(F23/E23,0)</x:f>
        <x:v>296.38486192052983</x:v>
      </x:c>
      <x:c r="K23" s="30" t="str">
        <x:f>IF(A23&lt;DATE(2026,7,1),"Actual","Forecast")</x:f>
        <x:v>Actual</x:v>
      </x:c>
      <x:c r="L23" s="30"/>
    </x:row>
    <x:row r="24">
      <x:c r="A24" s="32" t="n">
        <x:v>45505</x:v>
      </x:c>
      <x:c r="B24" s="30" t="n">
        <x:f>SUMIFS(Subscriptions!$C$2:$C$145,Subscriptions!$A$2:$A$145,$A24)</x:f>
        <x:v>755</x:v>
      </x:c>
      <x:c r="C24" s="30" t="n">
        <x:f>SUMIFS(Subscriptions!$D$2:$D$145,Subscriptions!$A$2:$A$145,$A24)</x:f>
        <x:v>30</x:v>
      </x:c>
      <x:c r="D24" s="30" t="n">
        <x:f>SUMIFS(Subscriptions!$E$2:$E$145,Subscriptions!$A$2:$A$145,$A24)</x:f>
        <x:v>14</x:v>
      </x:c>
      <x:c r="E24" s="30" t="n">
        <x:f>SUMIFS(Subscriptions!$F$2:$F$145,Subscriptions!$A$2:$A$145,$A24)</x:f>
        <x:v>771</x:v>
      </x:c>
      <x:c r="F24" s="31" t="n">
        <x:f>SUMIFS(Subscriptions!$H$2:$H$145,Subscriptions!$A$2:$A$145,$A24)</x:f>
        <x:v>230480.95185</x:v>
      </x:c>
      <x:c r="G24" s="31" t="n">
        <x:f>F24*12</x:f>
        <x:v>2765771.4222</x:v>
      </x:c>
      <x:c r="H24" s="41" t="n">
        <x:f>IFERROR(F24/F23-1,0)</x:f>
        <x:v>0.02998777309057732</x:v>
      </x:c>
      <x:c r="I24" s="41" t="n">
        <x:f>IFERROR(D24/B24,0)</x:f>
        <x:v>0.018543046357615896</x:v>
      </x:c>
      <x:c r="J24" s="31" t="n">
        <x:f>IFERROR(F24/E24,0)</x:f>
        <x:v>298.93768073929965</x:v>
      </x:c>
      <x:c r="K24" s="30" t="str">
        <x:f>IF(A24&lt;DATE(2026,7,1),"Actual","Forecast")</x:f>
        <x:v>Actual</x:v>
      </x:c>
      <x:c r="L24" s="30"/>
    </x:row>
    <x:row r="25">
      <x:c r="A25" s="32" t="n">
        <x:v>45536</x:v>
      </x:c>
      <x:c r="B25" s="30" t="n">
        <x:f>SUMIFS(Subscriptions!$C$2:$C$145,Subscriptions!$A$2:$A$145,$A25)</x:f>
        <x:v>771</x:v>
      </x:c>
      <x:c r="C25" s="30" t="n">
        <x:f>SUMIFS(Subscriptions!$D$2:$D$145,Subscriptions!$A$2:$A$145,$A25)</x:f>
        <x:v>30</x:v>
      </x:c>
      <x:c r="D25" s="30" t="n">
        <x:f>SUMIFS(Subscriptions!$E$2:$E$145,Subscriptions!$A$2:$A$145,$A25)</x:f>
        <x:v>15</x:v>
      </x:c>
      <x:c r="E25" s="30" t="n">
        <x:f>SUMIFS(Subscriptions!$F$2:$F$145,Subscriptions!$A$2:$A$145,$A25)</x:f>
        <x:v>786</x:v>
      </x:c>
      <x:c r="F25" s="31" t="n">
        <x:f>SUMIFS(Subscriptions!$H$2:$H$145,Subscriptions!$A$2:$A$145,$A25)</x:f>
        <x:v>235868.8203</x:v>
      </x:c>
      <x:c r="G25" s="31" t="n">
        <x:f>F25*12</x:f>
        <x:v>2830425.8436</x:v>
      </x:c>
      <x:c r="H25" s="41" t="n">
        <x:f>IFERROR(F25/F24-1,0)</x:f>
        <x:v>0.023376632241203454</x:v>
      </x:c>
      <x:c r="I25" s="41" t="n">
        <x:f>IFERROR(D25/B25,0)</x:f>
        <x:v>0.019455252918287938</x:v>
      </x:c>
      <x:c r="J25" s="31" t="n">
        <x:f>IFERROR(F25/E25,0)</x:f>
        <x:v>300.0875576335878</x:v>
      </x:c>
      <x:c r="K25" s="30" t="str">
        <x:f>IF(A25&lt;DATE(2026,7,1),"Actual","Forecast")</x:f>
        <x:v>Actual</x:v>
      </x:c>
      <x:c r="L25" s="30"/>
    </x:row>
    <x:row r="26">
      <x:c r="A26" s="32" t="n">
        <x:v>45566</x:v>
      </x:c>
      <x:c r="B26" s="30" t="n">
        <x:f>SUMIFS(Subscriptions!$C$2:$C$145,Subscriptions!$A$2:$A$145,$A26)</x:f>
        <x:v>786</x:v>
      </x:c>
      <x:c r="C26" s="30" t="n">
        <x:f>SUMIFS(Subscriptions!$D$2:$D$145,Subscriptions!$A$2:$A$145,$A26)</x:f>
        <x:v>33</x:v>
      </x:c>
      <x:c r="D26" s="30" t="n">
        <x:f>SUMIFS(Subscriptions!$E$2:$E$145,Subscriptions!$A$2:$A$145,$A26)</x:f>
        <x:v>16</x:v>
      </x:c>
      <x:c r="E26" s="30" t="n">
        <x:f>SUMIFS(Subscriptions!$F$2:$F$145,Subscriptions!$A$2:$A$145,$A26)</x:f>
        <x:v>803</x:v>
      </x:c>
      <x:c r="F26" s="31" t="n">
        <x:f>SUMIFS(Subscriptions!$H$2:$H$145,Subscriptions!$A$2:$A$145,$A26)</x:f>
        <x:v>241461.61874999997</x:v>
      </x:c>
      <x:c r="G26" s="31" t="n">
        <x:f>F26*12</x:f>
        <x:v>2897539.425</x:v>
      </x:c>
      <x:c r="H26" s="41" t="n">
        <x:f>IFERROR(F26/F25-1,0)</x:f>
        <x:v>0.02371147845182131</x:v>
      </x:c>
      <x:c r="I26" s="41" t="n">
        <x:f>IFERROR(D26/B26,0)</x:f>
        <x:v>0.020356234096692113</x:v>
      </x:c>
      <x:c r="J26" s="31" t="n">
        <x:f>IFERROR(F26/E26,0)</x:f>
        <x:v>300.69940068493145</x:v>
      </x:c>
      <x:c r="K26" s="30" t="str">
        <x:f>IF(A26&lt;DATE(2026,7,1),"Actual","Forecast")</x:f>
        <x:v>Actual</x:v>
      </x:c>
      <x:c r="L26" s="30"/>
    </x:row>
    <x:row r="27">
      <x:c r="A27" s="32" t="n">
        <x:v>45597</x:v>
      </x:c>
      <x:c r="B27" s="30" t="n">
        <x:f>SUMIFS(Subscriptions!$C$2:$C$145,Subscriptions!$A$2:$A$145,$A27)</x:f>
        <x:v>803</x:v>
      </x:c>
      <x:c r="C27" s="30" t="n">
        <x:f>SUMIFS(Subscriptions!$D$2:$D$145,Subscriptions!$A$2:$A$145,$A27)</x:f>
        <x:v>32</x:v>
      </x:c>
      <x:c r="D27" s="30" t="n">
        <x:f>SUMIFS(Subscriptions!$E$2:$E$145,Subscriptions!$A$2:$A$145,$A27)</x:f>
        <x:v>16</x:v>
      </x:c>
      <x:c r="E27" s="30" t="n">
        <x:f>SUMIFS(Subscriptions!$F$2:$F$145,Subscriptions!$A$2:$A$145,$A27)</x:f>
        <x:v>819</x:v>
      </x:c>
      <x:c r="F27" s="31" t="n">
        <x:f>SUMIFS(Subscriptions!$H$2:$H$145,Subscriptions!$A$2:$A$145,$A27)</x:f>
        <x:v>246951.95219999997</x:v>
      </x:c>
      <x:c r="G27" s="31" t="n">
        <x:f>F27*12</x:f>
        <x:v>2963423.4263999998</x:v>
      </x:c>
      <x:c r="H27" s="41" t="n">
        <x:f>IFERROR(F27/F26-1,0)</x:f>
        <x:v>0.022737913704142354</x:v>
      </x:c>
      <x:c r="I27" s="41" t="n">
        <x:f>IFERROR(D27/B27,0)</x:f>
        <x:v>0.019925280199252802</x:v>
      </x:c>
      <x:c r="J27" s="31" t="n">
        <x:f>IFERROR(F27/E27,0)</x:f>
        <x:v>301.5286351648351</x:v>
      </x:c>
      <x:c r="K27" s="30" t="str">
        <x:f>IF(A27&lt;DATE(2026,7,1),"Actual","Forecast")</x:f>
        <x:v>Actual</x:v>
      </x:c>
      <x:c r="L27" s="30"/>
    </x:row>
    <x:row r="28">
      <x:c r="A28" s="32" t="n">
        <x:v>45627</x:v>
      </x:c>
      <x:c r="B28" s="30" t="n">
        <x:f>SUMIFS(Subscriptions!$C$2:$C$145,Subscriptions!$A$2:$A$145,$A28)</x:f>
        <x:v>819</x:v>
      </x:c>
      <x:c r="C28" s="30" t="n">
        <x:f>SUMIFS(Subscriptions!$D$2:$D$145,Subscriptions!$A$2:$A$145,$A28)</x:f>
        <x:v>32</x:v>
      </x:c>
      <x:c r="D28" s="30" t="n">
        <x:f>SUMIFS(Subscriptions!$E$2:$E$145,Subscriptions!$A$2:$A$145,$A28)</x:f>
        <x:v>16</x:v>
      </x:c>
      <x:c r="E28" s="30" t="n">
        <x:f>SUMIFS(Subscriptions!$F$2:$F$145,Subscriptions!$A$2:$A$145,$A28)</x:f>
        <x:v>835</x:v>
      </x:c>
      <x:c r="F28" s="31" t="n">
        <x:f>SUMIFS(Subscriptions!$H$2:$H$145,Subscriptions!$A$2:$A$145,$A28)</x:f>
        <x:v>252179.20106999995</x:v>
      </x:c>
      <x:c r="G28" s="31" t="n">
        <x:f>F28*12</x:f>
        <x:v>3026150.4128399994</x:v>
      </x:c>
      <x:c r="H28" s="41" t="n">
        <x:f>IFERROR(F28/F27-1,0)</x:f>
        <x:v>0.021167068425385738</x:v>
      </x:c>
      <x:c r="I28" s="41" t="n">
        <x:f>IFERROR(D28/B28,0)</x:f>
        <x:v>0.019536019536019536</x:v>
      </x:c>
      <x:c r="J28" s="31" t="n">
        <x:f>IFERROR(F28/E28,0)</x:f>
        <x:v>302.0110192455089</x:v>
      </x:c>
      <x:c r="K28" s="30" t="str">
        <x:f>IF(A28&lt;DATE(2026,7,1),"Actual","Forecast")</x:f>
        <x:v>Actual</x:v>
      </x:c>
      <x:c r="L28" s="30"/>
    </x:row>
    <x:row r="29">
      <x:c r="A29" s="32" t="n">
        <x:v>45658</x:v>
      </x:c>
      <x:c r="B29" s="30" t="n">
        <x:f>SUMIFS(Subscriptions!$C$2:$C$145,Subscriptions!$A$2:$A$145,$A29)</x:f>
        <x:v>835</x:v>
      </x:c>
      <x:c r="C29" s="30" t="n">
        <x:f>SUMIFS(Subscriptions!$D$2:$D$145,Subscriptions!$A$2:$A$145,$A29)</x:f>
        <x:v>34</x:v>
      </x:c>
      <x:c r="D29" s="30" t="n">
        <x:f>SUMIFS(Subscriptions!$E$2:$E$145,Subscriptions!$A$2:$A$145,$A29)</x:f>
        <x:v>15</x:v>
      </x:c>
      <x:c r="E29" s="30" t="n">
        <x:f>SUMIFS(Subscriptions!$F$2:$F$145,Subscriptions!$A$2:$A$145,$A29)</x:f>
        <x:v>854</x:v>
      </x:c>
      <x:c r="F29" s="31" t="n">
        <x:f>SUMIFS(Subscriptions!$H$2:$H$145,Subscriptions!$A$2:$A$145,$A29)</x:f>
        <x:v>268268.87137095</x:v>
      </x:c>
      <x:c r="G29" s="31" t="n">
        <x:f>F29*12</x:f>
        <x:v>3219226.4564514</x:v>
      </x:c>
      <x:c r="H29" s="41" t="n">
        <x:f>IFERROR(F29/F28-1,0)</x:f>
        <x:v>0.06380252706282419</x:v>
      </x:c>
      <x:c r="I29" s="41" t="n">
        <x:f>IFERROR(D29/B29,0)</x:f>
        <x:v>0.017964071856287425</x:v>
      </x:c>
      <x:c r="J29" s="31" t="n">
        <x:f>IFERROR(F29/E29,0)</x:f>
        <x:v>314.1321678816745</x:v>
      </x:c>
      <x:c r="K29" s="30" t="str">
        <x:f>IF(A29&lt;DATE(2026,7,1),"Actual","Forecast")</x:f>
        <x:v>Actual</x:v>
      </x:c>
      <x:c r="L29" s="30"/>
    </x:row>
    <x:row r="30">
      <x:c r="A30" s="32" t="n">
        <x:v>45689</x:v>
      </x:c>
      <x:c r="B30" s="30" t="n">
        <x:f>SUMIFS(Subscriptions!$C$2:$C$145,Subscriptions!$A$2:$A$145,$A30)</x:f>
        <x:v>854</x:v>
      </x:c>
      <x:c r="C30" s="30" t="n">
        <x:f>SUMIFS(Subscriptions!$D$2:$D$145,Subscriptions!$A$2:$A$145,$A30)</x:f>
        <x:v>38</x:v>
      </x:c>
      <x:c r="D30" s="30" t="n">
        <x:f>SUMIFS(Subscriptions!$E$2:$E$145,Subscriptions!$A$2:$A$145,$A30)</x:f>
        <x:v>19</x:v>
      </x:c>
      <x:c r="E30" s="30" t="n">
        <x:f>SUMIFS(Subscriptions!$F$2:$F$145,Subscriptions!$A$2:$A$145,$A30)</x:f>
        <x:v>873</x:v>
      </x:c>
      <x:c r="F30" s="31" t="n">
        <x:f>SUMIFS(Subscriptions!$H$2:$H$145,Subscriptions!$A$2:$A$145,$A30)</x:f>
        <x:v>276349.14725534996</x:v>
      </x:c>
      <x:c r="G30" s="31" t="n">
        <x:f>F30*12</x:f>
        <x:v>3316189.7670642</x:v>
      </x:c>
      <x:c r="H30" s="41" t="n">
        <x:f>IFERROR(F30/F29-1,0)</x:f>
        <x:v>0.030120065153690145</x:v>
      </x:c>
      <x:c r="I30" s="41" t="n">
        <x:f>IFERROR(D30/B30,0)</x:f>
        <x:v>0.02224824355971897</x:v>
      </x:c>
      <x:c r="J30" s="31" t="n">
        <x:f>IFERROR(F30/E30,0)</x:f>
        <x:v>316.55114233144326</x:v>
      </x:c>
      <x:c r="K30" s="30" t="str">
        <x:f>IF(A30&lt;DATE(2026,7,1),"Actual","Forecast")</x:f>
        <x:v>Actual</x:v>
      </x:c>
      <x:c r="L30" s="30"/>
    </x:row>
    <x:row r="31">
      <x:c r="A31" s="32" t="n">
        <x:v>45717</x:v>
      </x:c>
      <x:c r="B31" s="30" t="n">
        <x:f>SUMIFS(Subscriptions!$C$2:$C$145,Subscriptions!$A$2:$A$145,$A31)</x:f>
        <x:v>873</x:v>
      </x:c>
      <x:c r="C31" s="30" t="n">
        <x:f>SUMIFS(Subscriptions!$D$2:$D$145,Subscriptions!$A$2:$A$145,$A31)</x:f>
        <x:v>40</x:v>
      </x:c>
      <x:c r="D31" s="30" t="n">
        <x:f>SUMIFS(Subscriptions!$E$2:$E$145,Subscriptions!$A$2:$A$145,$A31)</x:f>
        <x:v>16</x:v>
      </x:c>
      <x:c r="E31" s="30" t="n">
        <x:f>SUMIFS(Subscriptions!$F$2:$F$145,Subscriptions!$A$2:$A$145,$A31)</x:f>
        <x:v>897</x:v>
      </x:c>
      <x:c r="F31" s="31" t="n">
        <x:f>SUMIFS(Subscriptions!$H$2:$H$145,Subscriptions!$A$2:$A$145,$A31)</x:f>
        <x:v>285231.97205504996</x:v>
      </x:c>
      <x:c r="G31" s="31" t="n">
        <x:f>F31*12</x:f>
        <x:v>3422783.6646605995</x:v>
      </x:c>
      <x:c r="H31" s="41" t="n">
        <x:f>IFERROR(F31/F30-1,0)</x:f>
        <x:v>0.03214348547090751</x:v>
      </x:c>
      <x:c r="I31" s="41" t="n">
        <x:f>IFERROR(D31/B31,0)</x:f>
        <x:v>0.018327605956471937</x:v>
      </x:c>
      <x:c r="J31" s="31" t="n">
        <x:f>IFERROR(F31/E31,0)</x:f>
        <x:v>317.98436126538456</x:v>
      </x:c>
      <x:c r="K31" s="30" t="str">
        <x:f>IF(A31&lt;DATE(2026,7,1),"Actual","Forecast")</x:f>
        <x:v>Actual</x:v>
      </x:c>
      <x:c r="L31" s="30"/>
    </x:row>
    <x:row r="32">
      <x:c r="A32" s="32" t="n">
        <x:v>45748</x:v>
      </x:c>
      <x:c r="B32" s="30" t="n">
        <x:f>SUMIFS(Subscriptions!$C$2:$C$145,Subscriptions!$A$2:$A$145,$A32)</x:f>
        <x:v>897</x:v>
      </x:c>
      <x:c r="C32" s="30" t="n">
        <x:f>SUMIFS(Subscriptions!$D$2:$D$145,Subscriptions!$A$2:$A$145,$A32)</x:f>
        <x:v>40</x:v>
      </x:c>
      <x:c r="D32" s="30" t="n">
        <x:f>SUMIFS(Subscriptions!$E$2:$E$145,Subscriptions!$A$2:$A$145,$A32)</x:f>
        <x:v>15</x:v>
      </x:c>
      <x:c r="E32" s="30" t="n">
        <x:f>SUMIFS(Subscriptions!$F$2:$F$145,Subscriptions!$A$2:$A$145,$A32)</x:f>
        <x:v>922</x:v>
      </x:c>
      <x:c r="F32" s="31" t="n">
        <x:f>SUMIFS(Subscriptions!$H$2:$H$145,Subscriptions!$A$2:$A$145,$A32)</x:f>
        <x:v>292685.80627169996</x:v>
      </x:c>
      <x:c r="G32" s="31" t="n">
        <x:f>F32*12</x:f>
        <x:v>3512229.6752603995</x:v>
      </x:c>
      <x:c r="H32" s="41" t="n">
        <x:f>IFERROR(F32/F31-1,0)</x:f>
        <x:v>0.026132534031673593</x:v>
      </x:c>
      <x:c r="I32" s="41" t="n">
        <x:f>IFERROR(D32/B32,0)</x:f>
        <x:v>0.016722408026755852</x:v>
      </x:c>
      <x:c r="J32" s="31" t="n">
        <x:f>IFERROR(F32/E32,0)</x:f>
        <x:v>317.4466445463123</x:v>
      </x:c>
      <x:c r="K32" s="30" t="str">
        <x:f>IF(A32&lt;DATE(2026,7,1),"Actual","Forecast")</x:f>
        <x:v>Actual</x:v>
      </x:c>
      <x:c r="L32" s="30"/>
    </x:row>
    <x:row r="33">
      <x:c r="A33" s="32" t="n">
        <x:v>45778</x:v>
      </x:c>
      <x:c r="B33" s="30" t="n">
        <x:f>SUMIFS(Subscriptions!$C$2:$C$145,Subscriptions!$A$2:$A$145,$A33)</x:f>
        <x:v>922</x:v>
      </x:c>
      <x:c r="C33" s="30" t="n">
        <x:f>SUMIFS(Subscriptions!$D$2:$D$145,Subscriptions!$A$2:$A$145,$A33)</x:f>
        <x:v>46</x:v>
      </x:c>
      <x:c r="D33" s="30" t="n">
        <x:f>SUMIFS(Subscriptions!$E$2:$E$145,Subscriptions!$A$2:$A$145,$A33)</x:f>
        <x:v>22</x:v>
      </x:c>
      <x:c r="E33" s="30" t="n">
        <x:f>SUMIFS(Subscriptions!$F$2:$F$145,Subscriptions!$A$2:$A$145,$A33)</x:f>
        <x:v>946</x:v>
      </x:c>
      <x:c r="F33" s="31" t="n">
        <x:f>SUMIFS(Subscriptions!$H$2:$H$145,Subscriptions!$A$2:$A$145,$A33)</x:f>
        <x:v>302385.50869229995</x:v>
      </x:c>
      <x:c r="G33" s="31" t="n">
        <x:f>F33*12</x:f>
        <x:v>3628626.1043075994</x:v>
      </x:c>
      <x:c r="H33" s="41" t="n">
        <x:f>IFERROR(F33/F32-1,0)</x:f>
        <x:v>0.03314032389939592</x:v>
      </x:c>
      <x:c r="I33" s="41" t="n">
        <x:f>IFERROR(D33/B33,0)</x:f>
        <x:v>0.02386117136659436</x:v>
      </x:c>
      <x:c r="J33" s="31" t="n">
        <x:f>IFERROR(F33/E33,0)</x:f>
        <x:v>319.6464151081395</x:v>
      </x:c>
      <x:c r="K33" s="30" t="str">
        <x:f>IF(A33&lt;DATE(2026,7,1),"Actual","Forecast")</x:f>
        <x:v>Actual</x:v>
      </x:c>
      <x:c r="L33" s="30"/>
    </x:row>
    <x:row r="34">
      <x:c r="A34" s="32" t="n">
        <x:v>45809</x:v>
      </x:c>
      <x:c r="B34" s="30" t="n">
        <x:f>SUMIFS(Subscriptions!$C$2:$C$145,Subscriptions!$A$2:$A$145,$A34)</x:f>
        <x:v>946</x:v>
      </x:c>
      <x:c r="C34" s="30" t="n">
        <x:f>SUMIFS(Subscriptions!$D$2:$D$145,Subscriptions!$A$2:$A$145,$A34)</x:f>
        <x:v>43</x:v>
      </x:c>
      <x:c r="D34" s="30" t="n">
        <x:f>SUMIFS(Subscriptions!$E$2:$E$145,Subscriptions!$A$2:$A$145,$A34)</x:f>
        <x:v>19</x:v>
      </x:c>
      <x:c r="E34" s="30" t="n">
        <x:f>SUMIFS(Subscriptions!$F$2:$F$145,Subscriptions!$A$2:$A$145,$A34)</x:f>
        <x:v>970</x:v>
      </x:c>
      <x:c r="F34" s="31" t="n">
        <x:f>SUMIFS(Subscriptions!$H$2:$H$145,Subscriptions!$A$2:$A$145,$A34)</x:f>
        <x:v>310550.16925484996</x:v>
      </x:c>
      <x:c r="G34" s="31" t="n">
        <x:f>F34*12</x:f>
        <x:v>3726602.0310581997</x:v>
      </x:c>
      <x:c r="H34" s="41" t="n">
        <x:f>IFERROR(F34/F33-1,0)</x:f>
        <x:v>0.02700083280398924</x:v>
      </x:c>
      <x:c r="I34" s="41" t="n">
        <x:f>IFERROR(D34/B34,0)</x:f>
        <x:v>0.0200845665961945</x:v>
      </x:c>
      <x:c r="J34" s="31" t="n">
        <x:f>IFERROR(F34/E34,0)</x:f>
        <x:v>320.1548136647938</x:v>
      </x:c>
      <x:c r="K34" s="30" t="str">
        <x:f>IF(A34&lt;DATE(2026,7,1),"Actual","Forecast")</x:f>
        <x:v>Actual</x:v>
      </x:c>
      <x:c r="L34" s="30"/>
    </x:row>
    <x:row r="35">
      <x:c r="A35" s="32" t="n">
        <x:v>45839</x:v>
      </x:c>
      <x:c r="B35" s="30" t="n">
        <x:f>SUMIFS(Subscriptions!$C$2:$C$145,Subscriptions!$A$2:$A$145,$A35)</x:f>
        <x:v>970</x:v>
      </x:c>
      <x:c r="C35" s="30" t="n">
        <x:f>SUMIFS(Subscriptions!$D$2:$D$145,Subscriptions!$A$2:$A$145,$A35)</x:f>
        <x:v>44</x:v>
      </x:c>
      <x:c r="D35" s="30" t="n">
        <x:f>SUMIFS(Subscriptions!$E$2:$E$145,Subscriptions!$A$2:$A$145,$A35)</x:f>
        <x:v>21</x:v>
      </x:c>
      <x:c r="E35" s="30" t="n">
        <x:f>SUMIFS(Subscriptions!$F$2:$F$145,Subscriptions!$A$2:$A$145,$A35)</x:f>
        <x:v>993</x:v>
      </x:c>
      <x:c r="F35" s="31" t="n">
        <x:f>SUMIFS(Subscriptions!$H$2:$H$145,Subscriptions!$A$2:$A$145,$A35)</x:f>
        <x:v>318881.0710826999</x:v>
      </x:c>
      <x:c r="G35" s="31" t="n">
        <x:f>F35*12</x:f>
        <x:v>3826572.852992399</x:v>
      </x:c>
      <x:c r="H35" s="41" t="n">
        <x:f>IFERROR(F35/F34-1,0)</x:f>
        <x:v>0.026826267227094247</x:v>
      </x:c>
      <x:c r="I35" s="41" t="n">
        <x:f>IFERROR(D35/B35,0)</x:f>
        <x:v>0.021649484536082474</x:v>
      </x:c>
      <x:c r="J35" s="31" t="n">
        <x:f>IFERROR(F35/E35,0)</x:f>
        <x:v>321.12897389999995</x:v>
      </x:c>
      <x:c r="K35" s="30" t="str">
        <x:f>IF(A35&lt;DATE(2026,7,1),"Actual","Forecast")</x:f>
        <x:v>Actual</x:v>
      </x:c>
      <x:c r="L35" s="30"/>
    </x:row>
    <x:row r="36">
      <x:c r="A36" s="32" t="n">
        <x:v>45870</x:v>
      </x:c>
      <x:c r="B36" s="30" t="n">
        <x:f>SUMIFS(Subscriptions!$C$2:$C$145,Subscriptions!$A$2:$A$145,$A36)</x:f>
        <x:v>993</x:v>
      </x:c>
      <x:c r="C36" s="30" t="n">
        <x:f>SUMIFS(Subscriptions!$D$2:$D$145,Subscriptions!$A$2:$A$145,$A36)</x:f>
        <x:v>39</x:v>
      </x:c>
      <x:c r="D36" s="30" t="n">
        <x:f>SUMIFS(Subscriptions!$E$2:$E$145,Subscriptions!$A$2:$A$145,$A36)</x:f>
        <x:v>17</x:v>
      </x:c>
      <x:c r="E36" s="30" t="n">
        <x:f>SUMIFS(Subscriptions!$F$2:$F$145,Subscriptions!$A$2:$A$145,$A36)</x:f>
        <x:v>1015</x:v>
      </x:c>
      <x:c r="F36" s="31" t="n">
        <x:f>SUMIFS(Subscriptions!$H$2:$H$145,Subscriptions!$A$2:$A$145,$A36)</x:f>
        <x:v>326734.9157115</x:v>
      </x:c>
      <x:c r="G36" s="31" t="n">
        <x:f>F36*12</x:f>
        <x:v>3920818.988538</x:v>
      </x:c>
      <x:c r="H36" s="41" t="n">
        <x:f>IFERROR(F36/F35-1,0)</x:f>
        <x:v>0.024629384874222282</x:v>
      </x:c>
      <x:c r="I36" s="41" t="n">
        <x:f>IFERROR(D36/B36,0)</x:f>
        <x:v>0.017119838872104734</x:v>
      </x:c>
      <x:c r="J36" s="31" t="n">
        <x:f>IFERROR(F36/E36,0)</x:f>
        <x:v>321.90632089802955</x:v>
      </x:c>
      <x:c r="K36" s="30" t="str">
        <x:f>IF(A36&lt;DATE(2026,7,1),"Actual","Forecast")</x:f>
        <x:v>Actual</x:v>
      </x:c>
      <x:c r="L36" s="30"/>
    </x:row>
    <x:row r="37">
      <x:c r="A37" s="32" t="n">
        <x:v>45901</x:v>
      </x:c>
      <x:c r="B37" s="30" t="n">
        <x:f>SUMIFS(Subscriptions!$C$2:$C$145,Subscriptions!$A$2:$A$145,$A37)</x:f>
        <x:v>1015</x:v>
      </x:c>
      <x:c r="C37" s="30" t="n">
        <x:f>SUMIFS(Subscriptions!$D$2:$D$145,Subscriptions!$A$2:$A$145,$A37)</x:f>
        <x:v>36</x:v>
      </x:c>
      <x:c r="D37" s="30" t="n">
        <x:f>SUMIFS(Subscriptions!$E$2:$E$145,Subscriptions!$A$2:$A$145,$A37)</x:f>
        <x:v>20</x:v>
      </x:c>
      <x:c r="E37" s="30" t="n">
        <x:f>SUMIFS(Subscriptions!$F$2:$F$145,Subscriptions!$A$2:$A$145,$A37)</x:f>
        <x:v>1031</x:v>
      </x:c>
      <x:c r="F37" s="31" t="n">
        <x:f>SUMIFS(Subscriptions!$H$2:$H$145,Subscriptions!$A$2:$A$145,$A37)</x:f>
        <x:v>332961.9959128499</x:v>
      </x:c>
      <x:c r="G37" s="31" t="n">
        <x:f>F37*12</x:f>
        <x:v>3995543.950954199</x:v>
      </x:c>
      <x:c r="H37" s="41" t="n">
        <x:f>IFERROR(F37/F36-1,0)</x:f>
        <x:v>0.019058508601046853</x:v>
      </x:c>
      <x:c r="I37" s="41" t="n">
        <x:f>IFERROR(D37/B37,0)</x:f>
        <x:v>0.019704433497536946</x:v>
      </x:c>
      <x:c r="J37" s="31" t="n">
        <x:f>IFERROR(F37/E37,0)</x:f>
        <x:v>322.95052949839953</x:v>
      </x:c>
      <x:c r="K37" s="30" t="str">
        <x:f>IF(A37&lt;DATE(2026,7,1),"Actual","Forecast")</x:f>
        <x:v>Actual</x:v>
      </x:c>
      <x:c r="L37" s="30"/>
    </x:row>
    <x:row r="38">
      <x:c r="A38" s="32" t="n">
        <x:v>45931</x:v>
      </x:c>
      <x:c r="B38" s="30" t="n">
        <x:f>SUMIFS(Subscriptions!$C$2:$C$145,Subscriptions!$A$2:$A$145,$A38)</x:f>
        <x:v>1031</x:v>
      </x:c>
      <x:c r="C38" s="30" t="n">
        <x:f>SUMIFS(Subscriptions!$D$2:$D$145,Subscriptions!$A$2:$A$145,$A38)</x:f>
        <x:v>42</x:v>
      </x:c>
      <x:c r="D38" s="30" t="n">
        <x:f>SUMIFS(Subscriptions!$E$2:$E$145,Subscriptions!$A$2:$A$145,$A38)</x:f>
        <x:v>22</x:v>
      </x:c>
      <x:c r="E38" s="30" t="n">
        <x:f>SUMIFS(Subscriptions!$F$2:$F$145,Subscriptions!$A$2:$A$145,$A38)</x:f>
        <x:v>1051</x:v>
      </x:c>
      <x:c r="F38" s="31" t="n">
        <x:f>SUMIFS(Subscriptions!$H$2:$H$145,Subscriptions!$A$2:$A$145,$A38)</x:f>
        <x:v>339885.57375449996</x:v>
      </x:c>
      <x:c r="G38" s="31" t="n">
        <x:f>F38*12</x:f>
        <x:v>4078626.8850539997</x:v>
      </x:c>
      <x:c r="H38" s="41" t="n">
        <x:f>IFERROR(F38/F37-1,0)</x:f>
        <x:v>0.02079389818248889</x:v>
      </x:c>
      <x:c r="I38" s="41" t="n">
        <x:f>IFERROR(D38/B38,0)</x:f>
        <x:v>0.02133850630455868</x:v>
      </x:c>
      <x:c r="J38" s="31" t="n">
        <x:f>IFERROR(F38/E38,0)</x:f>
        <x:v>323.39255352473833</x:v>
      </x:c>
      <x:c r="K38" s="30" t="str">
        <x:f>IF(A38&lt;DATE(2026,7,1),"Actual","Forecast")</x:f>
        <x:v>Actual</x:v>
      </x:c>
      <x:c r="L38" s="30"/>
    </x:row>
    <x:row r="39">
      <x:c r="A39" s="32" t="n">
        <x:v>45962</x:v>
      </x:c>
      <x:c r="B39" s="30" t="n">
        <x:f>SUMIFS(Subscriptions!$C$2:$C$145,Subscriptions!$A$2:$A$145,$A39)</x:f>
        <x:v>1051</x:v>
      </x:c>
      <x:c r="C39" s="30" t="n">
        <x:f>SUMIFS(Subscriptions!$D$2:$D$145,Subscriptions!$A$2:$A$145,$A39)</x:f>
        <x:v>41</x:v>
      </x:c>
      <x:c r="D39" s="30" t="n">
        <x:f>SUMIFS(Subscriptions!$E$2:$E$145,Subscriptions!$A$2:$A$145,$A39)</x:f>
        <x:v>18</x:v>
      </x:c>
      <x:c r="E39" s="30" t="n">
        <x:f>SUMIFS(Subscriptions!$F$2:$F$145,Subscriptions!$A$2:$A$145,$A39)</x:f>
        <x:v>1074</x:v>
      </x:c>
      <x:c r="F39" s="31" t="n">
        <x:f>SUMIFS(Subscriptions!$H$2:$H$145,Subscriptions!$A$2:$A$145,$A39)</x:f>
        <x:v>347127.30542114994</x:v>
      </x:c>
      <x:c r="G39" s="31" t="n">
        <x:f>F39*12</x:f>
        <x:v>4165527.6650537993</x:v>
      </x:c>
      <x:c r="H39" s="41" t="n">
        <x:f>IFERROR(F39/F38-1,0)</x:f>
        <x:v>0.02130638139964325</x:v>
      </x:c>
      <x:c r="I39" s="41" t="n">
        <x:f>IFERROR(D39/B39,0)</x:f>
        <x:v>0.017126546146527116</x:v>
      </x:c>
      <x:c r="J39" s="31" t="n">
        <x:f>IFERROR(F39/E39,0)</x:f>
        <x:v>323.2097815839385</x:v>
      </x:c>
      <x:c r="K39" s="30" t="str">
        <x:f>IF(A39&lt;DATE(2026,7,1),"Actual","Forecast")</x:f>
        <x:v>Actual</x:v>
      </x:c>
      <x:c r="L39" s="30"/>
    </x:row>
    <x:row r="40">
      <x:c r="A40" s="32" t="n">
        <x:v>45992</x:v>
      </x:c>
      <x:c r="B40" s="30" t="n">
        <x:f>SUMIFS(Subscriptions!$C$2:$C$145,Subscriptions!$A$2:$A$145,$A40)</x:f>
        <x:v>1074</x:v>
      </x:c>
      <x:c r="C40" s="30" t="n">
        <x:f>SUMIFS(Subscriptions!$D$2:$D$145,Subscriptions!$A$2:$A$145,$A40)</x:f>
        <x:v>39</x:v>
      </x:c>
      <x:c r="D40" s="30" t="n">
        <x:f>SUMIFS(Subscriptions!$E$2:$E$145,Subscriptions!$A$2:$A$145,$A40)</x:f>
        <x:v>25</x:v>
      </x:c>
      <x:c r="E40" s="30" t="n">
        <x:f>SUMIFS(Subscriptions!$F$2:$F$145,Subscriptions!$A$2:$A$145,$A40)</x:f>
        <x:v>1088</x:v>
      </x:c>
      <x:c r="F40" s="31" t="n">
        <x:f>SUMIFS(Subscriptions!$H$2:$H$145,Subscriptions!$A$2:$A$145,$A40)</x:f>
        <x:v>352597.6979919</x:v>
      </x:c>
      <x:c r="G40" s="31" t="n">
        <x:f>F40*12</x:f>
        <x:v>4231172.3759028</x:v>
      </x:c>
      <x:c r="H40" s="41" t="n">
        <x:f>IFERROR(F40/F39-1,0)</x:f>
        <x:v>0.015759038500624767</x:v>
      </x:c>
      <x:c r="I40" s="41" t="n">
        <x:f>IFERROR(D40/B40,0)</x:f>
        <x:v>0.023277467411545624</x:v>
      </x:c>
      <x:c r="J40" s="31" t="n">
        <x:f>IFERROR(F40/E40,0)</x:f>
        <x:v>324.0787665366728</x:v>
      </x:c>
      <x:c r="K40" s="30" t="str">
        <x:f>IF(A40&lt;DATE(2026,7,1),"Actual","Forecast")</x:f>
        <x:v>Actual</x:v>
      </x:c>
      <x:c r="L40" s="30"/>
    </x:row>
    <x:row r="41">
      <x:c r="A41" s="32" t="n">
        <x:v>46023</x:v>
      </x:c>
      <x:c r="B41" s="30" t="n">
        <x:f>SUMIFS(Subscriptions!$C$2:$C$145,Subscriptions!$A$2:$A$145,$A41)</x:f>
        <x:v>1088</x:v>
      </x:c>
      <x:c r="C41" s="30" t="n">
        <x:f>SUMIFS(Subscriptions!$D$2:$D$145,Subscriptions!$A$2:$A$145,$A41)</x:f>
        <x:v>47</x:v>
      </x:c>
      <x:c r="D41" s="30" t="n">
        <x:f>SUMIFS(Subscriptions!$E$2:$E$145,Subscriptions!$A$2:$A$145,$A41)</x:f>
        <x:v>17</x:v>
      </x:c>
      <x:c r="E41" s="30" t="n">
        <x:f>SUMIFS(Subscriptions!$F$2:$F$145,Subscriptions!$A$2:$A$145,$A41)</x:f>
        <x:v>1118</x:v>
      </x:c>
      <x:c r="F41" s="31" t="n">
        <x:f>SUMIFS(Subscriptions!$H$2:$H$145,Subscriptions!$A$2:$A$145,$A41)</x:f>
        <x:v>374047.61952160567</x:v>
      </x:c>
      <x:c r="G41" s="31" t="n">
        <x:f>F41*12</x:f>
        <x:v>4488571.4342592675</x:v>
      </x:c>
      <x:c r="H41" s="41" t="n">
        <x:f>IFERROR(F41/F40-1,0)</x:f>
        <x:v>0.060833980629670714</x:v>
      </x:c>
      <x:c r="I41" s="41" t="n">
        <x:f>IFERROR(D41/B41,0)</x:f>
        <x:v>0.015625</x:v>
      </x:c>
      <x:c r="J41" s="31" t="n">
        <x:f>IFERROR(F41/E41,0)</x:f>
        <x:v>334.56853266691024</x:v>
      </x:c>
      <x:c r="K41" s="30" t="str">
        <x:f>IF(A41&lt;DATE(2026,7,1),"Actual","Forecast")</x:f>
        <x:v>Actual</x:v>
      </x:c>
      <x:c r="L41" s="30"/>
    </x:row>
    <x:row r="42">
      <x:c r="A42" s="32" t="n">
        <x:v>46054</x:v>
      </x:c>
      <x:c r="B42" s="30" t="n">
        <x:f>SUMIFS(Subscriptions!$C$2:$C$145,Subscriptions!$A$2:$A$145,$A42)</x:f>
        <x:v>1118</x:v>
      </x:c>
      <x:c r="C42" s="30" t="n">
        <x:f>SUMIFS(Subscriptions!$D$2:$D$145,Subscriptions!$A$2:$A$145,$A42)</x:f>
        <x:v>55</x:v>
      </x:c>
      <x:c r="D42" s="30" t="n">
        <x:f>SUMIFS(Subscriptions!$E$2:$E$145,Subscriptions!$A$2:$A$145,$A42)</x:f>
        <x:v>20</x:v>
      </x:c>
      <x:c r="E42" s="30" t="n">
        <x:f>SUMIFS(Subscriptions!$F$2:$F$145,Subscriptions!$A$2:$A$145,$A42)</x:f>
        <x:v>1153</x:v>
      </x:c>
      <x:c r="F42" s="31" t="n">
        <x:f>SUMIFS(Subscriptions!$H$2:$H$145,Subscriptions!$A$2:$A$145,$A42)</x:f>
        <x:v>386139.67363043316</x:v>
      </x:c>
      <x:c r="G42" s="31" t="n">
        <x:f>F42*12</x:f>
        <x:v>4633676.083565198</x:v>
      </x:c>
      <x:c r="H42" s="41" t="n">
        <x:f>IFERROR(F42/F41-1,0)</x:f>
        <x:v>0.03232757937155917</x:v>
      </x:c>
      <x:c r="I42" s="41" t="n">
        <x:f>IFERROR(D42/B42,0)</x:f>
        <x:v>0.017889087656529516</x:v>
      </x:c>
      <x:c r="J42" s="31" t="n">
        <x:f>IFERROR(F42/E42,0)</x:f>
        <x:v>334.89997712960377</x:v>
      </x:c>
      <x:c r="K42" s="30" t="str">
        <x:f>IF(A42&lt;DATE(2026,7,1),"Actual","Forecast")</x:f>
        <x:v>Actual</x:v>
      </x:c>
      <x:c r="L42" s="30"/>
    </x:row>
    <x:row r="43">
      <x:c r="A43" s="32" t="n">
        <x:v>46082</x:v>
      </x:c>
      <x:c r="B43" s="30" t="n">
        <x:f>SUMIFS(Subscriptions!$C$2:$C$145,Subscriptions!$A$2:$A$145,$A43)</x:f>
        <x:v>1153</x:v>
      </x:c>
      <x:c r="C43" s="30" t="n">
        <x:f>SUMIFS(Subscriptions!$D$2:$D$145,Subscriptions!$A$2:$A$145,$A43)</x:f>
        <x:v>50</x:v>
      </x:c>
      <x:c r="D43" s="30" t="n">
        <x:f>SUMIFS(Subscriptions!$E$2:$E$145,Subscriptions!$A$2:$A$145,$A43)</x:f>
        <x:v>22</x:v>
      </x:c>
      <x:c r="E43" s="30" t="n">
        <x:f>SUMIFS(Subscriptions!$F$2:$F$145,Subscriptions!$A$2:$A$145,$A43)</x:f>
        <x:v>1181</x:v>
      </x:c>
      <x:c r="F43" s="31" t="n">
        <x:f>SUMIFS(Subscriptions!$H$2:$H$145,Subscriptions!$A$2:$A$145,$A43)</x:f>
        <x:v>397181.56347267516</x:v>
      </x:c>
      <x:c r="G43" s="31" t="n">
        <x:f>F43*12</x:f>
        <x:v>4766178.761672102</x:v>
      </x:c>
      <x:c r="H43" s="41" t="n">
        <x:f>IFERROR(F43/F42-1,0)</x:f>
        <x:v>0.02859558495615766</x:v>
      </x:c>
      <x:c r="I43" s="41" t="n">
        <x:f>IFERROR(D43/B43,0)</x:f>
        <x:v>0.019080659150043366</x:v>
      </x:c>
      <x:c r="J43" s="31" t="n">
        <x:f>IFERROR(F43/E43,0)</x:f>
        <x:v>336.3095372334252</x:v>
      </x:c>
      <x:c r="K43" s="30" t="str">
        <x:f>IF(A43&lt;DATE(2026,7,1),"Actual","Forecast")</x:f>
        <x:v>Actual</x:v>
      </x:c>
      <x:c r="L43" s="30"/>
    </x:row>
    <x:row r="44">
      <x:c r="A44" s="32" t="n">
        <x:v>46113</x:v>
      </x:c>
      <x:c r="B44" s="30" t="n">
        <x:f>SUMIFS(Subscriptions!$C$2:$C$145,Subscriptions!$A$2:$A$145,$A44)</x:f>
        <x:v>1181</x:v>
      </x:c>
      <x:c r="C44" s="30" t="n">
        <x:f>SUMIFS(Subscriptions!$D$2:$D$145,Subscriptions!$A$2:$A$145,$A44)</x:f>
        <x:v>59</x:v>
      </x:c>
      <x:c r="D44" s="30" t="n">
        <x:f>SUMIFS(Subscriptions!$E$2:$E$145,Subscriptions!$A$2:$A$145,$A44)</x:f>
        <x:v>21</x:v>
      </x:c>
      <x:c r="E44" s="30" t="n">
        <x:f>SUMIFS(Subscriptions!$F$2:$F$145,Subscriptions!$A$2:$A$145,$A44)</x:f>
        <x:v>1219</x:v>
      </x:c>
      <x:c r="F44" s="31" t="n">
        <x:f>SUMIFS(Subscriptions!$H$2:$H$145,Subscriptions!$A$2:$A$145,$A44)</x:f>
        <x:v>410448.3751280091</x:v>
      </x:c>
      <x:c r="G44" s="31" t="n">
        <x:f>F44*12</x:f>
        <x:v>4925380.5015361095</x:v>
      </x:c>
      <x:c r="H44" s="41" t="n">
        <x:f>IFERROR(F44/F43-1,0)</x:f>
        <x:v>0.0334023853960852</x:v>
      </x:c>
      <x:c r="I44" s="41" t="n">
        <x:f>IFERROR(D44/B44,0)</x:f>
        <x:v>0.017781541066892465</x:v>
      </x:c>
      <x:c r="J44" s="31" t="n">
        <x:f>IFERROR(F44/E44,0)</x:f>
        <x:v>336.70908542084425</x:v>
      </x:c>
      <x:c r="K44" s="30" t="str">
        <x:f>IF(A44&lt;DATE(2026,7,1),"Actual","Forecast")</x:f>
        <x:v>Actual</x:v>
      </x:c>
      <x:c r="L44" s="30"/>
    </x:row>
    <x:row r="45">
      <x:c r="A45" s="32" t="n">
        <x:v>46143</x:v>
      </x:c>
      <x:c r="B45" s="30" t="n">
        <x:f>SUMIFS(Subscriptions!$C$2:$C$145,Subscriptions!$A$2:$A$145,$A45)</x:f>
        <x:v>1219</x:v>
      </x:c>
      <x:c r="C45" s="30" t="n">
        <x:f>SUMIFS(Subscriptions!$D$2:$D$145,Subscriptions!$A$2:$A$145,$A45)</x:f>
        <x:v>53</x:v>
      </x:c>
      <x:c r="D45" s="30" t="n">
        <x:f>SUMIFS(Subscriptions!$E$2:$E$145,Subscriptions!$A$2:$A$145,$A45)</x:f>
        <x:v>24</x:v>
      </x:c>
      <x:c r="E45" s="30" t="n">
        <x:f>SUMIFS(Subscriptions!$F$2:$F$145,Subscriptions!$A$2:$A$145,$A45)</x:f>
        <x:v>1248</x:v>
      </x:c>
      <x:c r="F45" s="31" t="n">
        <x:f>SUMIFS(Subscriptions!$H$2:$H$145,Subscriptions!$A$2:$A$145,$A45)</x:f>
        <x:v>420574.9052752154</x:v>
      </x:c>
      <x:c r="G45" s="31" t="n">
        <x:f>F45*12</x:f>
        <x:v>5046898.863302585</x:v>
      </x:c>
      <x:c r="H45" s="41" t="n">
        <x:f>IFERROR(F45/F44-1,0)</x:f>
        <x:v>0.024671872909834303</x:v>
      </x:c>
      <x:c r="I45" s="41" t="n">
        <x:f>IFERROR(D45/B45,0)</x:f>
        <x:v>0.019688269073010665</x:v>
      </x:c>
      <x:c r="J45" s="31" t="n">
        <x:f>IFERROR(F45/E45,0)</x:f>
        <x:v>336.999122816679</x:v>
      </x:c>
      <x:c r="K45" s="30" t="str">
        <x:f>IF(A45&lt;DATE(2026,7,1),"Actual","Forecast")</x:f>
        <x:v>Actual</x:v>
      </x:c>
      <x:c r="L45" s="30"/>
    </x:row>
    <x:row r="46">
      <x:c r="A46" s="32" t="n">
        <x:v>46174</x:v>
      </x:c>
      <x:c r="B46" s="30" t="n">
        <x:f>SUMIFS(Subscriptions!$C$2:$C$145,Subscriptions!$A$2:$A$145,$A46)</x:f>
        <x:v>1248</x:v>
      </x:c>
      <x:c r="C46" s="30" t="n">
        <x:f>SUMIFS(Subscriptions!$D$2:$D$145,Subscriptions!$A$2:$A$145,$A46)</x:f>
        <x:v>56</x:v>
      </x:c>
      <x:c r="D46" s="30" t="n">
        <x:f>SUMIFS(Subscriptions!$E$2:$E$145,Subscriptions!$A$2:$A$145,$A46)</x:f>
        <x:v>25</x:v>
      </x:c>
      <x:c r="E46" s="30" t="n">
        <x:f>SUMIFS(Subscriptions!$F$2:$F$145,Subscriptions!$A$2:$A$145,$A46)</x:f>
        <x:v>1279</x:v>
      </x:c>
      <x:c r="F46" s="31" t="n">
        <x:f>SUMIFS(Subscriptions!$H$2:$H$145,Subscriptions!$A$2:$A$145,$A46)</x:f>
        <x:v>430357.31600325066</x:v>
      </x:c>
      <x:c r="G46" s="31" t="n">
        <x:f>F46*12</x:f>
        <x:v>5164287.792039008</x:v>
      </x:c>
      <x:c r="H46" s="41" t="n">
        <x:f>IFERROR(F46/F45-1,0)</x:f>
        <x:v>0.023259615838548076</x:v>
      </x:c>
      <x:c r="I46" s="41" t="n">
        <x:f>IFERROR(D46/B46,0)</x:f>
        <x:v>0.020032051282051284</x:v>
      </x:c>
      <x:c r="J46" s="31" t="n">
        <x:f>IFERROR(F46/E46,0)</x:f>
        <x:v>336.47952775860097</x:v>
      </x:c>
      <x:c r="K46" s="30" t="str">
        <x:f>IF(A46&lt;DATE(2026,7,1),"Actual","Forecast")</x:f>
        <x:v>Actual</x:v>
      </x:c>
      <x:c r="L46" s="30"/>
    </x:row>
    <x:row r="47">
      <x:c r="A47" s="32" t="n">
        <x:v>46204</x:v>
      </x:c>
      <x:c r="B47" s="30" t="n">
        <x:f>SUMIFS(Subscriptions!$C$2:$C$145,Subscriptions!$A$2:$A$145,$A47)</x:f>
        <x:v>1279</x:v>
      </x:c>
      <x:c r="C47" s="30" t="n">
        <x:f>SUMIFS(Subscriptions!$D$2:$D$145,Subscriptions!$A$2:$A$145,$A47)</x:f>
        <x:v>54</x:v>
      </x:c>
      <x:c r="D47" s="30" t="n">
        <x:f>SUMIFS(Subscriptions!$E$2:$E$145,Subscriptions!$A$2:$A$145,$A47)</x:f>
        <x:v>24</x:v>
      </x:c>
      <x:c r="E47" s="30" t="n">
        <x:f>SUMIFS(Subscriptions!$F$2:$F$145,Subscriptions!$A$2:$A$145,$A47)</x:f>
        <x:v>1309</x:v>
      </x:c>
      <x:c r="F47" s="31" t="n">
        <x:f>SUMIFS(Subscriptions!$H$2:$H$145,Subscriptions!$A$2:$A$145,$A47)</x:f>
        <x:v>440593.60922008194</x:v>
      </x:c>
      <x:c r="G47" s="31" t="n">
        <x:f>F47*12</x:f>
        <x:v>5287123.310640983</x:v>
      </x:c>
      <x:c r="H47" s="41" t="n">
        <x:f>IFERROR(F47/F46-1,0)</x:f>
        <x:v>0.023785568029599746</x:v>
      </x:c>
      <x:c r="I47" s="41" t="n">
        <x:f>IFERROR(D47/B47,0)</x:f>
        <x:v>0.018764659890539485</x:v>
      </x:c>
      <x:c r="J47" s="31" t="n">
        <x:f>IFERROR(F47/E47,0)</x:f>
        <x:v>336.58793676094876</x:v>
      </x:c>
      <x:c r="K47" s="30" t="str">
        <x:f>IF(A47&lt;DATE(2026,7,1),"Actual","Forecast")</x:f>
        <x:v>Forecast</x:v>
      </x:c>
      <x:c r="L47" s="30"/>
    </x:row>
    <x:row r="48">
      <x:c r="A48" s="32" t="n">
        <x:v>46235</x:v>
      </x:c>
      <x:c r="B48" s="30" t="n">
        <x:f>SUMIFS(Subscriptions!$C$2:$C$145,Subscriptions!$A$2:$A$145,$A48)</x:f>
        <x:v>1309</x:v>
      </x:c>
      <x:c r="C48" s="30" t="n">
        <x:f>SUMIFS(Subscriptions!$D$2:$D$145,Subscriptions!$A$2:$A$145,$A48)</x:f>
        <x:v>52</x:v>
      </x:c>
      <x:c r="D48" s="30" t="n">
        <x:f>SUMIFS(Subscriptions!$E$2:$E$145,Subscriptions!$A$2:$A$145,$A48)</x:f>
        <x:v>25</x:v>
      </x:c>
      <x:c r="E48" s="30" t="n">
        <x:f>SUMIFS(Subscriptions!$F$2:$F$145,Subscriptions!$A$2:$A$145,$A48)</x:f>
        <x:v>1336</x:v>
      </x:c>
      <x:c r="F48" s="31" t="n">
        <x:f>SUMIFS(Subscriptions!$H$2:$H$145,Subscriptions!$A$2:$A$145,$A48)</x:f>
        <x:v>449936.96766961715</x:v>
      </x:c>
      <x:c r="G48" s="31" t="n">
        <x:f>F48*12</x:f>
        <x:v>5399243.612035406</x:v>
      </x:c>
      <x:c r="H48" s="41" t="n">
        <x:f>IFERROR(F48/F47-1,0)</x:f>
        <x:v>0.021206295901736727</x:v>
      </x:c>
      <x:c r="I48" s="41" t="n">
        <x:f>IFERROR(D48/B48,0)</x:f>
        <x:v>0.019098548510313215</x:v>
      </x:c>
      <x:c r="J48" s="31" t="n">
        <x:f>IFERROR(F48/E48,0)</x:f>
        <x:v>336.7791674173781</x:v>
      </x:c>
      <x:c r="K48" s="30" t="str">
        <x:f>IF(A48&lt;DATE(2026,7,1),"Actual","Forecast")</x:f>
        <x:v>Forecast</x:v>
      </x:c>
      <x:c r="L48" s="30"/>
    </x:row>
    <x:row r="49">
      <x:c r="A49" s="32" t="n">
        <x:v>46266</x:v>
      </x:c>
      <x:c r="B49" s="30" t="n">
        <x:f>SUMIFS(Subscriptions!$C$2:$C$145,Subscriptions!$A$2:$A$145,$A49)</x:f>
        <x:v>1336</x:v>
      </x:c>
      <x:c r="C49" s="30" t="n">
        <x:f>SUMIFS(Subscriptions!$D$2:$D$145,Subscriptions!$A$2:$A$145,$A49)</x:f>
        <x:v>51</x:v>
      </x:c>
      <x:c r="D49" s="30" t="n">
        <x:f>SUMIFS(Subscriptions!$E$2:$E$145,Subscriptions!$A$2:$A$145,$A49)</x:f>
        <x:v>26</x:v>
      </x:c>
      <x:c r="E49" s="30" t="n">
        <x:f>SUMIFS(Subscriptions!$F$2:$F$145,Subscriptions!$A$2:$A$145,$A49)</x:f>
        <x:v>1361</x:v>
      </x:c>
      <x:c r="F49" s="31" t="n">
        <x:f>SUMIFS(Subscriptions!$H$2:$H$145,Subscriptions!$A$2:$A$145,$A49)</x:f>
        <x:v>459060.7999799024</x:v>
      </x:c>
      <x:c r="G49" s="31" t="n">
        <x:f>F49*12</x:f>
        <x:v>5508729.599758829</x:v>
      </x:c>
      <x:c r="H49" s="41" t="n">
        <x:f>IFERROR(F49/F48-1,0)</x:f>
        <x:v>0.020278023291886438</x:v>
      </x:c>
      <x:c r="I49" s="41" t="n">
        <x:f>IFERROR(D49/B49,0)</x:f>
        <x:v>0.019461077844311378</x:v>
      </x:c>
      <x:c r="J49" s="31" t="n">
        <x:f>IFERROR(F49/E49,0)</x:f>
        <x:v>337.29669359287465</x:v>
      </x:c>
      <x:c r="K49" s="30" t="str">
        <x:f>IF(A49&lt;DATE(2026,7,1),"Actual","Forecast")</x:f>
        <x:v>Forecast</x:v>
      </x:c>
      <x:c r="L49" s="30"/>
    </x:row>
    <x:row r="50">
      <x:c r="A50" s="32" t="n">
        <x:v>46296</x:v>
      </x:c>
      <x:c r="B50" s="30" t="n">
        <x:f>SUMIFS(Subscriptions!$C$2:$C$145,Subscriptions!$A$2:$A$145,$A50)</x:f>
        <x:v>1361</x:v>
      </x:c>
      <x:c r="C50" s="30" t="n">
        <x:f>SUMIFS(Subscriptions!$D$2:$D$145,Subscriptions!$A$2:$A$145,$A50)</x:f>
        <x:v>51</x:v>
      </x:c>
      <x:c r="D50" s="30" t="n">
        <x:f>SUMIFS(Subscriptions!$E$2:$E$145,Subscriptions!$A$2:$A$145,$A50)</x:f>
        <x:v>26</x:v>
      </x:c>
      <x:c r="E50" s="30" t="n">
        <x:f>SUMIFS(Subscriptions!$F$2:$F$145,Subscriptions!$A$2:$A$145,$A50)</x:f>
        <x:v>1386</x:v>
      </x:c>
      <x:c r="F50" s="31" t="n">
        <x:f>SUMIFS(Subscriptions!$H$2:$H$145,Subscriptions!$A$2:$A$145,$A50)</x:f>
        <x:v>468184.63229018764</x:v>
      </x:c>
      <x:c r="G50" s="31" t="n">
        <x:f>F50*12</x:f>
        <x:v>5618215.587482251</x:v>
      </x:c>
      <x:c r="H50" s="41" t="n">
        <x:f>IFERROR(F50/F49-1,0)</x:f>
        <x:v>0.01987499762707845</x:v>
      </x:c>
      <x:c r="I50" s="41" t="n">
        <x:f>IFERROR(D50/B50,0)</x:f>
        <x:v>0.019103600293901544</x:v>
      </x:c>
      <x:c r="J50" s="31" t="n">
        <x:f>IFERROR(F50/E50,0)</x:f>
        <x:v>337.79554999292037</x:v>
      </x:c>
      <x:c r="K50" s="30" t="str">
        <x:f>IF(A50&lt;DATE(2026,7,1),"Actual","Forecast")</x:f>
        <x:v>Forecast</x:v>
      </x:c>
      <x:c r="L50" s="30"/>
    </x:row>
    <x:row r="51">
      <x:c r="A51" s="32" t="n">
        <x:v>46327</x:v>
      </x:c>
      <x:c r="B51" s="30" t="n">
        <x:f>SUMIFS(Subscriptions!$C$2:$C$145,Subscriptions!$A$2:$A$145,$A51)</x:f>
        <x:v>1386</x:v>
      </x:c>
      <x:c r="C51" s="30" t="n">
        <x:f>SUMIFS(Subscriptions!$D$2:$D$145,Subscriptions!$A$2:$A$145,$A51)</x:f>
        <x:v>53</x:v>
      </x:c>
      <x:c r="D51" s="30" t="n">
        <x:f>SUMIFS(Subscriptions!$E$2:$E$145,Subscriptions!$A$2:$A$145,$A51)</x:f>
        <x:v>26</x:v>
      </x:c>
      <x:c r="E51" s="30" t="n">
        <x:f>SUMIFS(Subscriptions!$F$2:$F$145,Subscriptions!$A$2:$A$145,$A51)</x:f>
        <x:v>1413</x:v>
      </x:c>
      <x:c r="F51" s="31" t="n">
        <x:f>SUMIFS(Subscriptions!$H$2:$H$145,Subscriptions!$A$2:$A$145,$A51)</x:f>
        <x:v>477809.81351893337</x:v>
      </x:c>
      <x:c r="G51" s="31" t="n">
        <x:f>F51*12</x:f>
        <x:v>5733717.7622272</x:v>
      </x:c>
      <x:c r="H51" s="41" t="n">
        <x:f>IFERROR(F51/F50-1,0)</x:f>
        <x:v>0.02055851594628999</x:v>
      </x:c>
      <x:c r="I51" s="41" t="n">
        <x:f>IFERROR(D51/B51,0)</x:f>
        <x:v>0.01875901875901876</x:v>
      </x:c>
      <x:c r="J51" s="31" t="n">
        <x:f>IFERROR(F51/E51,0)</x:f>
        <x:v>338.15273426676106</x:v>
      </x:c>
      <x:c r="K51" s="30" t="str">
        <x:f>IF(A51&lt;DATE(2026,7,1),"Actual","Forecast")</x:f>
        <x:v>Forecast</x:v>
      </x:c>
      <x:c r="L51" s="30"/>
    </x:row>
    <x:row r="52">
      <x:c r="A52" s="32" t="n">
        <x:v>46357</x:v>
      </x:c>
      <x:c r="B52" s="30" t="n">
        <x:f>SUMIFS(Subscriptions!$C$2:$C$145,Subscriptions!$A$2:$A$145,$A52)</x:f>
        <x:v>1413</x:v>
      </x:c>
      <x:c r="C52" s="30" t="n">
        <x:f>SUMIFS(Subscriptions!$D$2:$D$145,Subscriptions!$A$2:$A$145,$A52)</x:f>
        <x:v>56</x:v>
      </x:c>
      <x:c r="D52" s="30" t="n">
        <x:f>SUMIFS(Subscriptions!$E$2:$E$145,Subscriptions!$A$2:$A$145,$A52)</x:f>
        <x:v>27</x:v>
      </x:c>
      <x:c r="E52" s="30" t="n">
        <x:f>SUMIFS(Subscriptions!$F$2:$F$145,Subscriptions!$A$2:$A$145,$A52)</x:f>
        <x:v>1442</x:v>
      </x:c>
      <x:c r="F52" s="31" t="n">
        <x:f>SUMIFS(Subscriptions!$H$2:$H$145,Subscriptions!$A$2:$A$145,$A52)</x:f>
        <x:v>487936.34366613964</x:v>
      </x:c>
      <x:c r="G52" s="31" t="n">
        <x:f>F52*12</x:f>
        <x:v>5855236.123993676</x:v>
      </x:c>
      <x:c r="H52" s="41" t="n">
        <x:f>IFERROR(F52/F51-1,0)</x:f>
        <x:v>0.021193642032228732</x:v>
      </x:c>
      <x:c r="I52" s="41" t="n">
        <x:f>IFERROR(D52/B52,0)</x:f>
        <x:v>0.01910828025477707</x:v>
      </x:c>
      <x:c r="J52" s="31" t="n">
        <x:f>IFERROR(F52/E52,0)</x:f>
        <x:v>338.37471821507603</x:v>
      </x:c>
      <x:c r="K52" s="30" t="str">
        <x:f>IF(A52&lt;DATE(2026,7,1),"Actual","Forecast")</x:f>
        <x:v>Forecast</x:v>
      </x:c>
      <x:c r="L52" s="30"/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4" customHeight="1">
      <x:c r="A1" s="23" t="str">
        <x:v>Expense model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" customHeight="1">
      <x:c r="A2" s="29" t="str">
        <x:v>Operating expenses by category and cost behavior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26" t="str">
        <x:v>Month</x:v>
      </x:c>
      <x:c r="B4" s="26" t="str">
        <x:v>Category</x:v>
      </x:c>
      <x:c r="C4" s="26" t="str">
        <x:v>Cost type</x:v>
      </x:c>
      <x:c r="D4" s="26" t="str">
        <x:v>Budget</x:v>
      </x:c>
      <x:c r="E4" s="26" t="str">
        <x:v>Actual / Forecast</x:v>
      </x:c>
      <x:c r="F4" s="26" t="str">
        <x:v>Variance (F)</x:v>
      </x:c>
      <x:c r="G4" s="30"/>
      <x:c r="H4" s="30"/>
      <x:c r="I4" s="30"/>
      <x:c r="J4" s="30"/>
      <x:c r="K4" s="30"/>
      <x:c r="L4" s="30"/>
    </x:row>
    <x:row r="5">
      <x:c r="A5" s="32" t="n">
        <x:v>44927</x:v>
      </x:c>
      <x:c r="B5" s="30" t="str">
        <x:v>Marketing</x:v>
      </x:c>
      <x:c r="C5" s="30" t="str">
        <x:v>Variable</x:v>
      </x:c>
      <x:c r="D5" s="31" t="n">
        <x:v>90000</x:v>
      </x:c>
      <x:c r="E5" s="31" t="n">
        <x:v>96347.05</x:v>
      </x:c>
      <x:c r="F5" s="31" t="n">
        <x:f>D5-E5</x:f>
        <x:v>-6347.050000000003</x:v>
      </x:c>
      <x:c r="G5" s="30"/>
      <x:c r="H5" s="30"/>
      <x:c r="I5" s="30"/>
      <x:c r="J5" s="30"/>
      <x:c r="K5" s="30"/>
      <x:c r="L5" s="30"/>
    </x:row>
    <x:row r="6">
      <x:c r="A6" s="32" t="n">
        <x:v>44927</x:v>
      </x:c>
      <x:c r="B6" s="30" t="str">
        <x:v>Cloud &amp; API</x:v>
      </x:c>
      <x:c r="C6" s="30" t="str">
        <x:v>Variable</x:v>
      </x:c>
      <x:c r="D6" s="31" t="n">
        <x:v>14861.15</x:v>
      </x:c>
      <x:c r="E6" s="31" t="n">
        <x:v>17194.55</x:v>
      </x:c>
      <x:c r="F6" s="31" t="n">
        <x:f>D6-E6</x:f>
        <x:v>-2333.3999999999996</x:v>
      </x:c>
      <x:c r="G6" s="30"/>
      <x:c r="H6" s="30"/>
      <x:c r="I6" s="30"/>
      <x:c r="J6" s="30"/>
      <x:c r="K6" s="30"/>
      <x:c r="L6" s="30"/>
    </x:row>
    <x:row r="7">
      <x:c r="A7" s="32" t="n">
        <x:v>44927</x:v>
      </x:c>
      <x:c r="B7" s="30" t="str">
        <x:v>Software</x:v>
      </x:c>
      <x:c r="C7" s="30" t="str">
        <x:v>Fixed</x:v>
      </x:c>
      <x:c r="D7" s="31" t="n">
        <x:v>26000</x:v>
      </x:c>
      <x:c r="E7" s="31" t="n">
        <x:v>28176.08</x:v>
      </x:c>
      <x:c r="F7" s="31" t="n">
        <x:f>D7-E7</x:f>
        <x:v>-2176.0800000000017</x:v>
      </x:c>
      <x:c r="G7" s="30"/>
      <x:c r="H7" s="30"/>
      <x:c r="I7" s="30"/>
      <x:c r="J7" s="30"/>
      <x:c r="K7" s="30"/>
      <x:c r="L7" s="30"/>
    </x:row>
    <x:row r="8">
      <x:c r="A8" s="32" t="n">
        <x:v>44927</x:v>
      </x:c>
      <x:c r="B8" s="30" t="str">
        <x:v>Office &amp; Admin</x:v>
      </x:c>
      <x:c r="C8" s="30" t="str">
        <x:v>Fixed</x:v>
      </x:c>
      <x:c r="D8" s="31" t="n">
        <x:v>31000</x:v>
      </x:c>
      <x:c r="E8" s="31" t="n">
        <x:v>32335.15</x:v>
      </x:c>
      <x:c r="F8" s="31" t="n">
        <x:f>D8-E8</x:f>
        <x:v>-1335.1500000000015</x:v>
      </x:c>
      <x:c r="G8" s="30"/>
      <x:c r="H8" s="30"/>
      <x:c r="I8" s="30"/>
      <x:c r="J8" s="30"/>
      <x:c r="K8" s="30"/>
      <x:c r="L8" s="30"/>
    </x:row>
    <x:row r="9">
      <x:c r="A9" s="32" t="n">
        <x:v>44927</x:v>
      </x:c>
      <x:c r="B9" s="30" t="str">
        <x:v>Professional Services</x:v>
      </x:c>
      <x:c r="C9" s="30" t="str">
        <x:v>Fixed</x:v>
      </x:c>
      <x:c r="D9" s="31" t="n">
        <x:v>18000</x:v>
      </x:c>
      <x:c r="E9" s="31" t="n">
        <x:v>18341.94</x:v>
      </x:c>
      <x:c r="F9" s="31" t="n">
        <x:f>D9-E9</x:f>
        <x:v>-341.9399999999987</x:v>
      </x:c>
      <x:c r="G9" s="30"/>
      <x:c r="H9" s="30"/>
      <x:c r="I9" s="30"/>
      <x:c r="J9" s="30"/>
      <x:c r="K9" s="30"/>
      <x:c r="L9" s="30"/>
    </x:row>
    <x:row r="10">
      <x:c r="A10" s="32" t="n">
        <x:v>44958</x:v>
      </x:c>
      <x:c r="B10" s="30" t="str">
        <x:v>Marketing</x:v>
      </x:c>
      <x:c r="C10" s="30" t="str">
        <x:v>Variable</x:v>
      </x:c>
      <x:c r="D10" s="31" t="n">
        <x:v>91080</x:v>
      </x:c>
      <x:c r="E10" s="31" t="n">
        <x:v>92636.06</x:v>
      </x:c>
      <x:c r="F10" s="31" t="n">
        <x:f>D10-E10</x:f>
        <x:v>-1556.0599999999977</x:v>
      </x:c>
      <x:c r="G10" s="30"/>
      <x:c r="H10" s="30"/>
      <x:c r="I10" s="30"/>
      <x:c r="J10" s="30"/>
      <x:c r="K10" s="30"/>
      <x:c r="L10" s="30"/>
    </x:row>
    <x:row r="11">
      <x:c r="A11" s="32" t="n">
        <x:v>44958</x:v>
      </x:c>
      <x:c r="B11" s="30" t="str">
        <x:v>Cloud &amp; API</x:v>
      </x:c>
      <x:c r="C11" s="30" t="str">
        <x:v>Variable</x:v>
      </x:c>
      <x:c r="D11" s="31" t="n">
        <x:v>15320.1</x:v>
      </x:c>
      <x:c r="E11" s="31" t="n">
        <x:v>16912.23</x:v>
      </x:c>
      <x:c r="F11" s="31" t="n">
        <x:f>D11-E11</x:f>
        <x:v>-1592.1299999999992</x:v>
      </x:c>
      <x:c r="G11" s="30"/>
      <x:c r="H11" s="30"/>
      <x:c r="I11" s="30"/>
      <x:c r="J11" s="30"/>
      <x:c r="K11" s="30"/>
      <x:c r="L11" s="30"/>
    </x:row>
    <x:row r="12">
      <x:c r="A12" s="32" t="n">
        <x:v>44958</x:v>
      </x:c>
      <x:c r="B12" s="30" t="str">
        <x:v>Software</x:v>
      </x:c>
      <x:c r="C12" s="30" t="str">
        <x:v>Fixed</x:v>
      </x:c>
      <x:c r="D12" s="31" t="n">
        <x:v>26312</x:v>
      </x:c>
      <x:c r="E12" s="31" t="n">
        <x:v>27224.84</x:v>
      </x:c>
      <x:c r="F12" s="31" t="n">
        <x:f>D12-E12</x:f>
        <x:v>-912.8400000000001</x:v>
      </x:c>
      <x:c r="G12" s="30"/>
      <x:c r="H12" s="30"/>
      <x:c r="I12" s="30"/>
      <x:c r="J12" s="30"/>
      <x:c r="K12" s="30"/>
      <x:c r="L12" s="30"/>
    </x:row>
    <x:row r="13">
      <x:c r="A13" s="32" t="n">
        <x:v>44958</x:v>
      </x:c>
      <x:c r="B13" s="30" t="str">
        <x:v>Office &amp; Admin</x:v>
      </x:c>
      <x:c r="C13" s="30" t="str">
        <x:v>Fixed</x:v>
      </x:c>
      <x:c r="D13" s="31" t="n">
        <x:v>31372</x:v>
      </x:c>
      <x:c r="E13" s="31" t="n">
        <x:v>32886.64</x:v>
      </x:c>
      <x:c r="F13" s="31" t="n">
        <x:f>D13-E13</x:f>
        <x:v>-1514.6399999999994</x:v>
      </x:c>
      <x:c r="G13" s="30"/>
      <x:c r="H13" s="30"/>
      <x:c r="I13" s="30"/>
      <x:c r="J13" s="30"/>
      <x:c r="K13" s="30"/>
      <x:c r="L13" s="30"/>
    </x:row>
    <x:row r="14">
      <x:c r="A14" s="32" t="n">
        <x:v>44958</x:v>
      </x:c>
      <x:c r="B14" s="30" t="str">
        <x:v>Professional Services</x:v>
      </x:c>
      <x:c r="C14" s="30" t="str">
        <x:v>Fixed</x:v>
      </x:c>
      <x:c r="D14" s="31" t="n">
        <x:v>18216</x:v>
      </x:c>
      <x:c r="E14" s="31" t="n">
        <x:v>20069.62</x:v>
      </x:c>
      <x:c r="F14" s="31" t="n">
        <x:f>D14-E14</x:f>
        <x:v>-1853.619999999999</x:v>
      </x:c>
      <x:c r="G14" s="30"/>
      <x:c r="H14" s="30"/>
      <x:c r="I14" s="30"/>
      <x:c r="J14" s="30"/>
      <x:c r="K14" s="30"/>
      <x:c r="L14" s="30"/>
    </x:row>
    <x:row r="15">
      <x:c r="A15" s="32" t="n">
        <x:v>44986</x:v>
      </x:c>
      <x:c r="B15" s="30" t="str">
        <x:v>Marketing</x:v>
      </x:c>
      <x:c r="C15" s="30" t="str">
        <x:v>Variable</x:v>
      </x:c>
      <x:c r="D15" s="31" t="n">
        <x:v>92160</x:v>
      </x:c>
      <x:c r="E15" s="31" t="n">
        <x:v>107534.07</x:v>
      </x:c>
      <x:c r="F15" s="31" t="n">
        <x:f>D15-E15</x:f>
        <x:v>-15374.070000000007</x:v>
      </x:c>
      <x:c r="G15" s="30"/>
      <x:c r="H15" s="30"/>
      <x:c r="I15" s="30"/>
      <x:c r="J15" s="30"/>
      <x:c r="K15" s="30"/>
      <x:c r="L15" s="30"/>
    </x:row>
    <x:row r="16">
      <x:c r="A16" s="32" t="n">
        <x:v>44986</x:v>
      </x:c>
      <x:c r="B16" s="30" t="str">
        <x:v>Cloud &amp; API</x:v>
      </x:c>
      <x:c r="C16" s="30" t="str">
        <x:v>Variable</x:v>
      </x:c>
      <x:c r="D16" s="31" t="n">
        <x:v>15796.91</x:v>
      </x:c>
      <x:c r="E16" s="31" t="n">
        <x:v>17614.49</x:v>
      </x:c>
      <x:c r="F16" s="31" t="n">
        <x:f>D16-E16</x:f>
        <x:v>-1817.5800000000017</x:v>
      </x:c>
      <x:c r="G16" s="30"/>
      <x:c r="H16" s="30"/>
      <x:c r="I16" s="30"/>
      <x:c r="J16" s="30"/>
      <x:c r="K16" s="30"/>
      <x:c r="L16" s="30"/>
    </x:row>
    <x:row r="17">
      <x:c r="A17" s="32" t="n">
        <x:v>44986</x:v>
      </x:c>
      <x:c r="B17" s="30" t="str">
        <x:v>Software</x:v>
      </x:c>
      <x:c r="C17" s="30" t="str">
        <x:v>Fixed</x:v>
      </x:c>
      <x:c r="D17" s="31" t="n">
        <x:v>26624</x:v>
      </x:c>
      <x:c r="E17" s="31" t="n">
        <x:v>28086.27</x:v>
      </x:c>
      <x:c r="F17" s="31" t="n">
        <x:f>D17-E17</x:f>
        <x:v>-1462.2700000000004</x:v>
      </x:c>
      <x:c r="G17" s="30"/>
      <x:c r="H17" s="30"/>
      <x:c r="I17" s="30"/>
      <x:c r="J17" s="30"/>
      <x:c r="K17" s="30"/>
      <x:c r="L17" s="30"/>
    </x:row>
    <x:row r="18">
      <x:c r="A18" s="32" t="n">
        <x:v>44986</x:v>
      </x:c>
      <x:c r="B18" s="30" t="str">
        <x:v>Office &amp; Admin</x:v>
      </x:c>
      <x:c r="C18" s="30" t="str">
        <x:v>Fixed</x:v>
      </x:c>
      <x:c r="D18" s="31" t="n">
        <x:v>31744</x:v>
      </x:c>
      <x:c r="E18" s="31" t="n">
        <x:v>30473.09</x:v>
      </x:c>
      <x:c r="F18" s="31" t="n">
        <x:f>D18-E18</x:f>
        <x:v>1270.9099999999999</x:v>
      </x:c>
      <x:c r="G18" s="30"/>
      <x:c r="H18" s="30"/>
      <x:c r="I18" s="30"/>
      <x:c r="J18" s="30"/>
      <x:c r="K18" s="30"/>
      <x:c r="L18" s="30"/>
    </x:row>
    <x:row r="19">
      <x:c r="A19" s="32" t="n">
        <x:v>44986</x:v>
      </x:c>
      <x:c r="B19" s="30" t="str">
        <x:v>Professional Services</x:v>
      </x:c>
      <x:c r="C19" s="30" t="str">
        <x:v>Fixed</x:v>
      </x:c>
      <x:c r="D19" s="31" t="n">
        <x:v>18432</x:v>
      </x:c>
      <x:c r="E19" s="31" t="n">
        <x:v>18666.23</x:v>
      </x:c>
      <x:c r="F19" s="31" t="n">
        <x:f>D19-E19</x:f>
        <x:v>-234.22999999999956</x:v>
      </x:c>
      <x:c r="G19" s="30"/>
      <x:c r="H19" s="30"/>
      <x:c r="I19" s="30"/>
      <x:c r="J19" s="30"/>
      <x:c r="K19" s="30"/>
      <x:c r="L19" s="30"/>
    </x:row>
    <x:row r="20">
      <x:c r="A20" s="32" t="n">
        <x:v>45017</x:v>
      </x:c>
      <x:c r="B20" s="30" t="str">
        <x:v>Marketing</x:v>
      </x:c>
      <x:c r="C20" s="30" t="str">
        <x:v>Variable</x:v>
      </x:c>
      <x:c r="D20" s="31" t="n">
        <x:v>93240</x:v>
      </x:c>
      <x:c r="E20" s="31" t="n">
        <x:v>98850</x:v>
      </x:c>
      <x:c r="F20" s="31" t="n">
        <x:f>D20-E20</x:f>
        <x:v>-5610</x:v>
      </x:c>
      <x:c r="G20" s="30"/>
      <x:c r="H20" s="30"/>
      <x:c r="I20" s="30"/>
      <x:c r="J20" s="30"/>
      <x:c r="K20" s="30"/>
      <x:c r="L20" s="30"/>
    </x:row>
    <x:row r="21">
      <x:c r="A21" s="32" t="n">
        <x:v>45017</x:v>
      </x:c>
      <x:c r="B21" s="30" t="str">
        <x:v>Cloud &amp; API</x:v>
      </x:c>
      <x:c r="C21" s="30" t="str">
        <x:v>Variable</x:v>
      </x:c>
      <x:c r="D21" s="31" t="n">
        <x:v>16325.71</x:v>
      </x:c>
      <x:c r="E21" s="31" t="n">
        <x:v>16780.59</x:v>
      </x:c>
      <x:c r="F21" s="31" t="n">
        <x:f>D21-E21</x:f>
        <x:v>-454.880000000001</x:v>
      </x:c>
      <x:c r="G21" s="30"/>
      <x:c r="H21" s="30"/>
      <x:c r="I21" s="30"/>
      <x:c r="J21" s="30"/>
      <x:c r="K21" s="30"/>
      <x:c r="L21" s="30"/>
    </x:row>
    <x:row r="22">
      <x:c r="A22" s="32" t="n">
        <x:v>45017</x:v>
      </x:c>
      <x:c r="B22" s="30" t="str">
        <x:v>Software</x:v>
      </x:c>
      <x:c r="C22" s="30" t="str">
        <x:v>Fixed</x:v>
      </x:c>
      <x:c r="D22" s="31" t="n">
        <x:v>26936</x:v>
      </x:c>
      <x:c r="E22" s="31" t="n">
        <x:v>29314.91</x:v>
      </x:c>
      <x:c r="F22" s="31" t="n">
        <x:f>D22-E22</x:f>
        <x:v>-2378.91</x:v>
      </x:c>
      <x:c r="G22" s="30"/>
      <x:c r="H22" s="30"/>
      <x:c r="I22" s="30"/>
      <x:c r="J22" s="30"/>
      <x:c r="K22" s="30"/>
      <x:c r="L22" s="30"/>
    </x:row>
    <x:row r="23">
      <x:c r="A23" s="32" t="n">
        <x:v>45017</x:v>
      </x:c>
      <x:c r="B23" s="30" t="str">
        <x:v>Office &amp; Admin</x:v>
      </x:c>
      <x:c r="C23" s="30" t="str">
        <x:v>Fixed</x:v>
      </x:c>
      <x:c r="D23" s="31" t="n">
        <x:v>32116</x:v>
      </x:c>
      <x:c r="E23" s="31" t="n">
        <x:v>30343.99</x:v>
      </x:c>
      <x:c r="F23" s="31" t="n">
        <x:f>D23-E23</x:f>
        <x:v>1772.0099999999984</x:v>
      </x:c>
      <x:c r="G23" s="30"/>
      <x:c r="H23" s="30"/>
      <x:c r="I23" s="30"/>
      <x:c r="J23" s="30"/>
      <x:c r="K23" s="30"/>
      <x:c r="L23" s="30"/>
    </x:row>
    <x:row r="24">
      <x:c r="A24" s="32" t="n">
        <x:v>45017</x:v>
      </x:c>
      <x:c r="B24" s="30" t="str">
        <x:v>Professional Services</x:v>
      </x:c>
      <x:c r="C24" s="30" t="str">
        <x:v>Fixed</x:v>
      </x:c>
      <x:c r="D24" s="31" t="n">
        <x:v>18648</x:v>
      </x:c>
      <x:c r="E24" s="31" t="n">
        <x:v>20504.42</x:v>
      </x:c>
      <x:c r="F24" s="31" t="n">
        <x:f>D24-E24</x:f>
        <x:v>-1856.4199999999983</x:v>
      </x:c>
      <x:c r="G24" s="30"/>
      <x:c r="H24" s="30"/>
      <x:c r="I24" s="30"/>
      <x:c r="J24" s="30"/>
      <x:c r="K24" s="30"/>
      <x:c r="L24" s="30"/>
    </x:row>
    <x:row r="25">
      <x:c r="A25" s="32" t="n">
        <x:v>45047</x:v>
      </x:c>
      <x:c r="B25" s="30" t="str">
        <x:v>Marketing</x:v>
      </x:c>
      <x:c r="C25" s="30" t="str">
        <x:v>Variable</x:v>
      </x:c>
      <x:c r="D25" s="31" t="n">
        <x:v>94320</x:v>
      </x:c>
      <x:c r="E25" s="31" t="n">
        <x:v>99048.52</x:v>
      </x:c>
      <x:c r="F25" s="31" t="n">
        <x:f>D25-E25</x:f>
        <x:v>-4728.520000000004</x:v>
      </x:c>
      <x:c r="G25" s="30"/>
      <x:c r="H25" s="30"/>
      <x:c r="I25" s="30"/>
      <x:c r="J25" s="30"/>
      <x:c r="K25" s="30"/>
      <x:c r="L25" s="30"/>
    </x:row>
    <x:row r="26">
      <x:c r="A26" s="32" t="n">
        <x:v>45047</x:v>
      </x:c>
      <x:c r="B26" s="30" t="str">
        <x:v>Cloud &amp; API</x:v>
      </x:c>
      <x:c r="C26" s="30" t="str">
        <x:v>Variable</x:v>
      </x:c>
      <x:c r="D26" s="31" t="n">
        <x:v>16865.9</x:v>
      </x:c>
      <x:c r="E26" s="31" t="n">
        <x:v>19671.71</x:v>
      </x:c>
      <x:c r="F26" s="31" t="n">
        <x:f>D26-E26</x:f>
        <x:v>-2805.8099999999977</x:v>
      </x:c>
      <x:c r="G26" s="30"/>
      <x:c r="H26" s="30"/>
      <x:c r="I26" s="30"/>
      <x:c r="J26" s="30"/>
      <x:c r="K26" s="30"/>
      <x:c r="L26" s="30"/>
    </x:row>
    <x:row r="27">
      <x:c r="A27" s="32" t="n">
        <x:v>45047</x:v>
      </x:c>
      <x:c r="B27" s="30" t="str">
        <x:v>Software</x:v>
      </x:c>
      <x:c r="C27" s="30" t="str">
        <x:v>Fixed</x:v>
      </x:c>
      <x:c r="D27" s="31" t="n">
        <x:v>27248</x:v>
      </x:c>
      <x:c r="E27" s="31" t="n">
        <x:v>25481.25</x:v>
      </x:c>
      <x:c r="F27" s="31" t="n">
        <x:f>D27-E27</x:f>
        <x:v>1766.75</x:v>
      </x:c>
      <x:c r="G27" s="30"/>
      <x:c r="H27" s="30"/>
      <x:c r="I27" s="30"/>
      <x:c r="J27" s="30"/>
      <x:c r="K27" s="30"/>
      <x:c r="L27" s="30"/>
    </x:row>
    <x:row r="28">
      <x:c r="A28" s="32" t="n">
        <x:v>45047</x:v>
      </x:c>
      <x:c r="B28" s="30" t="str">
        <x:v>Office &amp; Admin</x:v>
      </x:c>
      <x:c r="C28" s="30" t="str">
        <x:v>Fixed</x:v>
      </x:c>
      <x:c r="D28" s="31" t="n">
        <x:v>32488</x:v>
      </x:c>
      <x:c r="E28" s="31" t="n">
        <x:v>29966.14</x:v>
      </x:c>
      <x:c r="F28" s="31" t="n">
        <x:f>D28-E28</x:f>
        <x:v>2521.8600000000006</x:v>
      </x:c>
      <x:c r="G28" s="30"/>
      <x:c r="H28" s="30"/>
      <x:c r="I28" s="30"/>
      <x:c r="J28" s="30"/>
      <x:c r="K28" s="30"/>
      <x:c r="L28" s="30"/>
    </x:row>
    <x:row r="29">
      <x:c r="A29" s="32" t="n">
        <x:v>45047</x:v>
      </x:c>
      <x:c r="B29" s="30" t="str">
        <x:v>Professional Services</x:v>
      </x:c>
      <x:c r="C29" s="30" t="str">
        <x:v>Fixed</x:v>
      </x:c>
      <x:c r="D29" s="31" t="n">
        <x:v>18864</x:v>
      </x:c>
      <x:c r="E29" s="31" t="n">
        <x:v>20256.03</x:v>
      </x:c>
      <x:c r="F29" s="31" t="n">
        <x:f>D29-E29</x:f>
        <x:v>-1392.0299999999988</x:v>
      </x:c>
      <x:c r="G29" s="30"/>
      <x:c r="H29" s="30"/>
      <x:c r="I29" s="30"/>
      <x:c r="J29" s="30"/>
      <x:c r="K29" s="30"/>
      <x:c r="L29" s="30"/>
    </x:row>
    <x:row r="30">
      <x:c r="A30" s="32" t="n">
        <x:v>45078</x:v>
      </x:c>
      <x:c r="B30" s="30" t="str">
        <x:v>Marketing</x:v>
      </x:c>
      <x:c r="C30" s="30" t="str">
        <x:v>Variable</x:v>
      </x:c>
      <x:c r="D30" s="31" t="n">
        <x:v>95400</x:v>
      </x:c>
      <x:c r="E30" s="31" t="n">
        <x:v>95038.31</x:v>
      </x:c>
      <x:c r="F30" s="31" t="n">
        <x:f>D30-E30</x:f>
        <x:v>361.6900000000023</x:v>
      </x:c>
      <x:c r="G30" s="30"/>
      <x:c r="H30" s="30"/>
      <x:c r="I30" s="30"/>
      <x:c r="J30" s="30"/>
      <x:c r="K30" s="30"/>
      <x:c r="L30" s="30"/>
    </x:row>
    <x:row r="31">
      <x:c r="A31" s="32" t="n">
        <x:v>45078</x:v>
      </x:c>
      <x:c r="B31" s="30" t="str">
        <x:v>Cloud &amp; API</x:v>
      </x:c>
      <x:c r="C31" s="30" t="str">
        <x:v>Variable</x:v>
      </x:c>
      <x:c r="D31" s="31" t="n">
        <x:v>17261.47</x:v>
      </x:c>
      <x:c r="E31" s="31" t="n">
        <x:v>19535.09</x:v>
      </x:c>
      <x:c r="F31" s="31" t="n">
        <x:f>D31-E31</x:f>
        <x:v>-2273.619999999999</x:v>
      </x:c>
      <x:c r="G31" s="30"/>
      <x:c r="H31" s="30"/>
      <x:c r="I31" s="30"/>
      <x:c r="J31" s="30"/>
      <x:c r="K31" s="30"/>
      <x:c r="L31" s="30"/>
    </x:row>
    <x:row r="32">
      <x:c r="A32" s="32" t="n">
        <x:v>45078</x:v>
      </x:c>
      <x:c r="B32" s="30" t="str">
        <x:v>Software</x:v>
      </x:c>
      <x:c r="C32" s="30" t="str">
        <x:v>Fixed</x:v>
      </x:c>
      <x:c r="D32" s="31" t="n">
        <x:v>27560</x:v>
      </x:c>
      <x:c r="E32" s="31" t="n">
        <x:v>29331.53</x:v>
      </x:c>
      <x:c r="F32" s="31" t="n">
        <x:f>D32-E32</x:f>
        <x:v>-1771.5299999999988</x:v>
      </x:c>
      <x:c r="G32" s="30"/>
      <x:c r="H32" s="30"/>
      <x:c r="I32" s="30"/>
      <x:c r="J32" s="30"/>
      <x:c r="K32" s="30"/>
      <x:c r="L32" s="30"/>
    </x:row>
    <x:row r="33">
      <x:c r="A33" s="32" t="n">
        <x:v>45078</x:v>
      </x:c>
      <x:c r="B33" s="30" t="str">
        <x:v>Office &amp; Admin</x:v>
      </x:c>
      <x:c r="C33" s="30" t="str">
        <x:v>Fixed</x:v>
      </x:c>
      <x:c r="D33" s="31" t="n">
        <x:v>32860</x:v>
      </x:c>
      <x:c r="E33" s="31" t="n">
        <x:v>34400.25</x:v>
      </x:c>
      <x:c r="F33" s="31" t="n">
        <x:f>D33-E33</x:f>
        <x:v>-1540.25</x:v>
      </x:c>
      <x:c r="G33" s="30"/>
      <x:c r="H33" s="30"/>
      <x:c r="I33" s="30"/>
      <x:c r="J33" s="30"/>
      <x:c r="K33" s="30"/>
      <x:c r="L33" s="30"/>
    </x:row>
    <x:row r="34">
      <x:c r="A34" s="32" t="n">
        <x:v>45078</x:v>
      </x:c>
      <x:c r="B34" s="30" t="str">
        <x:v>Professional Services</x:v>
      </x:c>
      <x:c r="C34" s="30" t="str">
        <x:v>Fixed</x:v>
      </x:c>
      <x:c r="D34" s="31" t="n">
        <x:v>19080</x:v>
      </x:c>
      <x:c r="E34" s="31" t="n">
        <x:v>19260.17</x:v>
      </x:c>
      <x:c r="F34" s="31" t="n">
        <x:f>D34-E34</x:f>
        <x:v>-180.16999999999825</x:v>
      </x:c>
      <x:c r="G34" s="30"/>
      <x:c r="H34" s="30"/>
      <x:c r="I34" s="30"/>
      <x:c r="J34" s="30"/>
      <x:c r="K34" s="30"/>
      <x:c r="L34" s="30"/>
    </x:row>
    <x:row r="35">
      <x:c r="A35" s="32" t="n">
        <x:v>45108</x:v>
      </x:c>
      <x:c r="B35" s="30" t="str">
        <x:v>Marketing</x:v>
      </x:c>
      <x:c r="C35" s="30" t="str">
        <x:v>Variable</x:v>
      </x:c>
      <x:c r="D35" s="31" t="n">
        <x:v>96480</x:v>
      </x:c>
      <x:c r="E35" s="31" t="n">
        <x:v>107423.37</x:v>
      </x:c>
      <x:c r="F35" s="31" t="n">
        <x:f>D35-E35</x:f>
        <x:v>-10943.369999999995</x:v>
      </x:c>
      <x:c r="G35" s="30"/>
      <x:c r="H35" s="30"/>
      <x:c r="I35" s="30"/>
      <x:c r="J35" s="30"/>
      <x:c r="K35" s="30"/>
      <x:c r="L35" s="30"/>
    </x:row>
    <x:row r="36">
      <x:c r="A36" s="32" t="n">
        <x:v>45108</x:v>
      </x:c>
      <x:c r="B36" s="30" t="str">
        <x:v>Cloud &amp; API</x:v>
      </x:c>
      <x:c r="C36" s="30" t="str">
        <x:v>Variable</x:v>
      </x:c>
      <x:c r="D36" s="31" t="n">
        <x:v>17842.27</x:v>
      </x:c>
      <x:c r="E36" s="31" t="n">
        <x:v>18116.76</x:v>
      </x:c>
      <x:c r="F36" s="31" t="n">
        <x:f>D36-E36</x:f>
        <x:v>-274.48999999999796</x:v>
      </x:c>
      <x:c r="G36" s="30"/>
      <x:c r="H36" s="30"/>
      <x:c r="I36" s="30"/>
      <x:c r="J36" s="30"/>
      <x:c r="K36" s="30"/>
      <x:c r="L36" s="30"/>
    </x:row>
    <x:row r="37">
      <x:c r="A37" s="32" t="n">
        <x:v>45108</x:v>
      </x:c>
      <x:c r="B37" s="30" t="str">
        <x:v>Software</x:v>
      </x:c>
      <x:c r="C37" s="30" t="str">
        <x:v>Fixed</x:v>
      </x:c>
      <x:c r="D37" s="31" t="n">
        <x:v>27872</x:v>
      </x:c>
      <x:c r="E37" s="31" t="n">
        <x:v>28425.62</x:v>
      </x:c>
      <x:c r="F37" s="31" t="n">
        <x:f>D37-E37</x:f>
        <x:v>-553.619999999999</x:v>
      </x:c>
      <x:c r="G37" s="30"/>
      <x:c r="H37" s="30"/>
      <x:c r="I37" s="30"/>
      <x:c r="J37" s="30"/>
      <x:c r="K37" s="30"/>
      <x:c r="L37" s="30"/>
    </x:row>
    <x:row r="38">
      <x:c r="A38" s="32" t="n">
        <x:v>45108</x:v>
      </x:c>
      <x:c r="B38" s="30" t="str">
        <x:v>Office &amp; Admin</x:v>
      </x:c>
      <x:c r="C38" s="30" t="str">
        <x:v>Fixed</x:v>
      </x:c>
      <x:c r="D38" s="31" t="n">
        <x:v>33232</x:v>
      </x:c>
      <x:c r="E38" s="31" t="n">
        <x:v>30572.28</x:v>
      </x:c>
      <x:c r="F38" s="31" t="n">
        <x:f>D38-E38</x:f>
        <x:v>2659.720000000001</x:v>
      </x:c>
      <x:c r="G38" s="30"/>
      <x:c r="H38" s="30"/>
      <x:c r="I38" s="30"/>
      <x:c r="J38" s="30"/>
      <x:c r="K38" s="30"/>
      <x:c r="L38" s="30"/>
    </x:row>
    <x:row r="39">
      <x:c r="A39" s="32" t="n">
        <x:v>45108</x:v>
      </x:c>
      <x:c r="B39" s="30" t="str">
        <x:v>Professional Services</x:v>
      </x:c>
      <x:c r="C39" s="30" t="str">
        <x:v>Fixed</x:v>
      </x:c>
      <x:c r="D39" s="31" t="n">
        <x:v>19296</x:v>
      </x:c>
      <x:c r="E39" s="31" t="n">
        <x:v>21768.91</x:v>
      </x:c>
      <x:c r="F39" s="31" t="n">
        <x:f>D39-E39</x:f>
        <x:v>-2472.91</x:v>
      </x:c>
      <x:c r="G39" s="30"/>
      <x:c r="H39" s="30"/>
      <x:c r="I39" s="30"/>
      <x:c r="J39" s="30"/>
      <x:c r="K39" s="30"/>
      <x:c r="L39" s="30"/>
    </x:row>
    <x:row r="40">
      <x:c r="A40" s="32" t="n">
        <x:v>45139</x:v>
      </x:c>
      <x:c r="B40" s="30" t="str">
        <x:v>Marketing</x:v>
      </x:c>
      <x:c r="C40" s="30" t="str">
        <x:v>Variable</x:v>
      </x:c>
      <x:c r="D40" s="31" t="n">
        <x:v>97560</x:v>
      </x:c>
      <x:c r="E40" s="31" t="n">
        <x:v>101334.49</x:v>
      </x:c>
      <x:c r="F40" s="31" t="n">
        <x:f>D40-E40</x:f>
        <x:v>-3774.4900000000052</x:v>
      </x:c>
      <x:c r="G40" s="30"/>
      <x:c r="H40" s="30"/>
      <x:c r="I40" s="30"/>
      <x:c r="J40" s="30"/>
      <x:c r="K40" s="30"/>
      <x:c r="L40" s="30"/>
    </x:row>
    <x:row r="41">
      <x:c r="A41" s="32" t="n">
        <x:v>45139</x:v>
      </x:c>
      <x:c r="B41" s="30" t="str">
        <x:v>Cloud &amp; API</x:v>
      </x:c>
      <x:c r="C41" s="30" t="str">
        <x:v>Variable</x:v>
      </x:c>
      <x:c r="D41" s="31" t="n">
        <x:v>18330.46</x:v>
      </x:c>
      <x:c r="E41" s="31" t="n">
        <x:v>19315.22</x:v>
      </x:c>
      <x:c r="F41" s="31" t="n">
        <x:f>D41-E41</x:f>
        <x:v>-984.760000000002</x:v>
      </x:c>
      <x:c r="G41" s="30"/>
      <x:c r="H41" s="30"/>
      <x:c r="I41" s="30"/>
      <x:c r="J41" s="30"/>
      <x:c r="K41" s="30"/>
      <x:c r="L41" s="30"/>
    </x:row>
    <x:row r="42">
      <x:c r="A42" s="32" t="n">
        <x:v>45139</x:v>
      </x:c>
      <x:c r="B42" s="30" t="str">
        <x:v>Software</x:v>
      </x:c>
      <x:c r="C42" s="30" t="str">
        <x:v>Fixed</x:v>
      </x:c>
      <x:c r="D42" s="31" t="n">
        <x:v>28184</x:v>
      </x:c>
      <x:c r="E42" s="31" t="n">
        <x:v>29077.65</x:v>
      </x:c>
      <x:c r="F42" s="31" t="n">
        <x:f>D42-E42</x:f>
        <x:v>-893.6500000000015</x:v>
      </x:c>
      <x:c r="G42" s="30"/>
      <x:c r="H42" s="30"/>
      <x:c r="I42" s="30"/>
      <x:c r="J42" s="30"/>
      <x:c r="K42" s="30"/>
      <x:c r="L42" s="30"/>
    </x:row>
    <x:row r="43">
      <x:c r="A43" s="32" t="n">
        <x:v>45139</x:v>
      </x:c>
      <x:c r="B43" s="30" t="str">
        <x:v>Office &amp; Admin</x:v>
      </x:c>
      <x:c r="C43" s="30" t="str">
        <x:v>Fixed</x:v>
      </x:c>
      <x:c r="D43" s="31" t="n">
        <x:v>33604</x:v>
      </x:c>
      <x:c r="E43" s="31" t="n">
        <x:v>33034.02</x:v>
      </x:c>
      <x:c r="F43" s="31" t="n">
        <x:f>D43-E43</x:f>
        <x:v>569.9800000000032</x:v>
      </x:c>
      <x:c r="G43" s="30"/>
      <x:c r="H43" s="30"/>
      <x:c r="I43" s="30"/>
      <x:c r="J43" s="30"/>
      <x:c r="K43" s="30"/>
      <x:c r="L43" s="30"/>
    </x:row>
    <x:row r="44">
      <x:c r="A44" s="32" t="n">
        <x:v>45139</x:v>
      </x:c>
      <x:c r="B44" s="30" t="str">
        <x:v>Professional Services</x:v>
      </x:c>
      <x:c r="C44" s="30" t="str">
        <x:v>Fixed</x:v>
      </x:c>
      <x:c r="D44" s="31" t="n">
        <x:v>19512</x:v>
      </x:c>
      <x:c r="E44" s="31" t="n">
        <x:v>20206.66</x:v>
      </x:c>
      <x:c r="F44" s="31" t="n">
        <x:f>D44-E44</x:f>
        <x:v>-694.6599999999999</x:v>
      </x:c>
      <x:c r="G44" s="30"/>
      <x:c r="H44" s="30"/>
      <x:c r="I44" s="30"/>
      <x:c r="J44" s="30"/>
      <x:c r="K44" s="30"/>
      <x:c r="L44" s="30"/>
    </x:row>
    <x:row r="45">
      <x:c r="A45" s="32" t="n">
        <x:v>45170</x:v>
      </x:c>
      <x:c r="B45" s="30" t="str">
        <x:v>Marketing</x:v>
      </x:c>
      <x:c r="C45" s="30" t="str">
        <x:v>Variable</x:v>
      </x:c>
      <x:c r="D45" s="31" t="n">
        <x:v>98640</x:v>
      </x:c>
      <x:c r="E45" s="31" t="n">
        <x:v>97894.12</x:v>
      </x:c>
      <x:c r="F45" s="31" t="n">
        <x:f>D45-E45</x:f>
        <x:v>745.8800000000047</x:v>
      </x:c>
      <x:c r="G45" s="30"/>
      <x:c r="H45" s="30"/>
      <x:c r="I45" s="30"/>
      <x:c r="J45" s="30"/>
      <x:c r="K45" s="30"/>
      <x:c r="L45" s="30"/>
    </x:row>
    <x:row r="46">
      <x:c r="A46" s="32" t="n">
        <x:v>45170</x:v>
      </x:c>
      <x:c r="B46" s="30" t="str">
        <x:v>Cloud &amp; API</x:v>
      </x:c>
      <x:c r="C46" s="30" t="str">
        <x:v>Variable</x:v>
      </x:c>
      <x:c r="D46" s="31" t="n">
        <x:v>18691.87</x:v>
      </x:c>
      <x:c r="E46" s="31" t="n">
        <x:v>21744.55</x:v>
      </x:c>
      <x:c r="F46" s="31" t="n">
        <x:f>D46-E46</x:f>
        <x:v>-3052.6800000000003</x:v>
      </x:c>
      <x:c r="G46" s="30"/>
      <x:c r="H46" s="30"/>
      <x:c r="I46" s="30"/>
      <x:c r="J46" s="30"/>
      <x:c r="K46" s="30"/>
      <x:c r="L46" s="30"/>
    </x:row>
    <x:row r="47">
      <x:c r="A47" s="32" t="n">
        <x:v>45170</x:v>
      </x:c>
      <x:c r="B47" s="30" t="str">
        <x:v>Software</x:v>
      </x:c>
      <x:c r="C47" s="30" t="str">
        <x:v>Fixed</x:v>
      </x:c>
      <x:c r="D47" s="31" t="n">
        <x:v>28496</x:v>
      </x:c>
      <x:c r="E47" s="31" t="n">
        <x:v>30369</x:v>
      </x:c>
      <x:c r="F47" s="31" t="n">
        <x:f>D47-E47</x:f>
        <x:v>-1873</x:v>
      </x:c>
      <x:c r="G47" s="30"/>
      <x:c r="H47" s="30"/>
      <x:c r="I47" s="30"/>
      <x:c r="J47" s="30"/>
      <x:c r="K47" s="30"/>
      <x:c r="L47" s="30"/>
    </x:row>
    <x:row r="48">
      <x:c r="A48" s="32" t="n">
        <x:v>45170</x:v>
      </x:c>
      <x:c r="B48" s="30" t="str">
        <x:v>Office &amp; Admin</x:v>
      </x:c>
      <x:c r="C48" s="30" t="str">
        <x:v>Fixed</x:v>
      </x:c>
      <x:c r="D48" s="31" t="n">
        <x:v>33976</x:v>
      </x:c>
      <x:c r="E48" s="31" t="n">
        <x:v>29557.76</x:v>
      </x:c>
      <x:c r="F48" s="31" t="n">
        <x:f>D48-E48</x:f>
        <x:v>4418.240000000002</x:v>
      </x:c>
      <x:c r="G48" s="30"/>
      <x:c r="H48" s="30"/>
      <x:c r="I48" s="30"/>
      <x:c r="J48" s="30"/>
      <x:c r="K48" s="30"/>
      <x:c r="L48" s="30"/>
    </x:row>
    <x:row r="49">
      <x:c r="A49" s="32" t="n">
        <x:v>45170</x:v>
      </x:c>
      <x:c r="B49" s="30" t="str">
        <x:v>Professional Services</x:v>
      </x:c>
      <x:c r="C49" s="30" t="str">
        <x:v>Fixed</x:v>
      </x:c>
      <x:c r="D49" s="31" t="n">
        <x:v>19728</x:v>
      </x:c>
      <x:c r="E49" s="31" t="n">
        <x:v>21500.44</x:v>
      </x:c>
      <x:c r="F49" s="31" t="n">
        <x:f>D49-E49</x:f>
        <x:v>-1772.4399999999987</x:v>
      </x:c>
      <x:c r="G49" s="30"/>
      <x:c r="H49" s="30"/>
      <x:c r="I49" s="30"/>
      <x:c r="J49" s="30"/>
      <x:c r="K49" s="30"/>
      <x:c r="L49" s="30"/>
    </x:row>
    <x:row r="50">
      <x:c r="A50" s="32" t="n">
        <x:v>45200</x:v>
      </x:c>
      <x:c r="B50" s="30" t="str">
        <x:v>Marketing</x:v>
      </x:c>
      <x:c r="C50" s="30" t="str">
        <x:v>Variable</x:v>
      </x:c>
      <x:c r="D50" s="31" t="n">
        <x:v>99720</x:v>
      </x:c>
      <x:c r="E50" s="31" t="n">
        <x:v>106306.54</x:v>
      </x:c>
      <x:c r="F50" s="31" t="n">
        <x:f>D50-E50</x:f>
        <x:v>-6586.539999999994</x:v>
      </x:c>
      <x:c r="G50" s="30"/>
      <x:c r="H50" s="30"/>
      <x:c r="I50" s="30"/>
      <x:c r="J50" s="30"/>
      <x:c r="K50" s="30"/>
      <x:c r="L50" s="30"/>
    </x:row>
    <x:row r="51">
      <x:c r="A51" s="32" t="n">
        <x:v>45200</x:v>
      </x:c>
      <x:c r="B51" s="30" t="str">
        <x:v>Cloud &amp; API</x:v>
      </x:c>
      <x:c r="C51" s="30" t="str">
        <x:v>Variable</x:v>
      </x:c>
      <x:c r="D51" s="31" t="n">
        <x:v>19093.9</x:v>
      </x:c>
      <x:c r="E51" s="31" t="n">
        <x:v>21202.65</x:v>
      </x:c>
      <x:c r="F51" s="31" t="n">
        <x:f>D51-E51</x:f>
        <x:v>-2108.75</x:v>
      </x:c>
      <x:c r="G51" s="30"/>
      <x:c r="H51" s="30"/>
      <x:c r="I51" s="30"/>
      <x:c r="J51" s="30"/>
      <x:c r="K51" s="30"/>
      <x:c r="L51" s="30"/>
    </x:row>
    <x:row r="52">
      <x:c r="A52" s="32" t="n">
        <x:v>45200</x:v>
      </x:c>
      <x:c r="B52" s="30" t="str">
        <x:v>Software</x:v>
      </x:c>
      <x:c r="C52" s="30" t="str">
        <x:v>Fixed</x:v>
      </x:c>
      <x:c r="D52" s="31" t="n">
        <x:v>28808</x:v>
      </x:c>
      <x:c r="E52" s="31" t="n">
        <x:v>30779.44</x:v>
      </x:c>
      <x:c r="F52" s="31" t="n">
        <x:f>D52-E52</x:f>
        <x:v>-1971.4399999999987</x:v>
      </x:c>
      <x:c r="G52" s="30"/>
      <x:c r="H52" s="30"/>
      <x:c r="I52" s="30"/>
      <x:c r="J52" s="30"/>
      <x:c r="K52" s="30"/>
      <x:c r="L52" s="30"/>
    </x:row>
    <x:row r="53">
      <x:c r="A53" s="32" t="n">
        <x:v>45200</x:v>
      </x:c>
      <x:c r="B53" s="30" t="str">
        <x:v>Office &amp; Admin</x:v>
      </x:c>
      <x:c r="C53" s="30" t="str">
        <x:v>Fixed</x:v>
      </x:c>
      <x:c r="D53" s="31" t="n">
        <x:v>34348</x:v>
      </x:c>
      <x:c r="E53" s="31" t="n">
        <x:v>32501.76</x:v>
      </x:c>
      <x:c r="F53" s="31" t="n">
        <x:f>D53-E53</x:f>
        <x:v>1846.2400000000016</x:v>
      </x:c>
      <x:c r="G53" s="30"/>
      <x:c r="H53" s="30"/>
      <x:c r="I53" s="30"/>
      <x:c r="J53" s="30"/>
      <x:c r="K53" s="30"/>
      <x:c r="L53" s="30"/>
    </x:row>
    <x:row r="54">
      <x:c r="A54" s="32" t="n">
        <x:v>45200</x:v>
      </x:c>
      <x:c r="B54" s="30" t="str">
        <x:v>Professional Services</x:v>
      </x:c>
      <x:c r="C54" s="30" t="str">
        <x:v>Fixed</x:v>
      </x:c>
      <x:c r="D54" s="31" t="n">
        <x:v>19944</x:v>
      </x:c>
      <x:c r="E54" s="31" t="n">
        <x:v>20812.89</x:v>
      </x:c>
      <x:c r="F54" s="31" t="n">
        <x:f>D54-E54</x:f>
        <x:v>-868.8899999999994</x:v>
      </x:c>
      <x:c r="G54" s="30"/>
      <x:c r="H54" s="30"/>
      <x:c r="I54" s="30"/>
      <x:c r="J54" s="30"/>
      <x:c r="K54" s="30"/>
      <x:c r="L54" s="30"/>
    </x:row>
    <x:row r="55">
      <x:c r="A55" s="32" t="n">
        <x:v>45231</x:v>
      </x:c>
      <x:c r="B55" s="30" t="str">
        <x:v>Marketing</x:v>
      </x:c>
      <x:c r="C55" s="30" t="str">
        <x:v>Variable</x:v>
      </x:c>
      <x:c r="D55" s="31" t="n">
        <x:v>100800</x:v>
      </x:c>
      <x:c r="E55" s="31" t="n">
        <x:v>107202.61</x:v>
      </x:c>
      <x:c r="F55" s="31" t="n">
        <x:f>D55-E55</x:f>
        <x:v>-6402.610000000001</x:v>
      </x:c>
      <x:c r="G55" s="30"/>
      <x:c r="H55" s="30"/>
      <x:c r="I55" s="30"/>
      <x:c r="J55" s="30"/>
      <x:c r="K55" s="30"/>
      <x:c r="L55" s="30"/>
    </x:row>
    <x:row r="56">
      <x:c r="A56" s="32" t="n">
        <x:v>45231</x:v>
      </x:c>
      <x:c r="B56" s="30" t="str">
        <x:v>Cloud &amp; API</x:v>
      </x:c>
      <x:c r="C56" s="30" t="str">
        <x:v>Variable</x:v>
      </x:c>
      <x:c r="D56" s="31" t="n">
        <x:v>19599.94</x:v>
      </x:c>
      <x:c r="E56" s="31" t="n">
        <x:v>22817.4</x:v>
      </x:c>
      <x:c r="F56" s="31" t="n">
        <x:f>D56-E56</x:f>
        <x:v>-3217.4600000000028</x:v>
      </x:c>
      <x:c r="G56" s="30"/>
      <x:c r="H56" s="30"/>
      <x:c r="I56" s="30"/>
      <x:c r="J56" s="30"/>
      <x:c r="K56" s="30"/>
      <x:c r="L56" s="30"/>
    </x:row>
    <x:row r="57">
      <x:c r="A57" s="32" t="n">
        <x:v>45231</x:v>
      </x:c>
      <x:c r="B57" s="30" t="str">
        <x:v>Software</x:v>
      </x:c>
      <x:c r="C57" s="30" t="str">
        <x:v>Fixed</x:v>
      </x:c>
      <x:c r="D57" s="31" t="n">
        <x:v>29120</x:v>
      </x:c>
      <x:c r="E57" s="31" t="n">
        <x:v>29177.48</x:v>
      </x:c>
      <x:c r="F57" s="31" t="n">
        <x:f>D57-E57</x:f>
        <x:v>-57.47999999999956</x:v>
      </x:c>
      <x:c r="G57" s="30"/>
      <x:c r="H57" s="30"/>
      <x:c r="I57" s="30"/>
      <x:c r="J57" s="30"/>
      <x:c r="K57" s="30"/>
      <x:c r="L57" s="30"/>
    </x:row>
    <x:row r="58">
      <x:c r="A58" s="32" t="n">
        <x:v>45231</x:v>
      </x:c>
      <x:c r="B58" s="30" t="str">
        <x:v>Office &amp; Admin</x:v>
      </x:c>
      <x:c r="C58" s="30" t="str">
        <x:v>Fixed</x:v>
      </x:c>
      <x:c r="D58" s="31" t="n">
        <x:v>34720</x:v>
      </x:c>
      <x:c r="E58" s="31" t="n">
        <x:v>35249.41</x:v>
      </x:c>
      <x:c r="F58" s="31" t="n">
        <x:f>D58-E58</x:f>
        <x:v>-529.4100000000035</x:v>
      </x:c>
      <x:c r="G58" s="30"/>
      <x:c r="H58" s="30"/>
      <x:c r="I58" s="30"/>
      <x:c r="J58" s="30"/>
      <x:c r="K58" s="30"/>
      <x:c r="L58" s="30"/>
    </x:row>
    <x:row r="59">
      <x:c r="A59" s="32" t="n">
        <x:v>45231</x:v>
      </x:c>
      <x:c r="B59" s="30" t="str">
        <x:v>Professional Services</x:v>
      </x:c>
      <x:c r="C59" s="30" t="str">
        <x:v>Fixed</x:v>
      </x:c>
      <x:c r="D59" s="31" t="n">
        <x:v>20160</x:v>
      </x:c>
      <x:c r="E59" s="31" t="n">
        <x:v>21006.99</x:v>
      </x:c>
      <x:c r="F59" s="31" t="n">
        <x:f>D59-E59</x:f>
        <x:v>-846.9900000000016</x:v>
      </x:c>
      <x:c r="G59" s="30"/>
      <x:c r="H59" s="30"/>
      <x:c r="I59" s="30"/>
      <x:c r="J59" s="30"/>
      <x:c r="K59" s="30"/>
      <x:c r="L59" s="30"/>
    </x:row>
    <x:row r="60">
      <x:c r="A60" s="32" t="n">
        <x:v>45261</x:v>
      </x:c>
      <x:c r="B60" s="30" t="str">
        <x:v>Marketing</x:v>
      </x:c>
      <x:c r="C60" s="30" t="str">
        <x:v>Variable</x:v>
      </x:c>
      <x:c r="D60" s="31" t="n">
        <x:v>101880</x:v>
      </x:c>
      <x:c r="E60" s="31" t="n">
        <x:v>111974.44</x:v>
      </x:c>
      <x:c r="F60" s="31" t="n">
        <x:f>D60-E60</x:f>
        <x:v>-10094.440000000002</x:v>
      </x:c>
      <x:c r="G60" s="30"/>
      <x:c r="H60" s="30"/>
      <x:c r="I60" s="30"/>
      <x:c r="J60" s="30"/>
      <x:c r="K60" s="30"/>
      <x:c r="L60" s="30"/>
    </x:row>
    <x:row r="61">
      <x:c r="A61" s="32" t="n">
        <x:v>45261</x:v>
      </x:c>
      <x:c r="B61" s="30" t="str">
        <x:v>Cloud &amp; API</x:v>
      </x:c>
      <x:c r="C61" s="30" t="str">
        <x:v>Variable</x:v>
      </x:c>
      <x:c r="D61" s="31" t="n">
        <x:v>20140.13</x:v>
      </x:c>
      <x:c r="E61" s="31" t="n">
        <x:v>21443.44</x:v>
      </x:c>
      <x:c r="F61" s="31" t="n">
        <x:f>D61-E61</x:f>
        <x:v>-1303.3099999999977</x:v>
      </x:c>
      <x:c r="G61" s="30"/>
      <x:c r="H61" s="30"/>
      <x:c r="I61" s="30"/>
      <x:c r="J61" s="30"/>
      <x:c r="K61" s="30"/>
      <x:c r="L61" s="30"/>
    </x:row>
    <x:row r="62">
      <x:c r="A62" s="32" t="n">
        <x:v>45261</x:v>
      </x:c>
      <x:c r="B62" s="30" t="str">
        <x:v>Software</x:v>
      </x:c>
      <x:c r="C62" s="30" t="str">
        <x:v>Fixed</x:v>
      </x:c>
      <x:c r="D62" s="31" t="n">
        <x:v>29432</x:v>
      </x:c>
      <x:c r="E62" s="31" t="n">
        <x:v>29800.71</x:v>
      </x:c>
      <x:c r="F62" s="31" t="n">
        <x:f>D62-E62</x:f>
        <x:v>-368.7099999999991</x:v>
      </x:c>
      <x:c r="G62" s="30"/>
      <x:c r="H62" s="30"/>
      <x:c r="I62" s="30"/>
      <x:c r="J62" s="30"/>
      <x:c r="K62" s="30"/>
      <x:c r="L62" s="30"/>
    </x:row>
    <x:row r="63">
      <x:c r="A63" s="32" t="n">
        <x:v>45261</x:v>
      </x:c>
      <x:c r="B63" s="30" t="str">
        <x:v>Office &amp; Admin</x:v>
      </x:c>
      <x:c r="C63" s="30" t="str">
        <x:v>Fixed</x:v>
      </x:c>
      <x:c r="D63" s="31" t="n">
        <x:v>35092</x:v>
      </x:c>
      <x:c r="E63" s="31" t="n">
        <x:v>33486.29</x:v>
      </x:c>
      <x:c r="F63" s="31" t="n">
        <x:f>D63-E63</x:f>
        <x:v>1605.7099999999991</x:v>
      </x:c>
      <x:c r="G63" s="30"/>
      <x:c r="H63" s="30"/>
      <x:c r="I63" s="30"/>
      <x:c r="J63" s="30"/>
      <x:c r="K63" s="30"/>
      <x:c r="L63" s="30"/>
    </x:row>
    <x:row r="64">
      <x:c r="A64" s="32" t="n">
        <x:v>45261</x:v>
      </x:c>
      <x:c r="B64" s="30" t="str">
        <x:v>Professional Services</x:v>
      </x:c>
      <x:c r="C64" s="30" t="str">
        <x:v>Fixed</x:v>
      </x:c>
      <x:c r="D64" s="31" t="n">
        <x:v>20376</x:v>
      </x:c>
      <x:c r="E64" s="31" t="n">
        <x:v>22215.51</x:v>
      </x:c>
      <x:c r="F64" s="31" t="n">
        <x:f>D64-E64</x:f>
        <x:v>-1839.5099999999984</x:v>
      </x:c>
      <x:c r="G64" s="30"/>
      <x:c r="H64" s="30"/>
      <x:c r="I64" s="30"/>
      <x:c r="J64" s="30"/>
      <x:c r="K64" s="30"/>
      <x:c r="L64" s="30"/>
    </x:row>
    <x:row r="65">
      <x:c r="A65" s="32" t="n">
        <x:v>45292</x:v>
      </x:c>
      <x:c r="B65" s="30" t="str">
        <x:v>Marketing</x:v>
      </x:c>
      <x:c r="C65" s="30" t="str">
        <x:v>Variable</x:v>
      </x:c>
      <x:c r="D65" s="31" t="n">
        <x:v>102960</x:v>
      </x:c>
      <x:c r="E65" s="31" t="n">
        <x:v>117178.44</x:v>
      </x:c>
      <x:c r="F65" s="31" t="n">
        <x:f>D65-E65</x:f>
        <x:v>-14218.440000000002</x:v>
      </x:c>
      <x:c r="G65" s="30"/>
      <x:c r="H65" s="30"/>
      <x:c r="I65" s="30"/>
      <x:c r="J65" s="30"/>
      <x:c r="K65" s="30"/>
      <x:c r="L65" s="30"/>
    </x:row>
    <x:row r="66">
      <x:c r="A66" s="32" t="n">
        <x:v>45292</x:v>
      </x:c>
      <x:c r="B66" s="30" t="str">
        <x:v>Cloud &amp; API</x:v>
      </x:c>
      <x:c r="C66" s="30" t="str">
        <x:v>Variable</x:v>
      </x:c>
      <x:c r="D66" s="31" t="n">
        <x:v>21338.52</x:v>
      </x:c>
      <x:c r="E66" s="31" t="n">
        <x:v>24211.13</x:v>
      </x:c>
      <x:c r="F66" s="31" t="n">
        <x:f>D66-E66</x:f>
        <x:v>-2872.6100000000006</x:v>
      </x:c>
      <x:c r="G66" s="30"/>
      <x:c r="H66" s="30"/>
      <x:c r="I66" s="30"/>
      <x:c r="J66" s="30"/>
      <x:c r="K66" s="30"/>
      <x:c r="L66" s="30"/>
    </x:row>
    <x:row r="67">
      <x:c r="A67" s="32" t="n">
        <x:v>45292</x:v>
      </x:c>
      <x:c r="B67" s="30" t="str">
        <x:v>Software</x:v>
      </x:c>
      <x:c r="C67" s="30" t="str">
        <x:v>Fixed</x:v>
      </x:c>
      <x:c r="D67" s="31" t="n">
        <x:v>29744</x:v>
      </x:c>
      <x:c r="E67" s="31" t="n">
        <x:v>29478.56</x:v>
      </x:c>
      <x:c r="F67" s="31" t="n">
        <x:f>D67-E67</x:f>
        <x:v>265.4399999999987</x:v>
      </x:c>
      <x:c r="G67" s="30"/>
      <x:c r="H67" s="30"/>
      <x:c r="I67" s="30"/>
      <x:c r="J67" s="30"/>
      <x:c r="K67" s="30"/>
      <x:c r="L67" s="30"/>
    </x:row>
    <x:row r="68">
      <x:c r="A68" s="32" t="n">
        <x:v>45292</x:v>
      </x:c>
      <x:c r="B68" s="30" t="str">
        <x:v>Office &amp; Admin</x:v>
      </x:c>
      <x:c r="C68" s="30" t="str">
        <x:v>Fixed</x:v>
      </x:c>
      <x:c r="D68" s="31" t="n">
        <x:v>35464</x:v>
      </x:c>
      <x:c r="E68" s="31" t="n">
        <x:v>34509.33</x:v>
      </x:c>
      <x:c r="F68" s="31" t="n">
        <x:f>D68-E68</x:f>
        <x:v>954.6699999999983</x:v>
      </x:c>
      <x:c r="G68" s="30"/>
      <x:c r="H68" s="30"/>
      <x:c r="I68" s="30"/>
      <x:c r="J68" s="30"/>
      <x:c r="K68" s="30"/>
      <x:c r="L68" s="30"/>
    </x:row>
    <x:row r="69">
      <x:c r="A69" s="32" t="n">
        <x:v>45292</x:v>
      </x:c>
      <x:c r="B69" s="30" t="str">
        <x:v>Professional Services</x:v>
      </x:c>
      <x:c r="C69" s="30" t="str">
        <x:v>Fixed</x:v>
      </x:c>
      <x:c r="D69" s="31" t="n">
        <x:v>20592</x:v>
      </x:c>
      <x:c r="E69" s="31" t="n">
        <x:v>21772.08</x:v>
      </x:c>
      <x:c r="F69" s="31" t="n">
        <x:f>D69-E69</x:f>
        <x:v>-1180.0800000000017</x:v>
      </x:c>
      <x:c r="G69" s="30"/>
      <x:c r="H69" s="30"/>
      <x:c r="I69" s="30"/>
      <x:c r="J69" s="30"/>
      <x:c r="K69" s="30"/>
      <x:c r="L69" s="30"/>
    </x:row>
    <x:row r="70">
      <x:c r="A70" s="32" t="n">
        <x:v>45323</x:v>
      </x:c>
      <x:c r="B70" s="30" t="str">
        <x:v>Marketing</x:v>
      </x:c>
      <x:c r="C70" s="30" t="str">
        <x:v>Variable</x:v>
      </x:c>
      <x:c r="D70" s="31" t="n">
        <x:v>104040</x:v>
      </x:c>
      <x:c r="E70" s="31" t="n">
        <x:v>115687.13</x:v>
      </x:c>
      <x:c r="F70" s="31" t="n">
        <x:f>D70-E70</x:f>
        <x:v>-11647.130000000005</x:v>
      </x:c>
      <x:c r="G70" s="30"/>
      <x:c r="H70" s="30"/>
      <x:c r="I70" s="30"/>
      <x:c r="J70" s="30"/>
      <x:c r="K70" s="30"/>
      <x:c r="L70" s="30"/>
    </x:row>
    <x:row r="71">
      <x:c r="A71" s="32" t="n">
        <x:v>45323</x:v>
      </x:c>
      <x:c r="B71" s="30" t="str">
        <x:v>Cloud &amp; API</x:v>
      </x:c>
      <x:c r="C71" s="30" t="str">
        <x:v>Variable</x:v>
      </x:c>
      <x:c r="D71" s="31" t="n">
        <x:v>21885.83</x:v>
      </x:c>
      <x:c r="E71" s="31" t="n">
        <x:v>25083.42</x:v>
      </x:c>
      <x:c r="F71" s="31" t="n">
        <x:f>D71-E71</x:f>
        <x:v>-3197.5899999999965</x:v>
      </x:c>
      <x:c r="G71" s="30"/>
      <x:c r="H71" s="30"/>
      <x:c r="I71" s="30"/>
      <x:c r="J71" s="30"/>
      <x:c r="K71" s="30"/>
      <x:c r="L71" s="30"/>
    </x:row>
    <x:row r="72">
      <x:c r="A72" s="32" t="n">
        <x:v>45323</x:v>
      </x:c>
      <x:c r="B72" s="30" t="str">
        <x:v>Software</x:v>
      </x:c>
      <x:c r="C72" s="30" t="str">
        <x:v>Fixed</x:v>
      </x:c>
      <x:c r="D72" s="31" t="n">
        <x:v>30056</x:v>
      </x:c>
      <x:c r="E72" s="31" t="n">
        <x:v>35630.59</x:v>
      </x:c>
      <x:c r="F72" s="31" t="n">
        <x:f>D72-E72</x:f>
        <x:v>-5574.5899999999965</x:v>
      </x:c>
      <x:c r="G72" s="30"/>
      <x:c r="H72" s="30"/>
      <x:c r="I72" s="30"/>
      <x:c r="J72" s="30"/>
      <x:c r="K72" s="30"/>
      <x:c r="L72" s="30"/>
    </x:row>
    <x:row r="73">
      <x:c r="A73" s="32" t="n">
        <x:v>45323</x:v>
      </x:c>
      <x:c r="B73" s="30" t="str">
        <x:v>Office &amp; Admin</x:v>
      </x:c>
      <x:c r="C73" s="30" t="str">
        <x:v>Fixed</x:v>
      </x:c>
      <x:c r="D73" s="31" t="n">
        <x:v>35836</x:v>
      </x:c>
      <x:c r="E73" s="31" t="n">
        <x:v>32960.49</x:v>
      </x:c>
      <x:c r="F73" s="31" t="n">
        <x:f>D73-E73</x:f>
        <x:v>2875.510000000002</x:v>
      </x:c>
      <x:c r="G73" s="30"/>
      <x:c r="H73" s="30"/>
      <x:c r="I73" s="30"/>
      <x:c r="J73" s="30"/>
      <x:c r="K73" s="30"/>
      <x:c r="L73" s="30"/>
    </x:row>
    <x:row r="74">
      <x:c r="A74" s="32" t="n">
        <x:v>45323</x:v>
      </x:c>
      <x:c r="B74" s="30" t="str">
        <x:v>Professional Services</x:v>
      </x:c>
      <x:c r="C74" s="30" t="str">
        <x:v>Fixed</x:v>
      </x:c>
      <x:c r="D74" s="31" t="n">
        <x:v>20808</x:v>
      </x:c>
      <x:c r="E74" s="31" t="n">
        <x:v>21901.11</x:v>
      </x:c>
      <x:c r="F74" s="31" t="n">
        <x:f>D74-E74</x:f>
        <x:v>-1093.1100000000006</x:v>
      </x:c>
      <x:c r="G74" s="30"/>
      <x:c r="H74" s="30"/>
      <x:c r="I74" s="30"/>
      <x:c r="J74" s="30"/>
      <x:c r="K74" s="30"/>
      <x:c r="L74" s="30"/>
    </x:row>
    <x:row r="75">
      <x:c r="A75" s="32" t="n">
        <x:v>45352</x:v>
      </x:c>
      <x:c r="B75" s="30" t="str">
        <x:v>Marketing</x:v>
      </x:c>
      <x:c r="C75" s="30" t="str">
        <x:v>Variable</x:v>
      </x:c>
      <x:c r="D75" s="31" t="n">
        <x:v>105120</x:v>
      </x:c>
      <x:c r="E75" s="31" t="n">
        <x:v>111183.55</x:v>
      </x:c>
      <x:c r="F75" s="31" t="n">
        <x:f>D75-E75</x:f>
        <x:v>-6063.550000000003</x:v>
      </x:c>
      <x:c r="G75" s="30"/>
      <x:c r="H75" s="30"/>
      <x:c r="I75" s="30"/>
      <x:c r="J75" s="30"/>
      <x:c r="K75" s="30"/>
      <x:c r="L75" s="30"/>
    </x:row>
    <x:row r="76">
      <x:c r="A76" s="32" t="n">
        <x:v>45352</x:v>
      </x:c>
      <x:c r="B76" s="30" t="str">
        <x:v>Cloud &amp; API</x:v>
      </x:c>
      <x:c r="C76" s="30" t="str">
        <x:v>Variable</x:v>
      </x:c>
      <x:c r="D76" s="31" t="n">
        <x:v>22564.36</x:v>
      </x:c>
      <x:c r="E76" s="31" t="n">
        <x:v>25529.23</x:v>
      </x:c>
      <x:c r="F76" s="31" t="n">
        <x:f>D76-E76</x:f>
        <x:v>-2964.869999999999</x:v>
      </x:c>
      <x:c r="G76" s="30"/>
      <x:c r="H76" s="30"/>
      <x:c r="I76" s="30"/>
      <x:c r="J76" s="30"/>
      <x:c r="K76" s="30"/>
      <x:c r="L76" s="30"/>
    </x:row>
    <x:row r="77">
      <x:c r="A77" s="32" t="n">
        <x:v>45352</x:v>
      </x:c>
      <x:c r="B77" s="30" t="str">
        <x:v>Software</x:v>
      </x:c>
      <x:c r="C77" s="30" t="str">
        <x:v>Fixed</x:v>
      </x:c>
      <x:c r="D77" s="31" t="n">
        <x:v>30368</x:v>
      </x:c>
      <x:c r="E77" s="31" t="n">
        <x:v>31894.31</x:v>
      </x:c>
      <x:c r="F77" s="31" t="n">
        <x:f>D77-E77</x:f>
        <x:v>-1526.3100000000013</x:v>
      </x:c>
      <x:c r="G77" s="30"/>
      <x:c r="H77" s="30"/>
      <x:c r="I77" s="30"/>
      <x:c r="J77" s="30"/>
      <x:c r="K77" s="30"/>
      <x:c r="L77" s="30"/>
    </x:row>
    <x:row r="78">
      <x:c r="A78" s="32" t="n">
        <x:v>45352</x:v>
      </x:c>
      <x:c r="B78" s="30" t="str">
        <x:v>Office &amp; Admin</x:v>
      </x:c>
      <x:c r="C78" s="30" t="str">
        <x:v>Fixed</x:v>
      </x:c>
      <x:c r="D78" s="31" t="n">
        <x:v>36208</x:v>
      </x:c>
      <x:c r="E78" s="31" t="n">
        <x:v>36907.12</x:v>
      </x:c>
      <x:c r="F78" s="31" t="n">
        <x:f>D78-E78</x:f>
        <x:v>-699.1200000000026</x:v>
      </x:c>
      <x:c r="G78" s="30"/>
      <x:c r="H78" s="30"/>
      <x:c r="I78" s="30"/>
      <x:c r="J78" s="30"/>
      <x:c r="K78" s="30"/>
      <x:c r="L78" s="30"/>
    </x:row>
    <x:row r="79">
      <x:c r="A79" s="32" t="n">
        <x:v>45352</x:v>
      </x:c>
      <x:c r="B79" s="30" t="str">
        <x:v>Professional Services</x:v>
      </x:c>
      <x:c r="C79" s="30" t="str">
        <x:v>Fixed</x:v>
      </x:c>
      <x:c r="D79" s="31" t="n">
        <x:v>21024</x:v>
      </x:c>
      <x:c r="E79" s="31" t="n">
        <x:v>20802.94</x:v>
      </x:c>
      <x:c r="F79" s="31" t="n">
        <x:f>D79-E79</x:f>
        <x:v>221.0600000000013</x:v>
      </x:c>
      <x:c r="G79" s="30"/>
      <x:c r="H79" s="30"/>
      <x:c r="I79" s="30"/>
      <x:c r="J79" s="30"/>
      <x:c r="K79" s="30"/>
      <x:c r="L79" s="30"/>
    </x:row>
    <x:row r="80">
      <x:c r="A80" s="32" t="n">
        <x:v>45383</x:v>
      </x:c>
      <x:c r="B80" s="30" t="str">
        <x:v>Marketing</x:v>
      </x:c>
      <x:c r="C80" s="30" t="str">
        <x:v>Variable</x:v>
      </x:c>
      <x:c r="D80" s="31" t="n">
        <x:v>106200</x:v>
      </x:c>
      <x:c r="E80" s="31" t="n">
        <x:v>115395.62</x:v>
      </x:c>
      <x:c r="F80" s="31" t="n">
        <x:f>D80-E80</x:f>
        <x:v>-9195.619999999995</x:v>
      </x:c>
      <x:c r="G80" s="30"/>
      <x:c r="H80" s="30"/>
      <x:c r="I80" s="30"/>
      <x:c r="J80" s="30"/>
      <x:c r="K80" s="30"/>
      <x:c r="L80" s="30"/>
    </x:row>
    <x:row r="81">
      <x:c r="A81" s="32" t="n">
        <x:v>45383</x:v>
      </x:c>
      <x:c r="B81" s="30" t="str">
        <x:v>Cloud &amp; API</x:v>
      </x:c>
      <x:c r="C81" s="30" t="str">
        <x:v>Variable</x:v>
      </x:c>
      <x:c r="D81" s="31" t="n">
        <x:v>23383.18</x:v>
      </x:c>
      <x:c r="E81" s="31" t="n">
        <x:v>26629.59</x:v>
      </x:c>
      <x:c r="F81" s="31" t="n">
        <x:f>D81-E81</x:f>
        <x:v>-3246.41</x:v>
      </x:c>
      <x:c r="G81" s="30"/>
      <x:c r="H81" s="30"/>
      <x:c r="I81" s="30"/>
      <x:c r="J81" s="30"/>
      <x:c r="K81" s="30"/>
      <x:c r="L81" s="30"/>
    </x:row>
    <x:row r="82">
      <x:c r="A82" s="32" t="n">
        <x:v>45383</x:v>
      </x:c>
      <x:c r="B82" s="30" t="str">
        <x:v>Software</x:v>
      </x:c>
      <x:c r="C82" s="30" t="str">
        <x:v>Fixed</x:v>
      </x:c>
      <x:c r="D82" s="31" t="n">
        <x:v>30680</x:v>
      </x:c>
      <x:c r="E82" s="31" t="n">
        <x:v>33051.06</x:v>
      </x:c>
      <x:c r="F82" s="31" t="n">
        <x:f>D82-E82</x:f>
        <x:v>-2371.0599999999977</x:v>
      </x:c>
      <x:c r="G82" s="30"/>
      <x:c r="H82" s="30"/>
      <x:c r="I82" s="30"/>
      <x:c r="J82" s="30"/>
      <x:c r="K82" s="30"/>
      <x:c r="L82" s="30"/>
    </x:row>
    <x:row r="83">
      <x:c r="A83" s="32" t="n">
        <x:v>45383</x:v>
      </x:c>
      <x:c r="B83" s="30" t="str">
        <x:v>Office &amp; Admin</x:v>
      </x:c>
      <x:c r="C83" s="30" t="str">
        <x:v>Fixed</x:v>
      </x:c>
      <x:c r="D83" s="31" t="n">
        <x:v>36580</x:v>
      </x:c>
      <x:c r="E83" s="31" t="n">
        <x:v>34408.65</x:v>
      </x:c>
      <x:c r="F83" s="31" t="n">
        <x:f>D83-E83</x:f>
        <x:v>2171.3499999999985</x:v>
      </x:c>
      <x:c r="G83" s="30"/>
      <x:c r="H83" s="30"/>
      <x:c r="I83" s="30"/>
      <x:c r="J83" s="30"/>
      <x:c r="K83" s="30"/>
      <x:c r="L83" s="30"/>
    </x:row>
    <x:row r="84">
      <x:c r="A84" s="32" t="n">
        <x:v>45383</x:v>
      </x:c>
      <x:c r="B84" s="30" t="str">
        <x:v>Professional Services</x:v>
      </x:c>
      <x:c r="C84" s="30" t="str">
        <x:v>Fixed</x:v>
      </x:c>
      <x:c r="D84" s="31" t="n">
        <x:v>21240</x:v>
      </x:c>
      <x:c r="E84" s="31" t="n">
        <x:v>22580.65</x:v>
      </x:c>
      <x:c r="F84" s="31" t="n">
        <x:f>D84-E84</x:f>
        <x:v>-1340.6500000000015</x:v>
      </x:c>
      <x:c r="G84" s="30"/>
      <x:c r="H84" s="30"/>
      <x:c r="I84" s="30"/>
      <x:c r="J84" s="30"/>
      <x:c r="K84" s="30"/>
      <x:c r="L84" s="30"/>
    </x:row>
    <x:row r="85">
      <x:c r="A85" s="32" t="n">
        <x:v>45413</x:v>
      </x:c>
      <x:c r="B85" s="30" t="str">
        <x:v>Marketing</x:v>
      </x:c>
      <x:c r="C85" s="30" t="str">
        <x:v>Variable</x:v>
      </x:c>
      <x:c r="D85" s="31" t="n">
        <x:v>107280</x:v>
      </x:c>
      <x:c r="E85" s="31" t="n">
        <x:v>113555.24</x:v>
      </x:c>
      <x:c r="F85" s="31" t="n">
        <x:f>D85-E85</x:f>
        <x:v>-6275.240000000005</x:v>
      </x:c>
      <x:c r="G85" s="30"/>
      <x:c r="H85" s="30"/>
      <x:c r="I85" s="30"/>
      <x:c r="J85" s="30"/>
      <x:c r="K85" s="30"/>
      <x:c r="L85" s="30"/>
    </x:row>
    <x:row r="86">
      <x:c r="A86" s="32" t="n">
        <x:v>45413</x:v>
      </x:c>
      <x:c r="B86" s="30" t="str">
        <x:v>Cloud &amp; API</x:v>
      </x:c>
      <x:c r="C86" s="30" t="str">
        <x:v>Variable</x:v>
      </x:c>
      <x:c r="D86" s="31" t="n">
        <x:v>24112.84</x:v>
      </x:c>
      <x:c r="E86" s="31" t="n">
        <x:v>27367.87</x:v>
      </x:c>
      <x:c r="F86" s="31" t="n">
        <x:f>D86-E86</x:f>
        <x:v>-3255.029999999999</x:v>
      </x:c>
      <x:c r="G86" s="30"/>
      <x:c r="H86" s="30"/>
      <x:c r="I86" s="30"/>
      <x:c r="J86" s="30"/>
      <x:c r="K86" s="30"/>
      <x:c r="L86" s="30"/>
    </x:row>
    <x:row r="87">
      <x:c r="A87" s="32" t="n">
        <x:v>45413</x:v>
      </x:c>
      <x:c r="B87" s="30" t="str">
        <x:v>Software</x:v>
      </x:c>
      <x:c r="C87" s="30" t="str">
        <x:v>Fixed</x:v>
      </x:c>
      <x:c r="D87" s="31" t="n">
        <x:v>30992</x:v>
      </x:c>
      <x:c r="E87" s="31" t="n">
        <x:v>32646.82</x:v>
      </x:c>
      <x:c r="F87" s="31" t="n">
        <x:f>D87-E87</x:f>
        <x:v>-1654.8199999999997</x:v>
      </x:c>
      <x:c r="G87" s="30"/>
      <x:c r="H87" s="30"/>
      <x:c r="I87" s="30"/>
      <x:c r="J87" s="30"/>
      <x:c r="K87" s="30"/>
      <x:c r="L87" s="30"/>
    </x:row>
    <x:row r="88">
      <x:c r="A88" s="32" t="n">
        <x:v>45413</x:v>
      </x:c>
      <x:c r="B88" s="30" t="str">
        <x:v>Office &amp; Admin</x:v>
      </x:c>
      <x:c r="C88" s="30" t="str">
        <x:v>Fixed</x:v>
      </x:c>
      <x:c r="D88" s="31" t="n">
        <x:v>36952</x:v>
      </x:c>
      <x:c r="E88" s="31" t="n">
        <x:v>35362.22</x:v>
      </x:c>
      <x:c r="F88" s="31" t="n">
        <x:f>D88-E88</x:f>
        <x:v>1589.7799999999988</x:v>
      </x:c>
      <x:c r="G88" s="30"/>
      <x:c r="H88" s="30"/>
      <x:c r="I88" s="30"/>
      <x:c r="J88" s="30"/>
      <x:c r="K88" s="30"/>
      <x:c r="L88" s="30"/>
    </x:row>
    <x:row r="89">
      <x:c r="A89" s="32" t="n">
        <x:v>45413</x:v>
      </x:c>
      <x:c r="B89" s="30" t="str">
        <x:v>Professional Services</x:v>
      </x:c>
      <x:c r="C89" s="30" t="str">
        <x:v>Fixed</x:v>
      </x:c>
      <x:c r="D89" s="31" t="n">
        <x:v>21456</x:v>
      </x:c>
      <x:c r="E89" s="31" t="n">
        <x:v>24006.33</x:v>
      </x:c>
      <x:c r="F89" s="31" t="n">
        <x:f>D89-E89</x:f>
        <x:v>-2550.3300000000017</x:v>
      </x:c>
      <x:c r="G89" s="30"/>
      <x:c r="H89" s="30"/>
      <x:c r="I89" s="30"/>
      <x:c r="J89" s="30"/>
      <x:c r="K89" s="30"/>
      <x:c r="L89" s="30"/>
    </x:row>
    <x:row r="90">
      <x:c r="A90" s="32" t="n">
        <x:v>45444</x:v>
      </x:c>
      <x:c r="B90" s="30" t="str">
        <x:v>Marketing</x:v>
      </x:c>
      <x:c r="C90" s="30" t="str">
        <x:v>Variable</x:v>
      </x:c>
      <x:c r="D90" s="31" t="n">
        <x:v>108360</x:v>
      </x:c>
      <x:c r="E90" s="31" t="n">
        <x:v>114467.79</x:v>
      </x:c>
      <x:c r="F90" s="31" t="n">
        <x:f>D90-E90</x:f>
        <x:v>-6107.789999999994</x:v>
      </x:c>
      <x:c r="G90" s="30"/>
      <x:c r="H90" s="30"/>
      <x:c r="I90" s="30"/>
      <x:c r="J90" s="30"/>
      <x:c r="K90" s="30"/>
      <x:c r="L90" s="30"/>
    </x:row>
    <x:row r="91">
      <x:c r="A91" s="32" t="n">
        <x:v>45444</x:v>
      </x:c>
      <x:c r="B91" s="30" t="str">
        <x:v>Cloud &amp; API</x:v>
      </x:c>
      <x:c r="C91" s="30" t="str">
        <x:v>Variable</x:v>
      </x:c>
      <x:c r="D91" s="31" t="n">
        <x:v>24956.83</x:v>
      </x:c>
      <x:c r="E91" s="31" t="n">
        <x:v>26997.57</x:v>
      </x:c>
      <x:c r="F91" s="31" t="n">
        <x:f>D91-E91</x:f>
        <x:v>-2040.739999999998</x:v>
      </x:c>
      <x:c r="G91" s="30"/>
      <x:c r="H91" s="30"/>
      <x:c r="I91" s="30"/>
      <x:c r="J91" s="30"/>
      <x:c r="K91" s="30"/>
      <x:c r="L91" s="30"/>
    </x:row>
    <x:row r="92">
      <x:c r="A92" s="32" t="n">
        <x:v>45444</x:v>
      </x:c>
      <x:c r="B92" s="30" t="str">
        <x:v>Software</x:v>
      </x:c>
      <x:c r="C92" s="30" t="str">
        <x:v>Fixed</x:v>
      </x:c>
      <x:c r="D92" s="31" t="n">
        <x:v>31304</x:v>
      </x:c>
      <x:c r="E92" s="31" t="n">
        <x:v>29897.93</x:v>
      </x:c>
      <x:c r="F92" s="31" t="n">
        <x:f>D92-E92</x:f>
        <x:v>1406.0699999999997</x:v>
      </x:c>
      <x:c r="G92" s="30"/>
      <x:c r="H92" s="30"/>
      <x:c r="I92" s="30"/>
      <x:c r="J92" s="30"/>
      <x:c r="K92" s="30"/>
      <x:c r="L92" s="30"/>
    </x:row>
    <x:row r="93">
      <x:c r="A93" s="32" t="n">
        <x:v>45444</x:v>
      </x:c>
      <x:c r="B93" s="30" t="str">
        <x:v>Office &amp; Admin</x:v>
      </x:c>
      <x:c r="C93" s="30" t="str">
        <x:v>Fixed</x:v>
      </x:c>
      <x:c r="D93" s="31" t="n">
        <x:v>37324</x:v>
      </x:c>
      <x:c r="E93" s="31" t="n">
        <x:v>36633.95</x:v>
      </x:c>
      <x:c r="F93" s="31" t="n">
        <x:f>D93-E93</x:f>
        <x:v>690.0500000000029</x:v>
      </x:c>
      <x:c r="G93" s="30"/>
      <x:c r="H93" s="30"/>
      <x:c r="I93" s="30"/>
      <x:c r="J93" s="30"/>
      <x:c r="K93" s="30"/>
      <x:c r="L93" s="30"/>
    </x:row>
    <x:row r="94">
      <x:c r="A94" s="32" t="n">
        <x:v>45444</x:v>
      </x:c>
      <x:c r="B94" s="30" t="str">
        <x:v>Professional Services</x:v>
      </x:c>
      <x:c r="C94" s="30" t="str">
        <x:v>Fixed</x:v>
      </x:c>
      <x:c r="D94" s="31" t="n">
        <x:v>21672</x:v>
      </x:c>
      <x:c r="E94" s="31" t="n">
        <x:v>21817.45</x:v>
      </x:c>
      <x:c r="F94" s="31" t="n">
        <x:f>D94-E94</x:f>
        <x:v>-145.45000000000073</x:v>
      </x:c>
      <x:c r="G94" s="30"/>
      <x:c r="H94" s="30"/>
      <x:c r="I94" s="30"/>
      <x:c r="J94" s="30"/>
      <x:c r="K94" s="30"/>
      <x:c r="L94" s="30"/>
    </x:row>
    <x:row r="95">
      <x:c r="A95" s="32" t="n">
        <x:v>45474</x:v>
      </x:c>
      <x:c r="B95" s="30" t="str">
        <x:v>Marketing</x:v>
      </x:c>
      <x:c r="C95" s="30" t="str">
        <x:v>Variable</x:v>
      </x:c>
      <x:c r="D95" s="31" t="n">
        <x:v>109440</x:v>
      </x:c>
      <x:c r="E95" s="31" t="n">
        <x:v>120336.77</x:v>
      </x:c>
      <x:c r="F95" s="31" t="n">
        <x:f>D95-E95</x:f>
        <x:v>-10896.770000000004</x:v>
      </x:c>
      <x:c r="G95" s="30"/>
      <x:c r="H95" s="30"/>
      <x:c r="I95" s="30"/>
      <x:c r="J95" s="30"/>
      <x:c r="K95" s="30"/>
      <x:c r="L95" s="30"/>
    </x:row>
    <x:row r="96">
      <x:c r="A96" s="32" t="n">
        <x:v>45474</x:v>
      </x:c>
      <x:c r="B96" s="30" t="str">
        <x:v>Cloud &amp; API</x:v>
      </x:c>
      <x:c r="C96" s="30" t="str">
        <x:v>Variable</x:v>
      </x:c>
      <x:c r="D96" s="31" t="n">
        <x:v>25733.62</x:v>
      </x:c>
      <x:c r="E96" s="31" t="n">
        <x:v>27873.47</x:v>
      </x:c>
      <x:c r="F96" s="31" t="n">
        <x:f>D96-E96</x:f>
        <x:v>-2139.850000000002</x:v>
      </x:c>
      <x:c r="G96" s="30"/>
      <x:c r="H96" s="30"/>
      <x:c r="I96" s="30"/>
      <x:c r="J96" s="30"/>
      <x:c r="K96" s="30"/>
      <x:c r="L96" s="30"/>
    </x:row>
    <x:row r="97">
      <x:c r="A97" s="32" t="n">
        <x:v>45474</x:v>
      </x:c>
      <x:c r="B97" s="30" t="str">
        <x:v>Software</x:v>
      </x:c>
      <x:c r="C97" s="30" t="str">
        <x:v>Fixed</x:v>
      </x:c>
      <x:c r="D97" s="31" t="n">
        <x:v>31616</x:v>
      </x:c>
      <x:c r="E97" s="31" t="n">
        <x:v>33592.99</x:v>
      </x:c>
      <x:c r="F97" s="31" t="n">
        <x:f>D97-E97</x:f>
        <x:v>-1976.989999999998</x:v>
      </x:c>
      <x:c r="G97" s="30"/>
      <x:c r="H97" s="30"/>
      <x:c r="I97" s="30"/>
      <x:c r="J97" s="30"/>
      <x:c r="K97" s="30"/>
      <x:c r="L97" s="30"/>
    </x:row>
    <x:row r="98">
      <x:c r="A98" s="32" t="n">
        <x:v>45474</x:v>
      </x:c>
      <x:c r="B98" s="30" t="str">
        <x:v>Office &amp; Admin</x:v>
      </x:c>
      <x:c r="C98" s="30" t="str">
        <x:v>Fixed</x:v>
      </x:c>
      <x:c r="D98" s="31" t="n">
        <x:v>37696</x:v>
      </x:c>
      <x:c r="E98" s="31" t="n">
        <x:v>36724.98</x:v>
      </x:c>
      <x:c r="F98" s="31" t="n">
        <x:f>D98-E98</x:f>
        <x:v>971.0199999999968</x:v>
      </x:c>
      <x:c r="G98" s="30"/>
      <x:c r="H98" s="30"/>
      <x:c r="I98" s="30"/>
      <x:c r="J98" s="30"/>
      <x:c r="K98" s="30"/>
      <x:c r="L98" s="30"/>
    </x:row>
    <x:row r="99">
      <x:c r="A99" s="32" t="n">
        <x:v>45474</x:v>
      </x:c>
      <x:c r="B99" s="30" t="str">
        <x:v>Professional Services</x:v>
      </x:c>
      <x:c r="C99" s="30" t="str">
        <x:v>Fixed</x:v>
      </x:c>
      <x:c r="D99" s="31" t="n">
        <x:v>21888</x:v>
      </x:c>
      <x:c r="E99" s="31" t="n">
        <x:v>21420.89</x:v>
      </x:c>
      <x:c r="F99" s="31" t="n">
        <x:f>D99-E99</x:f>
        <x:v>467.1100000000006</x:v>
      </x:c>
      <x:c r="G99" s="30"/>
      <x:c r="H99" s="30"/>
      <x:c r="I99" s="30"/>
      <x:c r="J99" s="30"/>
      <x:c r="K99" s="30"/>
      <x:c r="L99" s="30"/>
    </x:row>
    <x:row r="100">
      <x:c r="A100" s="32" t="n">
        <x:v>45505</x:v>
      </x:c>
      <x:c r="B100" s="30" t="str">
        <x:v>Marketing</x:v>
      </x:c>
      <x:c r="C100" s="30" t="str">
        <x:v>Variable</x:v>
      </x:c>
      <x:c r="D100" s="31" t="n">
        <x:v>110520</x:v>
      </x:c>
      <x:c r="E100" s="31" t="n">
        <x:v>112899.36</x:v>
      </x:c>
      <x:c r="F100" s="31" t="n">
        <x:f>D100-E100</x:f>
        <x:v>-2379.3600000000006</x:v>
      </x:c>
      <x:c r="G100" s="30"/>
      <x:c r="H100" s="30"/>
      <x:c r="I100" s="30"/>
      <x:c r="J100" s="30"/>
      <x:c r="K100" s="30"/>
      <x:c r="L100" s="30"/>
    </x:row>
    <x:row r="101">
      <x:c r="A101" s="32" t="n">
        <x:v>45505</x:v>
      </x:c>
      <x:c r="B101" s="30" t="str">
        <x:v>Cloud &amp; API</x:v>
      </x:c>
      <x:c r="C101" s="30" t="str">
        <x:v>Variable</x:v>
      </x:c>
      <x:c r="D101" s="31" t="n">
        <x:v>26505.31</x:v>
      </x:c>
      <x:c r="E101" s="31" t="n">
        <x:v>29117.21</x:v>
      </x:c>
      <x:c r="F101" s="31" t="n">
        <x:f>D101-E101</x:f>
        <x:v>-2611.899999999998</x:v>
      </x:c>
      <x:c r="G101" s="30"/>
      <x:c r="H101" s="30"/>
      <x:c r="I101" s="30"/>
      <x:c r="J101" s="30"/>
      <x:c r="K101" s="30"/>
      <x:c r="L101" s="30"/>
    </x:row>
    <x:row r="102">
      <x:c r="A102" s="32" t="n">
        <x:v>45505</x:v>
      </x:c>
      <x:c r="B102" s="30" t="str">
        <x:v>Software</x:v>
      </x:c>
      <x:c r="C102" s="30" t="str">
        <x:v>Fixed</x:v>
      </x:c>
      <x:c r="D102" s="31" t="n">
        <x:v>31928</x:v>
      </x:c>
      <x:c r="E102" s="31" t="n">
        <x:v>36715.75</x:v>
      </x:c>
      <x:c r="F102" s="31" t="n">
        <x:f>D102-E102</x:f>
        <x:v>-4787.75</x:v>
      </x:c>
      <x:c r="G102" s="30"/>
      <x:c r="H102" s="30"/>
      <x:c r="I102" s="30"/>
      <x:c r="J102" s="30"/>
      <x:c r="K102" s="30"/>
      <x:c r="L102" s="30"/>
    </x:row>
    <x:row r="103">
      <x:c r="A103" s="32" t="n">
        <x:v>45505</x:v>
      </x:c>
      <x:c r="B103" s="30" t="str">
        <x:v>Office &amp; Admin</x:v>
      </x:c>
      <x:c r="C103" s="30" t="str">
        <x:v>Fixed</x:v>
      </x:c>
      <x:c r="D103" s="31" t="n">
        <x:v>38068</x:v>
      </x:c>
      <x:c r="E103" s="31" t="n">
        <x:v>38148.97</x:v>
      </x:c>
      <x:c r="F103" s="31" t="n">
        <x:f>D103-E103</x:f>
        <x:v>-80.97000000000116</x:v>
      </x:c>
      <x:c r="G103" s="30"/>
      <x:c r="H103" s="30"/>
      <x:c r="I103" s="30"/>
      <x:c r="J103" s="30"/>
      <x:c r="K103" s="30"/>
      <x:c r="L103" s="30"/>
    </x:row>
    <x:row r="104">
      <x:c r="A104" s="32" t="n">
        <x:v>45505</x:v>
      </x:c>
      <x:c r="B104" s="30" t="str">
        <x:v>Professional Services</x:v>
      </x:c>
      <x:c r="C104" s="30" t="str">
        <x:v>Fixed</x:v>
      </x:c>
      <x:c r="D104" s="31" t="n">
        <x:v>22104</x:v>
      </x:c>
      <x:c r="E104" s="31" t="n">
        <x:v>24528.7</x:v>
      </x:c>
      <x:c r="F104" s="31" t="n">
        <x:f>D104-E104</x:f>
        <x:v>-2424.7000000000007</x:v>
      </x:c>
      <x:c r="G104" s="30"/>
      <x:c r="H104" s="30"/>
      <x:c r="I104" s="30"/>
      <x:c r="J104" s="30"/>
      <x:c r="K104" s="30"/>
      <x:c r="L104" s="30"/>
    </x:row>
    <x:row r="105">
      <x:c r="A105" s="32" t="n">
        <x:v>45536</x:v>
      </x:c>
      <x:c r="B105" s="30" t="str">
        <x:v>Marketing</x:v>
      </x:c>
      <x:c r="C105" s="30" t="str">
        <x:v>Variable</x:v>
      </x:c>
      <x:c r="D105" s="31" t="n">
        <x:v>111600</x:v>
      </x:c>
      <x:c r="E105" s="31" t="n">
        <x:v>114619.29</x:v>
      </x:c>
      <x:c r="F105" s="31" t="n">
        <x:f>D105-E105</x:f>
        <x:v>-3019.2899999999936</x:v>
      </x:c>
      <x:c r="G105" s="30"/>
      <x:c r="H105" s="30"/>
      <x:c r="I105" s="30"/>
      <x:c r="J105" s="30"/>
      <x:c r="K105" s="30"/>
      <x:c r="L105" s="30"/>
    </x:row>
    <x:row r="106">
      <x:c r="A106" s="32" t="n">
        <x:v>45536</x:v>
      </x:c>
      <x:c r="B106" s="30" t="str">
        <x:v>Cloud &amp; API</x:v>
      </x:c>
      <x:c r="C106" s="30" t="str">
        <x:v>Variable</x:v>
      </x:c>
      <x:c r="D106" s="31" t="n">
        <x:v>27124.91</x:v>
      </x:c>
      <x:c r="E106" s="31" t="n">
        <x:v>30633.18</x:v>
      </x:c>
      <x:c r="F106" s="31" t="n">
        <x:f>D106-E106</x:f>
        <x:v>-3508.2700000000004</x:v>
      </x:c>
      <x:c r="G106" s="30"/>
      <x:c r="H106" s="30"/>
      <x:c r="I106" s="30"/>
      <x:c r="J106" s="30"/>
      <x:c r="K106" s="30"/>
      <x:c r="L106" s="30"/>
    </x:row>
    <x:row r="107">
      <x:c r="A107" s="32" t="n">
        <x:v>45536</x:v>
      </x:c>
      <x:c r="B107" s="30" t="str">
        <x:v>Software</x:v>
      </x:c>
      <x:c r="C107" s="30" t="str">
        <x:v>Fixed</x:v>
      </x:c>
      <x:c r="D107" s="31" t="n">
        <x:v>32240</x:v>
      </x:c>
      <x:c r="E107" s="31" t="n">
        <x:v>33136.15</x:v>
      </x:c>
      <x:c r="F107" s="31" t="n">
        <x:f>D107-E107</x:f>
        <x:v>-896.1500000000015</x:v>
      </x:c>
      <x:c r="G107" s="30"/>
      <x:c r="H107" s="30"/>
      <x:c r="I107" s="30"/>
      <x:c r="J107" s="30"/>
      <x:c r="K107" s="30"/>
      <x:c r="L107" s="30"/>
    </x:row>
    <x:row r="108">
      <x:c r="A108" s="32" t="n">
        <x:v>45536</x:v>
      </x:c>
      <x:c r="B108" s="30" t="str">
        <x:v>Office &amp; Admin</x:v>
      </x:c>
      <x:c r="C108" s="30" t="str">
        <x:v>Fixed</x:v>
      </x:c>
      <x:c r="D108" s="31" t="n">
        <x:v>38440</x:v>
      </x:c>
      <x:c r="E108" s="31" t="n">
        <x:v>37286.25</x:v>
      </x:c>
      <x:c r="F108" s="31" t="n">
        <x:f>D108-E108</x:f>
        <x:v>1153.75</x:v>
      </x:c>
      <x:c r="G108" s="30"/>
      <x:c r="H108" s="30"/>
      <x:c r="I108" s="30"/>
      <x:c r="J108" s="30"/>
      <x:c r="K108" s="30"/>
      <x:c r="L108" s="30"/>
    </x:row>
    <x:row r="109">
      <x:c r="A109" s="32" t="n">
        <x:v>45536</x:v>
      </x:c>
      <x:c r="B109" s="30" t="str">
        <x:v>Professional Services</x:v>
      </x:c>
      <x:c r="C109" s="30" t="str">
        <x:v>Fixed</x:v>
      </x:c>
      <x:c r="D109" s="31" t="n">
        <x:v>22320</x:v>
      </x:c>
      <x:c r="E109" s="31" t="n">
        <x:v>23166.92</x:v>
      </x:c>
      <x:c r="F109" s="31" t="n">
        <x:f>D109-E109</x:f>
        <x:v>-846.9199999999983</x:v>
      </x:c>
      <x:c r="G109" s="30"/>
      <x:c r="H109" s="30"/>
      <x:c r="I109" s="30"/>
      <x:c r="J109" s="30"/>
      <x:c r="K109" s="30"/>
      <x:c r="L109" s="30"/>
    </x:row>
    <x:row r="110">
      <x:c r="A110" s="32" t="n">
        <x:v>45566</x:v>
      </x:c>
      <x:c r="B110" s="30" t="str">
        <x:v>Marketing</x:v>
      </x:c>
      <x:c r="C110" s="30" t="str">
        <x:v>Variable</x:v>
      </x:c>
      <x:c r="D110" s="31" t="n">
        <x:v>112680</x:v>
      </x:c>
      <x:c r="E110" s="31" t="n">
        <x:v>118345.03</x:v>
      </x:c>
      <x:c r="F110" s="31" t="n">
        <x:f>D110-E110</x:f>
        <x:v>-5665.029999999999</x:v>
      </x:c>
      <x:c r="G110" s="30"/>
      <x:c r="H110" s="30"/>
      <x:c r="I110" s="30"/>
      <x:c r="J110" s="30"/>
      <x:c r="K110" s="30"/>
      <x:c r="L110" s="30"/>
    </x:row>
    <x:row r="111">
      <x:c r="A111" s="32" t="n">
        <x:v>45566</x:v>
      </x:c>
      <x:c r="B111" s="30" t="str">
        <x:v>Cloud &amp; API</x:v>
      </x:c>
      <x:c r="C111" s="30" t="str">
        <x:v>Variable</x:v>
      </x:c>
      <x:c r="D111" s="31" t="n">
        <x:v>27768.09</x:v>
      </x:c>
      <x:c r="E111" s="31" t="n">
        <x:v>32489.96</x:v>
      </x:c>
      <x:c r="F111" s="31" t="n">
        <x:f>D111-E111</x:f>
        <x:v>-4721.869999999999</x:v>
      </x:c>
      <x:c r="G111" s="30"/>
      <x:c r="H111" s="30"/>
      <x:c r="I111" s="30"/>
      <x:c r="J111" s="30"/>
      <x:c r="K111" s="30"/>
      <x:c r="L111" s="30"/>
    </x:row>
    <x:row r="112">
      <x:c r="A112" s="32" t="n">
        <x:v>45566</x:v>
      </x:c>
      <x:c r="B112" s="30" t="str">
        <x:v>Software</x:v>
      </x:c>
      <x:c r="C112" s="30" t="str">
        <x:v>Fixed</x:v>
      </x:c>
      <x:c r="D112" s="31" t="n">
        <x:v>32552</x:v>
      </x:c>
      <x:c r="E112" s="31" t="n">
        <x:v>35887.37</x:v>
      </x:c>
      <x:c r="F112" s="31" t="n">
        <x:f>D112-E112</x:f>
        <x:v>-3335.3700000000026</x:v>
      </x:c>
      <x:c r="G112" s="30"/>
      <x:c r="H112" s="30"/>
      <x:c r="I112" s="30"/>
      <x:c r="J112" s="30"/>
      <x:c r="K112" s="30"/>
      <x:c r="L112" s="30"/>
    </x:row>
    <x:row r="113">
      <x:c r="A113" s="32" t="n">
        <x:v>45566</x:v>
      </x:c>
      <x:c r="B113" s="30" t="str">
        <x:v>Office &amp; Admin</x:v>
      </x:c>
      <x:c r="C113" s="30" t="str">
        <x:v>Fixed</x:v>
      </x:c>
      <x:c r="D113" s="31" t="n">
        <x:v>38812</x:v>
      </x:c>
      <x:c r="E113" s="31" t="n">
        <x:v>40216.86</x:v>
      </x:c>
      <x:c r="F113" s="31" t="n">
        <x:f>D113-E113</x:f>
        <x:v>-1404.8600000000006</x:v>
      </x:c>
      <x:c r="G113" s="30"/>
      <x:c r="H113" s="30"/>
      <x:c r="I113" s="30"/>
      <x:c r="J113" s="30"/>
      <x:c r="K113" s="30"/>
      <x:c r="L113" s="30"/>
    </x:row>
    <x:row r="114">
      <x:c r="A114" s="32" t="n">
        <x:v>45566</x:v>
      </x:c>
      <x:c r="B114" s="30" t="str">
        <x:v>Professional Services</x:v>
      </x:c>
      <x:c r="C114" s="30" t="str">
        <x:v>Fixed</x:v>
      </x:c>
      <x:c r="D114" s="31" t="n">
        <x:v>22536</x:v>
      </x:c>
      <x:c r="E114" s="31" t="n">
        <x:v>23382.61</x:v>
      </x:c>
      <x:c r="F114" s="31" t="n">
        <x:f>D114-E114</x:f>
        <x:v>-846.6100000000006</x:v>
      </x:c>
      <x:c r="G114" s="30"/>
      <x:c r="H114" s="30"/>
      <x:c r="I114" s="30"/>
      <x:c r="J114" s="30"/>
      <x:c r="K114" s="30"/>
      <x:c r="L114" s="30"/>
    </x:row>
    <x:row r="115">
      <x:c r="A115" s="32" t="n">
        <x:v>45597</x:v>
      </x:c>
      <x:c r="B115" s="30" t="str">
        <x:v>Marketing</x:v>
      </x:c>
      <x:c r="C115" s="30" t="str">
        <x:v>Variable</x:v>
      </x:c>
      <x:c r="D115" s="31" t="n">
        <x:v>113760</x:v>
      </x:c>
      <x:c r="E115" s="31" t="n">
        <x:v>124095.23</x:v>
      </x:c>
      <x:c r="F115" s="31" t="n">
        <x:f>D115-E115</x:f>
        <x:v>-10335.229999999996</x:v>
      </x:c>
      <x:c r="G115" s="30"/>
      <x:c r="H115" s="30"/>
      <x:c r="I115" s="30"/>
      <x:c r="J115" s="30"/>
      <x:c r="K115" s="30"/>
      <x:c r="L115" s="30"/>
    </x:row>
    <x:row r="116">
      <x:c r="A116" s="32" t="n">
        <x:v>45597</x:v>
      </x:c>
      <x:c r="B116" s="30" t="str">
        <x:v>Cloud &amp; API</x:v>
      </x:c>
      <x:c r="C116" s="30" t="str">
        <x:v>Variable</x:v>
      </x:c>
      <x:c r="D116" s="31" t="n">
        <x:v>28399.47</x:v>
      </x:c>
      <x:c r="E116" s="31" t="n">
        <x:v>30413.87</x:v>
      </x:c>
      <x:c r="F116" s="31" t="n">
        <x:f>D116-E116</x:f>
        <x:v>-2014.3999999999978</x:v>
      </x:c>
      <x:c r="G116" s="30"/>
      <x:c r="H116" s="30"/>
      <x:c r="I116" s="30"/>
      <x:c r="J116" s="30"/>
      <x:c r="K116" s="30"/>
      <x:c r="L116" s="30"/>
    </x:row>
    <x:row r="117">
      <x:c r="A117" s="32" t="n">
        <x:v>45597</x:v>
      </x:c>
      <x:c r="B117" s="30" t="str">
        <x:v>Software</x:v>
      </x:c>
      <x:c r="C117" s="30" t="str">
        <x:v>Fixed</x:v>
      </x:c>
      <x:c r="D117" s="31" t="n">
        <x:v>32864</x:v>
      </x:c>
      <x:c r="E117" s="31" t="n">
        <x:v>33154.85</x:v>
      </x:c>
      <x:c r="F117" s="31" t="n">
        <x:f>D117-E117</x:f>
        <x:v>-290.84999999999854</x:v>
      </x:c>
      <x:c r="G117" s="30"/>
      <x:c r="H117" s="30"/>
      <x:c r="I117" s="30"/>
      <x:c r="J117" s="30"/>
      <x:c r="K117" s="30"/>
      <x:c r="L117" s="30"/>
    </x:row>
    <x:row r="118">
      <x:c r="A118" s="32" t="n">
        <x:v>45597</x:v>
      </x:c>
      <x:c r="B118" s="30" t="str">
        <x:v>Office &amp; Admin</x:v>
      </x:c>
      <x:c r="C118" s="30" t="str">
        <x:v>Fixed</x:v>
      </x:c>
      <x:c r="D118" s="31" t="n">
        <x:v>39184</x:v>
      </x:c>
      <x:c r="E118" s="31" t="n">
        <x:v>37133.82</x:v>
      </x:c>
      <x:c r="F118" s="31" t="n">
        <x:f>D118-E118</x:f>
        <x:v>2050.1800000000003</x:v>
      </x:c>
      <x:c r="G118" s="30"/>
      <x:c r="H118" s="30"/>
      <x:c r="I118" s="30"/>
      <x:c r="J118" s="30"/>
      <x:c r="K118" s="30"/>
      <x:c r="L118" s="30"/>
    </x:row>
    <x:row r="119">
      <x:c r="A119" s="32" t="n">
        <x:v>45597</x:v>
      </x:c>
      <x:c r="B119" s="30" t="str">
        <x:v>Professional Services</x:v>
      </x:c>
      <x:c r="C119" s="30" t="str">
        <x:v>Fixed</x:v>
      </x:c>
      <x:c r="D119" s="31" t="n">
        <x:v>22752</x:v>
      </x:c>
      <x:c r="E119" s="31" t="n">
        <x:v>23977.64</x:v>
      </x:c>
      <x:c r="F119" s="31" t="n">
        <x:f>D119-E119</x:f>
        <x:v>-1225.6399999999994</x:v>
      </x:c>
      <x:c r="G119" s="30"/>
      <x:c r="H119" s="30"/>
      <x:c r="I119" s="30"/>
      <x:c r="J119" s="30"/>
      <x:c r="K119" s="30"/>
      <x:c r="L119" s="30"/>
    </x:row>
    <x:row r="120">
      <x:c r="A120" s="32" t="n">
        <x:v>45627</x:v>
      </x:c>
      <x:c r="B120" s="30" t="str">
        <x:v>Marketing</x:v>
      </x:c>
      <x:c r="C120" s="30" t="str">
        <x:v>Variable</x:v>
      </x:c>
      <x:c r="D120" s="31" t="n">
        <x:v>114840</x:v>
      </x:c>
      <x:c r="E120" s="31" t="n">
        <x:v>132655.98</x:v>
      </x:c>
      <x:c r="F120" s="31" t="n">
        <x:f>D120-E120</x:f>
        <x:v>-17815.98000000001</x:v>
      </x:c>
      <x:c r="G120" s="30"/>
      <x:c r="H120" s="30"/>
      <x:c r="I120" s="30"/>
      <x:c r="J120" s="30"/>
      <x:c r="K120" s="30"/>
      <x:c r="L120" s="30"/>
    </x:row>
    <x:row r="121">
      <x:c r="A121" s="32" t="n">
        <x:v>45627</x:v>
      </x:c>
      <x:c r="B121" s="30" t="str">
        <x:v>Cloud &amp; API</x:v>
      </x:c>
      <x:c r="C121" s="30" t="str">
        <x:v>Variable</x:v>
      </x:c>
      <x:c r="D121" s="31" t="n">
        <x:v>29000.61</x:v>
      </x:c>
      <x:c r="E121" s="31" t="n">
        <x:v>29750.54</x:v>
      </x:c>
      <x:c r="F121" s="31" t="n">
        <x:f>D121-E121</x:f>
        <x:v>-749.9300000000003</x:v>
      </x:c>
      <x:c r="G121" s="30"/>
      <x:c r="H121" s="30"/>
      <x:c r="I121" s="30"/>
      <x:c r="J121" s="30"/>
      <x:c r="K121" s="30"/>
      <x:c r="L121" s="30"/>
    </x:row>
    <x:row r="122">
      <x:c r="A122" s="32" t="n">
        <x:v>45627</x:v>
      </x:c>
      <x:c r="B122" s="30" t="str">
        <x:v>Software</x:v>
      </x:c>
      <x:c r="C122" s="30" t="str">
        <x:v>Fixed</x:v>
      </x:c>
      <x:c r="D122" s="31" t="n">
        <x:v>33176</x:v>
      </x:c>
      <x:c r="E122" s="31" t="n">
        <x:v>33223.77</x:v>
      </x:c>
      <x:c r="F122" s="31" t="n">
        <x:f>D122-E122</x:f>
        <x:v>-47.7699999999968</x:v>
      </x:c>
      <x:c r="G122" s="30"/>
      <x:c r="H122" s="30"/>
      <x:c r="I122" s="30"/>
      <x:c r="J122" s="30"/>
      <x:c r="K122" s="30"/>
      <x:c r="L122" s="30"/>
    </x:row>
    <x:row r="123">
      <x:c r="A123" s="32" t="n">
        <x:v>45627</x:v>
      </x:c>
      <x:c r="B123" s="30" t="str">
        <x:v>Office &amp; Admin</x:v>
      </x:c>
      <x:c r="C123" s="30" t="str">
        <x:v>Fixed</x:v>
      </x:c>
      <x:c r="D123" s="31" t="n">
        <x:v>39556</x:v>
      </x:c>
      <x:c r="E123" s="31" t="n">
        <x:v>39579.16</x:v>
      </x:c>
      <x:c r="F123" s="31" t="n">
        <x:f>D123-E123</x:f>
        <x:v>-23.160000000003492</x:v>
      </x:c>
      <x:c r="G123" s="30"/>
      <x:c r="H123" s="30"/>
      <x:c r="I123" s="30"/>
      <x:c r="J123" s="30"/>
      <x:c r="K123" s="30"/>
      <x:c r="L123" s="30"/>
    </x:row>
    <x:row r="124">
      <x:c r="A124" s="32" t="n">
        <x:v>45627</x:v>
      </x:c>
      <x:c r="B124" s="30" t="str">
        <x:v>Professional Services</x:v>
      </x:c>
      <x:c r="C124" s="30" t="str">
        <x:v>Fixed</x:v>
      </x:c>
      <x:c r="D124" s="31" t="n">
        <x:v>22968</x:v>
      </x:c>
      <x:c r="E124" s="31" t="n">
        <x:v>24374.79</x:v>
      </x:c>
      <x:c r="F124" s="31" t="n">
        <x:f>D124-E124</x:f>
        <x:v>-1406.7900000000009</x:v>
      </x:c>
      <x:c r="G124" s="30"/>
      <x:c r="H124" s="30"/>
      <x:c r="I124" s="30"/>
      <x:c r="J124" s="30"/>
      <x:c r="K124" s="30"/>
      <x:c r="L124" s="30"/>
    </x:row>
    <x:row r="125">
      <x:c r="A125" s="32" t="n">
        <x:v>45658</x:v>
      </x:c>
      <x:c r="B125" s="30" t="str">
        <x:v>Marketing</x:v>
      </x:c>
      <x:c r="C125" s="30" t="str">
        <x:v>Variable</x:v>
      </x:c>
      <x:c r="D125" s="31" t="n">
        <x:v>115920</x:v>
      </x:c>
      <x:c r="E125" s="31" t="n">
        <x:v>120516.14</x:v>
      </x:c>
      <x:c r="F125" s="31" t="n">
        <x:f>D125-E125</x:f>
        <x:v>-4596.139999999999</x:v>
      </x:c>
      <x:c r="G125" s="30"/>
      <x:c r="H125" s="30"/>
      <x:c r="I125" s="30"/>
      <x:c r="J125" s="30"/>
      <x:c r="K125" s="30"/>
      <x:c r="L125" s="30"/>
    </x:row>
    <x:row r="126">
      <x:c r="A126" s="32" t="n">
        <x:v>45658</x:v>
      </x:c>
      <x:c r="B126" s="30" t="str">
        <x:v>Cloud &amp; API</x:v>
      </x:c>
      <x:c r="C126" s="30" t="str">
        <x:v>Variable</x:v>
      </x:c>
      <x:c r="D126" s="31" t="n">
        <x:v>30850.92</x:v>
      </x:c>
      <x:c r="E126" s="31" t="n">
        <x:v>35057.76</x:v>
      </x:c>
      <x:c r="F126" s="31" t="n">
        <x:f>D126-E126</x:f>
        <x:v>-4206.840000000004</x:v>
      </x:c>
      <x:c r="G126" s="30"/>
      <x:c r="H126" s="30"/>
      <x:c r="I126" s="30"/>
      <x:c r="J126" s="30"/>
      <x:c r="K126" s="30"/>
      <x:c r="L126" s="30"/>
    </x:row>
    <x:row r="127">
      <x:c r="A127" s="32" t="n">
        <x:v>45658</x:v>
      </x:c>
      <x:c r="B127" s="30" t="str">
        <x:v>Software</x:v>
      </x:c>
      <x:c r="C127" s="30" t="str">
        <x:v>Fixed</x:v>
      </x:c>
      <x:c r="D127" s="31" t="n">
        <x:v>33488</x:v>
      </x:c>
      <x:c r="E127" s="31" t="n">
        <x:v>35008.12</x:v>
      </x:c>
      <x:c r="F127" s="31" t="n">
        <x:f>D127-E127</x:f>
        <x:v>-1520.1200000000026</x:v>
      </x:c>
      <x:c r="G127" s="30"/>
      <x:c r="H127" s="30"/>
      <x:c r="I127" s="30"/>
      <x:c r="J127" s="30"/>
      <x:c r="K127" s="30"/>
      <x:c r="L127" s="30"/>
    </x:row>
    <x:row r="128">
      <x:c r="A128" s="32" t="n">
        <x:v>45658</x:v>
      </x:c>
      <x:c r="B128" s="30" t="str">
        <x:v>Office &amp; Admin</x:v>
      </x:c>
      <x:c r="C128" s="30" t="str">
        <x:v>Fixed</x:v>
      </x:c>
      <x:c r="D128" s="31" t="n">
        <x:v>39928</x:v>
      </x:c>
      <x:c r="E128" s="31" t="n">
        <x:v>36996</x:v>
      </x:c>
      <x:c r="F128" s="31" t="n">
        <x:f>D128-E128</x:f>
        <x:v>2932</x:v>
      </x:c>
      <x:c r="G128" s="30"/>
      <x:c r="H128" s="30"/>
      <x:c r="I128" s="30"/>
      <x:c r="J128" s="30"/>
      <x:c r="K128" s="30"/>
      <x:c r="L128" s="30"/>
    </x:row>
    <x:row r="129">
      <x:c r="A129" s="32" t="n">
        <x:v>45658</x:v>
      </x:c>
      <x:c r="B129" s="30" t="str">
        <x:v>Professional Services</x:v>
      </x:c>
      <x:c r="C129" s="30" t="str">
        <x:v>Fixed</x:v>
      </x:c>
      <x:c r="D129" s="31" t="n">
        <x:v>23184</x:v>
      </x:c>
      <x:c r="E129" s="31" t="n">
        <x:v>25142.82</x:v>
      </x:c>
      <x:c r="F129" s="31" t="n">
        <x:f>D129-E129</x:f>
        <x:v>-1958.8199999999997</x:v>
      </x:c>
      <x:c r="G129" s="30"/>
      <x:c r="H129" s="30"/>
      <x:c r="I129" s="30"/>
      <x:c r="J129" s="30"/>
      <x:c r="K129" s="30"/>
      <x:c r="L129" s="30"/>
    </x:row>
    <x:row r="130">
      <x:c r="A130" s="32" t="n">
        <x:v>45689</x:v>
      </x:c>
      <x:c r="B130" s="30" t="str">
        <x:v>Marketing</x:v>
      </x:c>
      <x:c r="C130" s="30" t="str">
        <x:v>Variable</x:v>
      </x:c>
      <x:c r="D130" s="31" t="n">
        <x:v>117000</x:v>
      </x:c>
      <x:c r="E130" s="31" t="n">
        <x:v>118371.57</x:v>
      </x:c>
      <x:c r="F130" s="31" t="n">
        <x:f>D130-E130</x:f>
        <x:v>-1371.570000000007</x:v>
      </x:c>
      <x:c r="G130" s="30"/>
      <x:c r="H130" s="30"/>
      <x:c r="I130" s="30"/>
      <x:c r="J130" s="30"/>
      <x:c r="K130" s="30"/>
      <x:c r="L130" s="30"/>
    </x:row>
    <x:row r="131">
      <x:c r="A131" s="32" t="n">
        <x:v>45689</x:v>
      </x:c>
      <x:c r="B131" s="30" t="str">
        <x:v>Cloud &amp; API</x:v>
      </x:c>
      <x:c r="C131" s="30" t="str">
        <x:v>Variable</x:v>
      </x:c>
      <x:c r="D131" s="31" t="n">
        <x:v>31780.15</x:v>
      </x:c>
      <x:c r="E131" s="31" t="n">
        <x:v>33733.19</x:v>
      </x:c>
      <x:c r="F131" s="31" t="n">
        <x:f>D131-E131</x:f>
        <x:v>-1953.0400000000009</x:v>
      </x:c>
      <x:c r="G131" s="30"/>
      <x:c r="H131" s="30"/>
      <x:c r="I131" s="30"/>
      <x:c r="J131" s="30"/>
      <x:c r="K131" s="30"/>
      <x:c r="L131" s="30"/>
    </x:row>
    <x:row r="132">
      <x:c r="A132" s="32" t="n">
        <x:v>45689</x:v>
      </x:c>
      <x:c r="B132" s="30" t="str">
        <x:v>Software</x:v>
      </x:c>
      <x:c r="C132" s="30" t="str">
        <x:v>Fixed</x:v>
      </x:c>
      <x:c r="D132" s="31" t="n">
        <x:v>33800</x:v>
      </x:c>
      <x:c r="E132" s="31" t="n">
        <x:v>37555.48</x:v>
      </x:c>
      <x:c r="F132" s="31" t="n">
        <x:f>D132-E132</x:f>
        <x:v>-3755.480000000003</x:v>
      </x:c>
      <x:c r="G132" s="30"/>
      <x:c r="H132" s="30"/>
      <x:c r="I132" s="30"/>
      <x:c r="J132" s="30"/>
      <x:c r="K132" s="30"/>
      <x:c r="L132" s="30"/>
    </x:row>
    <x:row r="133">
      <x:c r="A133" s="32" t="n">
        <x:v>45689</x:v>
      </x:c>
      <x:c r="B133" s="30" t="str">
        <x:v>Office &amp; Admin</x:v>
      </x:c>
      <x:c r="C133" s="30" t="str">
        <x:v>Fixed</x:v>
      </x:c>
      <x:c r="D133" s="31" t="n">
        <x:v>40300</x:v>
      </x:c>
      <x:c r="E133" s="31" t="n">
        <x:v>40700.75</x:v>
      </x:c>
      <x:c r="F133" s="31" t="n">
        <x:f>D133-E133</x:f>
        <x:v>-400.75</x:v>
      </x:c>
      <x:c r="G133" s="30"/>
      <x:c r="H133" s="30"/>
      <x:c r="I133" s="30"/>
      <x:c r="J133" s="30"/>
      <x:c r="K133" s="30"/>
      <x:c r="L133" s="30"/>
    </x:row>
    <x:row r="134">
      <x:c r="A134" s="32" t="n">
        <x:v>45689</x:v>
      </x:c>
      <x:c r="B134" s="30" t="str">
        <x:v>Professional Services</x:v>
      </x:c>
      <x:c r="C134" s="30" t="str">
        <x:v>Fixed</x:v>
      </x:c>
      <x:c r="D134" s="31" t="n">
        <x:v>23400</x:v>
      </x:c>
      <x:c r="E134" s="31" t="n">
        <x:v>24654.5</x:v>
      </x:c>
      <x:c r="F134" s="31" t="n">
        <x:f>D134-E134</x:f>
        <x:v>-1254.5</x:v>
      </x:c>
      <x:c r="G134" s="30"/>
      <x:c r="H134" s="30"/>
      <x:c r="I134" s="30"/>
      <x:c r="J134" s="30"/>
      <x:c r="K134" s="30"/>
      <x:c r="L134" s="30"/>
    </x:row>
    <x:row r="135">
      <x:c r="A135" s="32" t="n">
        <x:v>45717</x:v>
      </x:c>
      <x:c r="B135" s="30" t="str">
        <x:v>Marketing</x:v>
      </x:c>
      <x:c r="C135" s="30" t="str">
        <x:v>Variable</x:v>
      </x:c>
      <x:c r="D135" s="31" t="n">
        <x:v>118080</x:v>
      </x:c>
      <x:c r="E135" s="31" t="n">
        <x:v>129587.66</x:v>
      </x:c>
      <x:c r="F135" s="31" t="n">
        <x:f>D135-E135</x:f>
        <x:v>-11507.660000000003</x:v>
      </x:c>
      <x:c r="G135" s="30"/>
      <x:c r="H135" s="30"/>
      <x:c r="I135" s="30"/>
      <x:c r="J135" s="30"/>
      <x:c r="K135" s="30"/>
      <x:c r="L135" s="30"/>
    </x:row>
    <x:row r="136">
      <x:c r="A136" s="32" t="n">
        <x:v>45717</x:v>
      </x:c>
      <x:c r="B136" s="30" t="str">
        <x:v>Cloud &amp; API</x:v>
      </x:c>
      <x:c r="C136" s="30" t="str">
        <x:v>Variable</x:v>
      </x:c>
      <x:c r="D136" s="31" t="n">
        <x:v>32801.68</x:v>
      </x:c>
      <x:c r="E136" s="31" t="n">
        <x:v>35552.86</x:v>
      </x:c>
      <x:c r="F136" s="31" t="n">
        <x:f>D136-E136</x:f>
        <x:v>-2751.1800000000003</x:v>
      </x:c>
      <x:c r="G136" s="30"/>
      <x:c r="H136" s="30"/>
      <x:c r="I136" s="30"/>
      <x:c r="J136" s="30"/>
      <x:c r="K136" s="30"/>
      <x:c r="L136" s="30"/>
    </x:row>
    <x:row r="137">
      <x:c r="A137" s="32" t="n">
        <x:v>45717</x:v>
      </x:c>
      <x:c r="B137" s="30" t="str">
        <x:v>Software</x:v>
      </x:c>
      <x:c r="C137" s="30" t="str">
        <x:v>Fixed</x:v>
      </x:c>
      <x:c r="D137" s="31" t="n">
        <x:v>34112</x:v>
      </x:c>
      <x:c r="E137" s="31" t="n">
        <x:v>34422.62</x:v>
      </x:c>
      <x:c r="F137" s="31" t="n">
        <x:f>D137-E137</x:f>
        <x:v>-310.6200000000026</x:v>
      </x:c>
      <x:c r="G137" s="30"/>
      <x:c r="H137" s="30"/>
      <x:c r="I137" s="30"/>
      <x:c r="J137" s="30"/>
      <x:c r="K137" s="30"/>
      <x:c r="L137" s="30"/>
    </x:row>
    <x:row r="138">
      <x:c r="A138" s="32" t="n">
        <x:v>45717</x:v>
      </x:c>
      <x:c r="B138" s="30" t="str">
        <x:v>Office &amp; Admin</x:v>
      </x:c>
      <x:c r="C138" s="30" t="str">
        <x:v>Fixed</x:v>
      </x:c>
      <x:c r="D138" s="31" t="n">
        <x:v>40672</x:v>
      </x:c>
      <x:c r="E138" s="31" t="n">
        <x:v>40280.63</x:v>
      </x:c>
      <x:c r="F138" s="31" t="n">
        <x:f>D138-E138</x:f>
        <x:v>391.3700000000026</x:v>
      </x:c>
      <x:c r="G138" s="30"/>
      <x:c r="H138" s="30"/>
      <x:c r="I138" s="30"/>
      <x:c r="J138" s="30"/>
      <x:c r="K138" s="30"/>
      <x:c r="L138" s="30"/>
    </x:row>
    <x:row r="139">
      <x:c r="A139" s="32" t="n">
        <x:v>45717</x:v>
      </x:c>
      <x:c r="B139" s="30" t="str">
        <x:v>Professional Services</x:v>
      </x:c>
      <x:c r="C139" s="30" t="str">
        <x:v>Fixed</x:v>
      </x:c>
      <x:c r="D139" s="31" t="n">
        <x:v>23616</x:v>
      </x:c>
      <x:c r="E139" s="31" t="n">
        <x:v>23620.41</x:v>
      </x:c>
      <x:c r="F139" s="31" t="n">
        <x:f>D139-E139</x:f>
        <x:v>-4.4099999999998545</x:v>
      </x:c>
      <x:c r="G139" s="30"/>
      <x:c r="H139" s="30"/>
      <x:c r="I139" s="30"/>
      <x:c r="J139" s="30"/>
      <x:c r="K139" s="30"/>
      <x:c r="L139" s="30"/>
    </x:row>
    <x:row r="140">
      <x:c r="A140" s="32" t="n">
        <x:v>45748</x:v>
      </x:c>
      <x:c r="B140" s="30" t="str">
        <x:v>Marketing</x:v>
      </x:c>
      <x:c r="C140" s="30" t="str">
        <x:v>Variable</x:v>
      </x:c>
      <x:c r="D140" s="31" t="n">
        <x:v>119160</x:v>
      </x:c>
      <x:c r="E140" s="31" t="n">
        <x:v>134208.81</x:v>
      </x:c>
      <x:c r="F140" s="31" t="n">
        <x:f>D140-E140</x:f>
        <x:v>-15048.809999999998</x:v>
      </x:c>
      <x:c r="G140" s="30"/>
      <x:c r="H140" s="30"/>
      <x:c r="I140" s="30"/>
      <x:c r="J140" s="30"/>
      <x:c r="K140" s="30"/>
      <x:c r="L140" s="30"/>
    </x:row>
    <x:row r="141">
      <x:c r="A141" s="32" t="n">
        <x:v>45748</x:v>
      </x:c>
      <x:c r="B141" s="30" t="str">
        <x:v>Cloud &amp; API</x:v>
      </x:c>
      <x:c r="C141" s="30" t="str">
        <x:v>Variable</x:v>
      </x:c>
      <x:c r="D141" s="31" t="n">
        <x:v>33658.87</x:v>
      </x:c>
      <x:c r="E141" s="31" t="n">
        <x:v>33824.79</x:v>
      </x:c>
      <x:c r="F141" s="31" t="n">
        <x:f>D141-E141</x:f>
        <x:v>-165.91999999999825</x:v>
      </x:c>
      <x:c r="G141" s="30"/>
      <x:c r="H141" s="30"/>
      <x:c r="I141" s="30"/>
      <x:c r="J141" s="30"/>
      <x:c r="K141" s="30"/>
      <x:c r="L141" s="30"/>
    </x:row>
    <x:row r="142">
      <x:c r="A142" s="32" t="n">
        <x:v>45748</x:v>
      </x:c>
      <x:c r="B142" s="30" t="str">
        <x:v>Software</x:v>
      </x:c>
      <x:c r="C142" s="30" t="str">
        <x:v>Fixed</x:v>
      </x:c>
      <x:c r="D142" s="31" t="n">
        <x:v>34424</x:v>
      </x:c>
      <x:c r="E142" s="31" t="n">
        <x:v>34481.04</x:v>
      </x:c>
      <x:c r="F142" s="31" t="n">
        <x:f>D142-E142</x:f>
        <x:v>-57.04000000000087</x:v>
      </x:c>
      <x:c r="G142" s="30"/>
      <x:c r="H142" s="30"/>
      <x:c r="I142" s="30"/>
      <x:c r="J142" s="30"/>
      <x:c r="K142" s="30"/>
      <x:c r="L142" s="30"/>
    </x:row>
    <x:row r="143">
      <x:c r="A143" s="32" t="n">
        <x:v>45748</x:v>
      </x:c>
      <x:c r="B143" s="30" t="str">
        <x:v>Office &amp; Admin</x:v>
      </x:c>
      <x:c r="C143" s="30" t="str">
        <x:v>Fixed</x:v>
      </x:c>
      <x:c r="D143" s="31" t="n">
        <x:v>41044</x:v>
      </x:c>
      <x:c r="E143" s="31" t="n">
        <x:v>38175.68</x:v>
      </x:c>
      <x:c r="F143" s="31" t="n">
        <x:f>D143-E143</x:f>
        <x:v>2868.3199999999997</x:v>
      </x:c>
      <x:c r="G143" s="30"/>
      <x:c r="H143" s="30"/>
      <x:c r="I143" s="30"/>
      <x:c r="J143" s="30"/>
      <x:c r="K143" s="30"/>
      <x:c r="L143" s="30"/>
    </x:row>
    <x:row r="144">
      <x:c r="A144" s="32" t="n">
        <x:v>45748</x:v>
      </x:c>
      <x:c r="B144" s="30" t="str">
        <x:v>Professional Services</x:v>
      </x:c>
      <x:c r="C144" s="30" t="str">
        <x:v>Fixed</x:v>
      </x:c>
      <x:c r="D144" s="31" t="n">
        <x:v>23832</x:v>
      </x:c>
      <x:c r="E144" s="31" t="n">
        <x:v>25198.84</x:v>
      </x:c>
      <x:c r="F144" s="31" t="n">
        <x:f>D144-E144</x:f>
        <x:v>-1366.8400000000001</x:v>
      </x:c>
      <x:c r="G144" s="30"/>
      <x:c r="H144" s="30"/>
      <x:c r="I144" s="30"/>
      <x:c r="J144" s="30"/>
      <x:c r="K144" s="30"/>
      <x:c r="L144" s="30"/>
    </x:row>
    <x:row r="145">
      <x:c r="A145" s="32" t="n">
        <x:v>45778</x:v>
      </x:c>
      <x:c r="B145" s="30" t="str">
        <x:v>Marketing</x:v>
      </x:c>
      <x:c r="C145" s="30" t="str">
        <x:v>Variable</x:v>
      </x:c>
      <x:c r="D145" s="31" t="n">
        <x:v>120240</x:v>
      </x:c>
      <x:c r="E145" s="31" t="n">
        <x:v>133552.62</x:v>
      </x:c>
      <x:c r="F145" s="31" t="n">
        <x:f>D145-E145</x:f>
        <x:v>-13312.619999999995</x:v>
      </x:c>
      <x:c r="G145" s="30"/>
      <x:c r="H145" s="30"/>
      <x:c r="I145" s="30"/>
      <x:c r="J145" s="30"/>
      <x:c r="K145" s="30"/>
      <x:c r="L145" s="30"/>
    </x:row>
    <x:row r="146">
      <x:c r="A146" s="32" t="n">
        <x:v>45778</x:v>
      </x:c>
      <x:c r="B146" s="30" t="str">
        <x:v>Cloud &amp; API</x:v>
      </x:c>
      <x:c r="C146" s="30" t="str">
        <x:v>Variable</x:v>
      </x:c>
      <x:c r="D146" s="31" t="n">
        <x:v>34774.33</x:v>
      </x:c>
      <x:c r="E146" s="31" t="n">
        <x:v>39548.47</x:v>
      </x:c>
      <x:c r="F146" s="31" t="n">
        <x:f>D146-E146</x:f>
        <x:v>-4774.139999999999</x:v>
      </x:c>
      <x:c r="G146" s="30"/>
      <x:c r="H146" s="30"/>
      <x:c r="I146" s="30"/>
      <x:c r="J146" s="30"/>
      <x:c r="K146" s="30"/>
      <x:c r="L146" s="30"/>
    </x:row>
    <x:row r="147">
      <x:c r="A147" s="32" t="n">
        <x:v>45778</x:v>
      </x:c>
      <x:c r="B147" s="30" t="str">
        <x:v>Software</x:v>
      </x:c>
      <x:c r="C147" s="30" t="str">
        <x:v>Fixed</x:v>
      </x:c>
      <x:c r="D147" s="31" t="n">
        <x:v>34736</x:v>
      </x:c>
      <x:c r="E147" s="31" t="n">
        <x:v>33470.99</x:v>
      </x:c>
      <x:c r="F147" s="31" t="n">
        <x:f>D147-E147</x:f>
        <x:v>1265.010000000002</x:v>
      </x:c>
      <x:c r="G147" s="30"/>
      <x:c r="H147" s="30"/>
      <x:c r="I147" s="30"/>
      <x:c r="J147" s="30"/>
      <x:c r="K147" s="30"/>
      <x:c r="L147" s="30"/>
    </x:row>
    <x:row r="148">
      <x:c r="A148" s="32" t="n">
        <x:v>45778</x:v>
      </x:c>
      <x:c r="B148" s="30" t="str">
        <x:v>Office &amp; Admin</x:v>
      </x:c>
      <x:c r="C148" s="30" t="str">
        <x:v>Fixed</x:v>
      </x:c>
      <x:c r="D148" s="31" t="n">
        <x:v>41416</x:v>
      </x:c>
      <x:c r="E148" s="31" t="n">
        <x:v>39837.61</x:v>
      </x:c>
      <x:c r="F148" s="31" t="n">
        <x:f>D148-E148</x:f>
        <x:v>1578.3899999999994</x:v>
      </x:c>
      <x:c r="G148" s="30"/>
      <x:c r="H148" s="30"/>
      <x:c r="I148" s="30"/>
      <x:c r="J148" s="30"/>
      <x:c r="K148" s="30"/>
      <x:c r="L148" s="30"/>
    </x:row>
    <x:row r="149">
      <x:c r="A149" s="32" t="n">
        <x:v>45778</x:v>
      </x:c>
      <x:c r="B149" s="30" t="str">
        <x:v>Professional Services</x:v>
      </x:c>
      <x:c r="C149" s="30" t="str">
        <x:v>Fixed</x:v>
      </x:c>
      <x:c r="D149" s="31" t="n">
        <x:v>24048</x:v>
      </x:c>
      <x:c r="E149" s="31" t="n">
        <x:v>25690.24</x:v>
      </x:c>
      <x:c r="F149" s="31" t="n">
        <x:f>D149-E149</x:f>
        <x:v>-1642.2400000000016</x:v>
      </x:c>
      <x:c r="G149" s="30"/>
      <x:c r="H149" s="30"/>
      <x:c r="I149" s="30"/>
      <x:c r="J149" s="30"/>
      <x:c r="K149" s="30"/>
      <x:c r="L149" s="30"/>
    </x:row>
    <x:row r="150">
      <x:c r="A150" s="32" t="n">
        <x:v>45809</x:v>
      </x:c>
      <x:c r="B150" s="30" t="str">
        <x:v>Marketing</x:v>
      </x:c>
      <x:c r="C150" s="30" t="str">
        <x:v>Variable</x:v>
      </x:c>
      <x:c r="D150" s="31" t="n">
        <x:v>121320</x:v>
      </x:c>
      <x:c r="E150" s="31" t="n">
        <x:v>134809.9</x:v>
      </x:c>
      <x:c r="F150" s="31" t="n">
        <x:f>D150-E150</x:f>
        <x:v>-13489.899999999994</x:v>
      </x:c>
      <x:c r="G150" s="30"/>
      <x:c r="H150" s="30"/>
      <x:c r="I150" s="30"/>
      <x:c r="J150" s="30"/>
      <x:c r="K150" s="30"/>
      <x:c r="L150" s="30"/>
    </x:row>
    <x:row r="151">
      <x:c r="A151" s="32" t="n">
        <x:v>45809</x:v>
      </x:c>
      <x:c r="B151" s="30" t="str">
        <x:v>Cloud &amp; API</x:v>
      </x:c>
      <x:c r="C151" s="30" t="str">
        <x:v>Variable</x:v>
      </x:c>
      <x:c r="D151" s="31" t="n">
        <x:v>35713.27</x:v>
      </x:c>
      <x:c r="E151" s="31" t="n">
        <x:v>39324.39</x:v>
      </x:c>
      <x:c r="F151" s="31" t="n">
        <x:f>D151-E151</x:f>
        <x:v>-3611.1200000000026</x:v>
      </x:c>
      <x:c r="G151" s="30"/>
      <x:c r="H151" s="30"/>
      <x:c r="I151" s="30"/>
      <x:c r="J151" s="30"/>
      <x:c r="K151" s="30"/>
      <x:c r="L151" s="30"/>
    </x:row>
    <x:row r="152">
      <x:c r="A152" s="32" t="n">
        <x:v>45809</x:v>
      </x:c>
      <x:c r="B152" s="30" t="str">
        <x:v>Software</x:v>
      </x:c>
      <x:c r="C152" s="30" t="str">
        <x:v>Fixed</x:v>
      </x:c>
      <x:c r="D152" s="31" t="n">
        <x:v>35048</x:v>
      </x:c>
      <x:c r="E152" s="31" t="n">
        <x:v>33901.72</x:v>
      </x:c>
      <x:c r="F152" s="31" t="n">
        <x:f>D152-E152</x:f>
        <x:v>1146.2799999999988</x:v>
      </x:c>
      <x:c r="G152" s="30"/>
      <x:c r="H152" s="30"/>
      <x:c r="I152" s="30"/>
      <x:c r="J152" s="30"/>
      <x:c r="K152" s="30"/>
      <x:c r="L152" s="30"/>
    </x:row>
    <x:row r="153">
      <x:c r="A153" s="32" t="n">
        <x:v>45809</x:v>
      </x:c>
      <x:c r="B153" s="30" t="str">
        <x:v>Office &amp; Admin</x:v>
      </x:c>
      <x:c r="C153" s="30" t="str">
        <x:v>Fixed</x:v>
      </x:c>
      <x:c r="D153" s="31" t="n">
        <x:v>41788</x:v>
      </x:c>
      <x:c r="E153" s="31" t="n">
        <x:v>40623.44</x:v>
      </x:c>
      <x:c r="F153" s="31" t="n">
        <x:f>D153-E153</x:f>
        <x:v>1164.5599999999977</x:v>
      </x:c>
      <x:c r="G153" s="30"/>
      <x:c r="H153" s="30"/>
      <x:c r="I153" s="30"/>
      <x:c r="J153" s="30"/>
      <x:c r="K153" s="30"/>
      <x:c r="L153" s="30"/>
    </x:row>
    <x:row r="154">
      <x:c r="A154" s="32" t="n">
        <x:v>45809</x:v>
      </x:c>
      <x:c r="B154" s="30" t="str">
        <x:v>Professional Services</x:v>
      </x:c>
      <x:c r="C154" s="30" t="str">
        <x:v>Fixed</x:v>
      </x:c>
      <x:c r="D154" s="31" t="n">
        <x:v>24264</x:v>
      </x:c>
      <x:c r="E154" s="31" t="n">
        <x:v>26036.45</x:v>
      </x:c>
      <x:c r="F154" s="31" t="n">
        <x:f>D154-E154</x:f>
        <x:v>-1772.4500000000007</x:v>
      </x:c>
      <x:c r="G154" s="30"/>
      <x:c r="H154" s="30"/>
      <x:c r="I154" s="30"/>
      <x:c r="J154" s="30"/>
      <x:c r="K154" s="30"/>
      <x:c r="L154" s="30"/>
    </x:row>
    <x:row r="155">
      <x:c r="A155" s="32" t="n">
        <x:v>45839</x:v>
      </x:c>
      <x:c r="B155" s="30" t="str">
        <x:v>Marketing</x:v>
      </x:c>
      <x:c r="C155" s="30" t="str">
        <x:v>Variable</x:v>
      </x:c>
      <x:c r="D155" s="31" t="n">
        <x:v>122400</x:v>
      </x:c>
      <x:c r="E155" s="31" t="n">
        <x:v>128802.7</x:v>
      </x:c>
      <x:c r="F155" s="31" t="n">
        <x:f>D155-E155</x:f>
        <x:v>-6402.699999999997</x:v>
      </x:c>
      <x:c r="G155" s="30"/>
      <x:c r="H155" s="30"/>
      <x:c r="I155" s="30"/>
      <x:c r="J155" s="30"/>
      <x:c r="K155" s="30"/>
      <x:c r="L155" s="30"/>
    </x:row>
    <x:row r="156">
      <x:c r="A156" s="32" t="n">
        <x:v>45839</x:v>
      </x:c>
      <x:c r="B156" s="30" t="str">
        <x:v>Cloud &amp; API</x:v>
      </x:c>
      <x:c r="C156" s="30" t="str">
        <x:v>Variable</x:v>
      </x:c>
      <x:c r="D156" s="31" t="n">
        <x:v>36671.32</x:v>
      </x:c>
      <x:c r="E156" s="31" t="n">
        <x:v>36503.84</x:v>
      </x:c>
      <x:c r="F156" s="31" t="n">
        <x:f>D156-E156</x:f>
        <x:v>167.4800000000032</x:v>
      </x:c>
      <x:c r="G156" s="30"/>
      <x:c r="H156" s="30"/>
      <x:c r="I156" s="30"/>
      <x:c r="J156" s="30"/>
      <x:c r="K156" s="30"/>
      <x:c r="L156" s="30"/>
    </x:row>
    <x:row r="157">
      <x:c r="A157" s="32" t="n">
        <x:v>45839</x:v>
      </x:c>
      <x:c r="B157" s="30" t="str">
        <x:v>Software</x:v>
      </x:c>
      <x:c r="C157" s="30" t="str">
        <x:v>Fixed</x:v>
      </x:c>
      <x:c r="D157" s="31" t="n">
        <x:v>35360</x:v>
      </x:c>
      <x:c r="E157" s="31" t="n">
        <x:v>38480.17</x:v>
      </x:c>
      <x:c r="F157" s="31" t="n">
        <x:f>D157-E157</x:f>
        <x:v>-3120.1699999999983</x:v>
      </x:c>
      <x:c r="G157" s="30"/>
      <x:c r="H157" s="30"/>
      <x:c r="I157" s="30"/>
      <x:c r="J157" s="30"/>
      <x:c r="K157" s="30"/>
      <x:c r="L157" s="30"/>
    </x:row>
    <x:row r="158">
      <x:c r="A158" s="32" t="n">
        <x:v>45839</x:v>
      </x:c>
      <x:c r="B158" s="30" t="str">
        <x:v>Office &amp; Admin</x:v>
      </x:c>
      <x:c r="C158" s="30" t="str">
        <x:v>Fixed</x:v>
      </x:c>
      <x:c r="D158" s="31" t="n">
        <x:v>42160</x:v>
      </x:c>
      <x:c r="E158" s="31" t="n">
        <x:v>41504.88</x:v>
      </x:c>
      <x:c r="F158" s="31" t="n">
        <x:f>D158-E158</x:f>
        <x:v>655.1200000000026</x:v>
      </x:c>
      <x:c r="G158" s="30"/>
      <x:c r="H158" s="30"/>
      <x:c r="I158" s="30"/>
      <x:c r="J158" s="30"/>
      <x:c r="K158" s="30"/>
      <x:c r="L158" s="30"/>
    </x:row>
    <x:row r="159">
      <x:c r="A159" s="32" t="n">
        <x:v>45839</x:v>
      </x:c>
      <x:c r="B159" s="30" t="str">
        <x:v>Professional Services</x:v>
      </x:c>
      <x:c r="C159" s="30" t="str">
        <x:v>Fixed</x:v>
      </x:c>
      <x:c r="D159" s="31" t="n">
        <x:v>24480</x:v>
      </x:c>
      <x:c r="E159" s="31" t="n">
        <x:v>26130.2</x:v>
      </x:c>
      <x:c r="F159" s="31" t="n">
        <x:f>D159-E159</x:f>
        <x:v>-1650.2000000000007</x:v>
      </x:c>
      <x:c r="G159" s="30"/>
      <x:c r="H159" s="30"/>
      <x:c r="I159" s="30"/>
      <x:c r="J159" s="30"/>
      <x:c r="K159" s="30"/>
      <x:c r="L159" s="30"/>
    </x:row>
    <x:row r="160">
      <x:c r="A160" s="32" t="n">
        <x:v>45870</x:v>
      </x:c>
      <x:c r="B160" s="30" t="str">
        <x:v>Marketing</x:v>
      </x:c>
      <x:c r="C160" s="30" t="str">
        <x:v>Variable</x:v>
      </x:c>
      <x:c r="D160" s="31" t="n">
        <x:v>123480</x:v>
      </x:c>
      <x:c r="E160" s="31" t="n">
        <x:v>133039.61</x:v>
      </x:c>
      <x:c r="F160" s="31" t="n">
        <x:f>D160-E160</x:f>
        <x:v>-9559.609999999986</x:v>
      </x:c>
      <x:c r="G160" s="30"/>
      <x:c r="H160" s="30"/>
      <x:c r="I160" s="30"/>
      <x:c r="J160" s="30"/>
      <x:c r="K160" s="30"/>
      <x:c r="L160" s="30"/>
    </x:row>
    <x:row r="161">
      <x:c r="A161" s="32" t="n">
        <x:v>45870</x:v>
      </x:c>
      <x:c r="B161" s="30" t="str">
        <x:v>Cloud &amp; API</x:v>
      </x:c>
      <x:c r="C161" s="30" t="str">
        <x:v>Variable</x:v>
      </x:c>
      <x:c r="D161" s="31" t="n">
        <x:v>37574.52</x:v>
      </x:c>
      <x:c r="E161" s="31" t="n">
        <x:v>41048.75</x:v>
      </x:c>
      <x:c r="F161" s="31" t="n">
        <x:f>D161-E161</x:f>
        <x:v>-3474.230000000003</x:v>
      </x:c>
      <x:c r="G161" s="30"/>
      <x:c r="H161" s="30"/>
      <x:c r="I161" s="30"/>
      <x:c r="J161" s="30"/>
      <x:c r="K161" s="30"/>
      <x:c r="L161" s="30"/>
    </x:row>
    <x:row r="162">
      <x:c r="A162" s="32" t="n">
        <x:v>45870</x:v>
      </x:c>
      <x:c r="B162" s="30" t="str">
        <x:v>Software</x:v>
      </x:c>
      <x:c r="C162" s="30" t="str">
        <x:v>Fixed</x:v>
      </x:c>
      <x:c r="D162" s="31" t="n">
        <x:v>35672</x:v>
      </x:c>
      <x:c r="E162" s="31" t="n">
        <x:v>34036</x:v>
      </x:c>
      <x:c r="F162" s="31" t="n">
        <x:f>D162-E162</x:f>
        <x:v>1636</x:v>
      </x:c>
      <x:c r="G162" s="30"/>
      <x:c r="H162" s="30"/>
      <x:c r="I162" s="30"/>
      <x:c r="J162" s="30"/>
      <x:c r="K162" s="30"/>
      <x:c r="L162" s="30"/>
    </x:row>
    <x:row r="163">
      <x:c r="A163" s="32" t="n">
        <x:v>45870</x:v>
      </x:c>
      <x:c r="B163" s="30" t="str">
        <x:v>Office &amp; Admin</x:v>
      </x:c>
      <x:c r="C163" s="30" t="str">
        <x:v>Fixed</x:v>
      </x:c>
      <x:c r="D163" s="31" t="n">
        <x:v>42532</x:v>
      </x:c>
      <x:c r="E163" s="31" t="n">
        <x:v>38880.72</x:v>
      </x:c>
      <x:c r="F163" s="31" t="n">
        <x:f>D163-E163</x:f>
        <x:v>3651.279999999999</x:v>
      </x:c>
      <x:c r="G163" s="30"/>
      <x:c r="H163" s="30"/>
      <x:c r="I163" s="30"/>
      <x:c r="J163" s="30"/>
      <x:c r="K163" s="30"/>
      <x:c r="L163" s="30"/>
    </x:row>
    <x:row r="164">
      <x:c r="A164" s="32" t="n">
        <x:v>45870</x:v>
      </x:c>
      <x:c r="B164" s="30" t="str">
        <x:v>Professional Services</x:v>
      </x:c>
      <x:c r="C164" s="30" t="str">
        <x:v>Fixed</x:v>
      </x:c>
      <x:c r="D164" s="31" t="n">
        <x:v>24696</x:v>
      </x:c>
      <x:c r="E164" s="31" t="n">
        <x:v>24265.13</x:v>
      </x:c>
      <x:c r="F164" s="31" t="n">
        <x:f>D164-E164</x:f>
        <x:v>430.869999999999</x:v>
      </x:c>
      <x:c r="G164" s="30"/>
      <x:c r="H164" s="30"/>
      <x:c r="I164" s="30"/>
      <x:c r="J164" s="30"/>
      <x:c r="K164" s="30"/>
      <x:c r="L164" s="30"/>
    </x:row>
    <x:row r="165">
      <x:c r="A165" s="32" t="n">
        <x:v>45901</x:v>
      </x:c>
      <x:c r="B165" s="30" t="str">
        <x:v>Marketing</x:v>
      </x:c>
      <x:c r="C165" s="30" t="str">
        <x:v>Variable</x:v>
      </x:c>
      <x:c r="D165" s="31" t="n">
        <x:v>124560</x:v>
      </x:c>
      <x:c r="E165" s="31" t="n">
        <x:v>139448.6</x:v>
      </x:c>
      <x:c r="F165" s="31" t="n">
        <x:f>D165-E165</x:f>
        <x:v>-14888.600000000006</x:v>
      </x:c>
      <x:c r="G165" s="30"/>
      <x:c r="H165" s="30"/>
      <x:c r="I165" s="30"/>
      <x:c r="J165" s="30"/>
      <x:c r="K165" s="30"/>
      <x:c r="L165" s="30"/>
    </x:row>
    <x:row r="166">
      <x:c r="A166" s="32" t="n">
        <x:v>45901</x:v>
      </x:c>
      <x:c r="B166" s="30" t="str">
        <x:v>Cloud &amp; API</x:v>
      </x:c>
      <x:c r="C166" s="30" t="str">
        <x:v>Variable</x:v>
      </x:c>
      <x:c r="D166" s="31" t="n">
        <x:v>38290.63</x:v>
      </x:c>
      <x:c r="E166" s="31" t="n">
        <x:v>42258.58</x:v>
      </x:c>
      <x:c r="F166" s="31" t="n">
        <x:f>D166-E166</x:f>
        <x:v>-3967.9500000000044</x:v>
      </x:c>
      <x:c r="G166" s="30"/>
      <x:c r="H166" s="30"/>
      <x:c r="I166" s="30"/>
      <x:c r="J166" s="30"/>
      <x:c r="K166" s="30"/>
      <x:c r="L166" s="30"/>
    </x:row>
    <x:row r="167">
      <x:c r="A167" s="32" t="n">
        <x:v>45901</x:v>
      </x:c>
      <x:c r="B167" s="30" t="str">
        <x:v>Software</x:v>
      </x:c>
      <x:c r="C167" s="30" t="str">
        <x:v>Fixed</x:v>
      </x:c>
      <x:c r="D167" s="31" t="n">
        <x:v>35984</x:v>
      </x:c>
      <x:c r="E167" s="31" t="n">
        <x:v>34828.23</x:v>
      </x:c>
      <x:c r="F167" s="31" t="n">
        <x:f>D167-E167</x:f>
        <x:v>1155.7699999999968</x:v>
      </x:c>
      <x:c r="G167" s="30"/>
      <x:c r="H167" s="30"/>
      <x:c r="I167" s="30"/>
      <x:c r="J167" s="30"/>
      <x:c r="K167" s="30"/>
      <x:c r="L167" s="30"/>
    </x:row>
    <x:row r="168">
      <x:c r="A168" s="32" t="n">
        <x:v>45901</x:v>
      </x:c>
      <x:c r="B168" s="30" t="str">
        <x:v>Office &amp; Admin</x:v>
      </x:c>
      <x:c r="C168" s="30" t="str">
        <x:v>Fixed</x:v>
      </x:c>
      <x:c r="D168" s="31" t="n">
        <x:v>42904</x:v>
      </x:c>
      <x:c r="E168" s="31" t="n">
        <x:v>44680.98</x:v>
      </x:c>
      <x:c r="F168" s="31" t="n">
        <x:f>D168-E168</x:f>
        <x:v>-1776.9800000000032</x:v>
      </x:c>
      <x:c r="G168" s="30"/>
      <x:c r="H168" s="30"/>
      <x:c r="I168" s="30"/>
      <x:c r="J168" s="30"/>
      <x:c r="K168" s="30"/>
      <x:c r="L168" s="30"/>
    </x:row>
    <x:row r="169">
      <x:c r="A169" s="32" t="n">
        <x:v>45901</x:v>
      </x:c>
      <x:c r="B169" s="30" t="str">
        <x:v>Professional Services</x:v>
      </x:c>
      <x:c r="C169" s="30" t="str">
        <x:v>Fixed</x:v>
      </x:c>
      <x:c r="D169" s="31" t="n">
        <x:v>24912</x:v>
      </x:c>
      <x:c r="E169" s="31" t="n">
        <x:v>27237.74</x:v>
      </x:c>
      <x:c r="F169" s="31" t="n">
        <x:f>D169-E169</x:f>
        <x:v>-2325.7400000000016</x:v>
      </x:c>
      <x:c r="G169" s="30"/>
      <x:c r="H169" s="30"/>
      <x:c r="I169" s="30"/>
      <x:c r="J169" s="30"/>
      <x:c r="K169" s="30"/>
      <x:c r="L169" s="30"/>
    </x:row>
    <x:row r="170">
      <x:c r="A170" s="32" t="n">
        <x:v>45931</x:v>
      </x:c>
      <x:c r="B170" s="30" t="str">
        <x:v>Marketing</x:v>
      </x:c>
      <x:c r="C170" s="30" t="str">
        <x:v>Variable</x:v>
      </x:c>
      <x:c r="D170" s="31" t="n">
        <x:v>125640</x:v>
      </x:c>
      <x:c r="E170" s="31" t="n">
        <x:v>126334.44</x:v>
      </x:c>
      <x:c r="F170" s="31" t="n">
        <x:f>D170-E170</x:f>
        <x:v>-694.4400000000023</x:v>
      </x:c>
      <x:c r="G170" s="30"/>
      <x:c r="H170" s="30"/>
      <x:c r="I170" s="30"/>
      <x:c r="J170" s="30"/>
      <x:c r="K170" s="30"/>
      <x:c r="L170" s="30"/>
    </x:row>
    <x:row r="171">
      <x:c r="A171" s="32" t="n">
        <x:v>45931</x:v>
      </x:c>
      <x:c r="B171" s="30" t="str">
        <x:v>Cloud &amp; API</x:v>
      </x:c>
      <x:c r="C171" s="30" t="str">
        <x:v>Variable</x:v>
      </x:c>
      <x:c r="D171" s="31" t="n">
        <x:v>39086.84</x:v>
      </x:c>
      <x:c r="E171" s="31" t="n">
        <x:v>45543.74</x:v>
      </x:c>
      <x:c r="F171" s="31" t="n">
        <x:f>D171-E171</x:f>
        <x:v>-6456.9000000000015</x:v>
      </x:c>
      <x:c r="G171" s="30"/>
      <x:c r="H171" s="30"/>
      <x:c r="I171" s="30"/>
      <x:c r="J171" s="30"/>
      <x:c r="K171" s="30"/>
      <x:c r="L171" s="30"/>
    </x:row>
    <x:row r="172">
      <x:c r="A172" s="32" t="n">
        <x:v>45931</x:v>
      </x:c>
      <x:c r="B172" s="30" t="str">
        <x:v>Software</x:v>
      </x:c>
      <x:c r="C172" s="30" t="str">
        <x:v>Fixed</x:v>
      </x:c>
      <x:c r="D172" s="31" t="n">
        <x:v>36296</x:v>
      </x:c>
      <x:c r="E172" s="31" t="n">
        <x:v>37430.04</x:v>
      </x:c>
      <x:c r="F172" s="31" t="n">
        <x:f>D172-E172</x:f>
        <x:v>-1134.0400000000009</x:v>
      </x:c>
      <x:c r="G172" s="30"/>
      <x:c r="H172" s="30"/>
      <x:c r="I172" s="30"/>
      <x:c r="J172" s="30"/>
      <x:c r="K172" s="30"/>
      <x:c r="L172" s="30"/>
    </x:row>
    <x:row r="173">
      <x:c r="A173" s="32" t="n">
        <x:v>45931</x:v>
      </x:c>
      <x:c r="B173" s="30" t="str">
        <x:v>Office &amp; Admin</x:v>
      </x:c>
      <x:c r="C173" s="30" t="str">
        <x:v>Fixed</x:v>
      </x:c>
      <x:c r="D173" s="31" t="n">
        <x:v>43276</x:v>
      </x:c>
      <x:c r="E173" s="31" t="n">
        <x:v>39744.32</x:v>
      </x:c>
      <x:c r="F173" s="31" t="n">
        <x:f>D173-E173</x:f>
        <x:v>3531.6800000000003</x:v>
      </x:c>
      <x:c r="G173" s="30"/>
      <x:c r="H173" s="30"/>
      <x:c r="I173" s="30"/>
      <x:c r="J173" s="30"/>
      <x:c r="K173" s="30"/>
      <x:c r="L173" s="30"/>
    </x:row>
    <x:row r="174">
      <x:c r="A174" s="32" t="n">
        <x:v>45931</x:v>
      </x:c>
      <x:c r="B174" s="30" t="str">
        <x:v>Professional Services</x:v>
      </x:c>
      <x:c r="C174" s="30" t="str">
        <x:v>Fixed</x:v>
      </x:c>
      <x:c r="D174" s="31" t="n">
        <x:v>25128</x:v>
      </x:c>
      <x:c r="E174" s="31" t="n">
        <x:v>25186.5</x:v>
      </x:c>
      <x:c r="F174" s="31" t="n">
        <x:f>D174-E174</x:f>
        <x:v>-58.5</x:v>
      </x:c>
      <x:c r="G174" s="30"/>
      <x:c r="H174" s="30"/>
      <x:c r="I174" s="30"/>
      <x:c r="J174" s="30"/>
      <x:c r="K174" s="30"/>
      <x:c r="L174" s="30"/>
    </x:row>
    <x:row r="175">
      <x:c r="A175" s="32" t="n">
        <x:v>45962</x:v>
      </x:c>
      <x:c r="B175" s="30" t="str">
        <x:v>Marketing</x:v>
      </x:c>
      <x:c r="C175" s="30" t="str">
        <x:v>Variable</x:v>
      </x:c>
      <x:c r="D175" s="31" t="n">
        <x:v>126720</x:v>
      </x:c>
      <x:c r="E175" s="31" t="n">
        <x:v>137159.81</x:v>
      </x:c>
      <x:c r="F175" s="31" t="n">
        <x:f>D175-E175</x:f>
        <x:v>-10439.809999999998</x:v>
      </x:c>
      <x:c r="G175" s="30"/>
      <x:c r="H175" s="30"/>
      <x:c r="I175" s="30"/>
      <x:c r="J175" s="30"/>
      <x:c r="K175" s="30"/>
      <x:c r="L175" s="30"/>
    </x:row>
    <x:row r="176">
      <x:c r="A176" s="32" t="n">
        <x:v>45962</x:v>
      </x:c>
      <x:c r="B176" s="30" t="str">
        <x:v>Cloud &amp; API</x:v>
      </x:c>
      <x:c r="C176" s="30" t="str">
        <x:v>Variable</x:v>
      </x:c>
      <x:c r="D176" s="31" t="n">
        <x:v>39919.64</x:v>
      </x:c>
      <x:c r="E176" s="31" t="n">
        <x:v>44686.81</x:v>
      </x:c>
      <x:c r="F176" s="31" t="n">
        <x:f>D176-E176</x:f>
        <x:v>-4767.169999999998</x:v>
      </x:c>
      <x:c r="G176" s="30"/>
      <x:c r="H176" s="30"/>
      <x:c r="I176" s="30"/>
      <x:c r="J176" s="30"/>
      <x:c r="K176" s="30"/>
      <x:c r="L176" s="30"/>
    </x:row>
    <x:row r="177">
      <x:c r="A177" s="32" t="n">
        <x:v>45962</x:v>
      </x:c>
      <x:c r="B177" s="30" t="str">
        <x:v>Software</x:v>
      </x:c>
      <x:c r="C177" s="30" t="str">
        <x:v>Fixed</x:v>
      </x:c>
      <x:c r="D177" s="31" t="n">
        <x:v>36608</x:v>
      </x:c>
      <x:c r="E177" s="31" t="n">
        <x:v>37701.41</x:v>
      </x:c>
      <x:c r="F177" s="31" t="n">
        <x:f>D177-E177</x:f>
        <x:v>-1093.4100000000035</x:v>
      </x:c>
      <x:c r="G177" s="30"/>
      <x:c r="H177" s="30"/>
      <x:c r="I177" s="30"/>
      <x:c r="J177" s="30"/>
      <x:c r="K177" s="30"/>
      <x:c r="L177" s="30"/>
    </x:row>
    <x:row r="178">
      <x:c r="A178" s="32" t="n">
        <x:v>45962</x:v>
      </x:c>
      <x:c r="B178" s="30" t="str">
        <x:v>Office &amp; Admin</x:v>
      </x:c>
      <x:c r="C178" s="30" t="str">
        <x:v>Fixed</x:v>
      </x:c>
      <x:c r="D178" s="31" t="n">
        <x:v>43648</x:v>
      </x:c>
      <x:c r="E178" s="31" t="n">
        <x:v>40145.64</x:v>
      </x:c>
      <x:c r="F178" s="31" t="n">
        <x:f>D178-E178</x:f>
        <x:v>3502.3600000000006</x:v>
      </x:c>
      <x:c r="G178" s="30"/>
      <x:c r="H178" s="30"/>
      <x:c r="I178" s="30"/>
      <x:c r="J178" s="30"/>
      <x:c r="K178" s="30"/>
      <x:c r="L178" s="30"/>
    </x:row>
    <x:row r="179">
      <x:c r="A179" s="32" t="n">
        <x:v>45962</x:v>
      </x:c>
      <x:c r="B179" s="30" t="str">
        <x:v>Professional Services</x:v>
      </x:c>
      <x:c r="C179" s="30" t="str">
        <x:v>Fixed</x:v>
      </x:c>
      <x:c r="D179" s="31" t="n">
        <x:v>25344</x:v>
      </x:c>
      <x:c r="E179" s="31" t="n">
        <x:v>29107.52</x:v>
      </x:c>
      <x:c r="F179" s="31" t="n">
        <x:f>D179-E179</x:f>
        <x:v>-3763.5200000000004</x:v>
      </x:c>
      <x:c r="G179" s="30"/>
      <x:c r="H179" s="30"/>
      <x:c r="I179" s="30"/>
      <x:c r="J179" s="30"/>
      <x:c r="K179" s="30"/>
      <x:c r="L179" s="30"/>
    </x:row>
    <x:row r="180">
      <x:c r="A180" s="32" t="n">
        <x:v>45992</x:v>
      </x:c>
      <x:c r="B180" s="30" t="str">
        <x:v>Marketing</x:v>
      </x:c>
      <x:c r="C180" s="30" t="str">
        <x:v>Variable</x:v>
      </x:c>
      <x:c r="D180" s="31" t="n">
        <x:v>127800</x:v>
      </x:c>
      <x:c r="E180" s="31" t="n">
        <x:v>130204.62</x:v>
      </x:c>
      <x:c r="F180" s="31" t="n">
        <x:f>D180-E180</x:f>
        <x:v>-2404.6199999999953</x:v>
      </x:c>
      <x:c r="G180" s="30"/>
      <x:c r="H180" s="30"/>
      <x:c r="I180" s="30"/>
      <x:c r="J180" s="30"/>
      <x:c r="K180" s="30"/>
      <x:c r="L180" s="30"/>
    </x:row>
    <x:row r="181">
      <x:c r="A181" s="32" t="n">
        <x:v>45992</x:v>
      </x:c>
      <x:c r="B181" s="30" t="str">
        <x:v>Cloud &amp; API</x:v>
      </x:c>
      <x:c r="C181" s="30" t="str">
        <x:v>Variable</x:v>
      </x:c>
      <x:c r="D181" s="31" t="n">
        <x:v>40548.74</x:v>
      </x:c>
      <x:c r="E181" s="31" t="n">
        <x:v>46945.64</x:v>
      </x:c>
      <x:c r="F181" s="31" t="n">
        <x:f>D181-E181</x:f>
        <x:v>-6396.9000000000015</x:v>
      </x:c>
      <x:c r="G181" s="30"/>
      <x:c r="H181" s="30"/>
      <x:c r="I181" s="30"/>
      <x:c r="J181" s="30"/>
      <x:c r="K181" s="30"/>
      <x:c r="L181" s="30"/>
    </x:row>
    <x:row r="182">
      <x:c r="A182" s="32" t="n">
        <x:v>45992</x:v>
      </x:c>
      <x:c r="B182" s="30" t="str">
        <x:v>Software</x:v>
      </x:c>
      <x:c r="C182" s="30" t="str">
        <x:v>Fixed</x:v>
      </x:c>
      <x:c r="D182" s="31" t="n">
        <x:v>36920</x:v>
      </x:c>
      <x:c r="E182" s="31" t="n">
        <x:v>41711.9</x:v>
      </x:c>
      <x:c r="F182" s="31" t="n">
        <x:f>D182-E182</x:f>
        <x:v>-4791.9000000000015</x:v>
      </x:c>
      <x:c r="G182" s="30"/>
      <x:c r="H182" s="30"/>
      <x:c r="I182" s="30"/>
      <x:c r="J182" s="30"/>
      <x:c r="K182" s="30"/>
      <x:c r="L182" s="30"/>
    </x:row>
    <x:row r="183">
      <x:c r="A183" s="32" t="n">
        <x:v>45992</x:v>
      </x:c>
      <x:c r="B183" s="30" t="str">
        <x:v>Office &amp; Admin</x:v>
      </x:c>
      <x:c r="C183" s="30" t="str">
        <x:v>Fixed</x:v>
      </x:c>
      <x:c r="D183" s="31" t="n">
        <x:v>44020</x:v>
      </x:c>
      <x:c r="E183" s="31" t="n">
        <x:v>40370.05</x:v>
      </x:c>
      <x:c r="F183" s="31" t="n">
        <x:f>D183-E183</x:f>
        <x:v>3649.949999999997</x:v>
      </x:c>
      <x:c r="G183" s="30"/>
      <x:c r="H183" s="30"/>
      <x:c r="I183" s="30"/>
      <x:c r="J183" s="30"/>
      <x:c r="K183" s="30"/>
      <x:c r="L183" s="30"/>
    </x:row>
    <x:row r="184">
      <x:c r="A184" s="32" t="n">
        <x:v>45992</x:v>
      </x:c>
      <x:c r="B184" s="30" t="str">
        <x:v>Professional Services</x:v>
      </x:c>
      <x:c r="C184" s="30" t="str">
        <x:v>Fixed</x:v>
      </x:c>
      <x:c r="D184" s="31" t="n">
        <x:v>25560</x:v>
      </x:c>
      <x:c r="E184" s="31" t="n">
        <x:v>25641.27</x:v>
      </x:c>
      <x:c r="F184" s="31" t="n">
        <x:f>D184-E184</x:f>
        <x:v>-81.27000000000044</x:v>
      </x:c>
      <x:c r="G184" s="30"/>
      <x:c r="H184" s="30"/>
      <x:c r="I184" s="30"/>
      <x:c r="J184" s="30"/>
      <x:c r="K184" s="30"/>
      <x:c r="L184" s="30"/>
    </x:row>
    <x:row r="185">
      <x:c r="A185" s="32" t="n">
        <x:v>46023</x:v>
      </x:c>
      <x:c r="B185" s="30" t="str">
        <x:v>Marketing</x:v>
      </x:c>
      <x:c r="C185" s="30" t="str">
        <x:v>Variable</x:v>
      </x:c>
      <x:c r="D185" s="31" t="n">
        <x:v>128880</x:v>
      </x:c>
      <x:c r="E185" s="31" t="n">
        <x:v>137683.61</x:v>
      </x:c>
      <x:c r="F185" s="31" t="n">
        <x:f>D185-E185</x:f>
        <x:v>-8803.609999999986</x:v>
      </x:c>
      <x:c r="G185" s="30"/>
      <x:c r="H185" s="30"/>
      <x:c r="I185" s="30"/>
      <x:c r="J185" s="30"/>
      <x:c r="K185" s="30"/>
      <x:c r="L185" s="30"/>
    </x:row>
    <x:row r="186">
      <x:c r="A186" s="32" t="n">
        <x:v>46023</x:v>
      </x:c>
      <x:c r="B186" s="30" t="str">
        <x:v>Cloud &amp; API</x:v>
      </x:c>
      <x:c r="C186" s="30" t="str">
        <x:v>Variable</x:v>
      </x:c>
      <x:c r="D186" s="31" t="n">
        <x:v>43015.48</x:v>
      </x:c>
      <x:c r="E186" s="31" t="n">
        <x:v>46462.6</x:v>
      </x:c>
      <x:c r="F186" s="31" t="n">
        <x:f>D186-E186</x:f>
        <x:v>-3447.1199999999953</x:v>
      </x:c>
      <x:c r="G186" s="30"/>
      <x:c r="H186" s="30"/>
      <x:c r="I186" s="30"/>
      <x:c r="J186" s="30"/>
      <x:c r="K186" s="30"/>
      <x:c r="L186" s="30"/>
    </x:row>
    <x:row r="187">
      <x:c r="A187" s="32" t="n">
        <x:v>46023</x:v>
      </x:c>
      <x:c r="B187" s="30" t="str">
        <x:v>Software</x:v>
      </x:c>
      <x:c r="C187" s="30" t="str">
        <x:v>Fixed</x:v>
      </x:c>
      <x:c r="D187" s="31" t="n">
        <x:v>37232</x:v>
      </x:c>
      <x:c r="E187" s="31" t="n">
        <x:v>36769.83</x:v>
      </x:c>
      <x:c r="F187" s="31" t="n">
        <x:f>D187-E187</x:f>
        <x:v>462.16999999999825</x:v>
      </x:c>
      <x:c r="G187" s="30"/>
      <x:c r="H187" s="30"/>
      <x:c r="I187" s="30"/>
      <x:c r="J187" s="30"/>
      <x:c r="K187" s="30"/>
      <x:c r="L187" s="30"/>
    </x:row>
    <x:row r="188">
      <x:c r="A188" s="32" t="n">
        <x:v>46023</x:v>
      </x:c>
      <x:c r="B188" s="30" t="str">
        <x:v>Office &amp; Admin</x:v>
      </x:c>
      <x:c r="C188" s="30" t="str">
        <x:v>Fixed</x:v>
      </x:c>
      <x:c r="D188" s="31" t="n">
        <x:v>44392</x:v>
      </x:c>
      <x:c r="E188" s="31" t="n">
        <x:v>45578.93</x:v>
      </x:c>
      <x:c r="F188" s="31" t="n">
        <x:f>D188-E188</x:f>
        <x:v>-1186.9300000000003</x:v>
      </x:c>
      <x:c r="G188" s="30"/>
      <x:c r="H188" s="30"/>
      <x:c r="I188" s="30"/>
      <x:c r="J188" s="30"/>
      <x:c r="K188" s="30"/>
      <x:c r="L188" s="30"/>
    </x:row>
    <x:row r="189">
      <x:c r="A189" s="32" t="n">
        <x:v>46023</x:v>
      </x:c>
      <x:c r="B189" s="30" t="str">
        <x:v>Professional Services</x:v>
      </x:c>
      <x:c r="C189" s="30" t="str">
        <x:v>Fixed</x:v>
      </x:c>
      <x:c r="D189" s="31" t="n">
        <x:v>25776</x:v>
      </x:c>
      <x:c r="E189" s="31" t="n">
        <x:v>27930.96</x:v>
      </x:c>
      <x:c r="F189" s="31" t="n">
        <x:f>D189-E189</x:f>
        <x:v>-2154.959999999999</x:v>
      </x:c>
      <x:c r="G189" s="30"/>
      <x:c r="H189" s="30"/>
      <x:c r="I189" s="30"/>
      <x:c r="J189" s="30"/>
      <x:c r="K189" s="30"/>
      <x:c r="L189" s="30"/>
    </x:row>
    <x:row r="190">
      <x:c r="A190" s="32" t="n">
        <x:v>46054</x:v>
      </x:c>
      <x:c r="B190" s="30" t="str">
        <x:v>Marketing</x:v>
      </x:c>
      <x:c r="C190" s="30" t="str">
        <x:v>Variable</x:v>
      </x:c>
      <x:c r="D190" s="31" t="n">
        <x:v>129960</x:v>
      </x:c>
      <x:c r="E190" s="31" t="n">
        <x:v>127797.7</x:v>
      </x:c>
      <x:c r="F190" s="31" t="n">
        <x:f>D190-E190</x:f>
        <x:v>2162.300000000003</x:v>
      </x:c>
      <x:c r="G190" s="30"/>
      <x:c r="H190" s="30"/>
      <x:c r="I190" s="30"/>
      <x:c r="J190" s="30"/>
      <x:c r="K190" s="30"/>
      <x:c r="L190" s="30"/>
    </x:row>
    <x:row r="191">
      <x:c r="A191" s="32" t="n">
        <x:v>46054</x:v>
      </x:c>
      <x:c r="B191" s="30" t="str">
        <x:v>Cloud &amp; API</x:v>
      </x:c>
      <x:c r="C191" s="30" t="str">
        <x:v>Variable</x:v>
      </x:c>
      <x:c r="D191" s="31" t="n">
        <x:v>44406.06</x:v>
      </x:c>
      <x:c r="E191" s="31" t="n">
        <x:v>48128.64</x:v>
      </x:c>
      <x:c r="F191" s="31" t="n">
        <x:f>D191-E191</x:f>
        <x:v>-3722.5800000000017</x:v>
      </x:c>
      <x:c r="G191" s="30"/>
      <x:c r="H191" s="30"/>
      <x:c r="I191" s="30"/>
      <x:c r="J191" s="30"/>
      <x:c r="K191" s="30"/>
      <x:c r="L191" s="30"/>
    </x:row>
    <x:row r="192">
      <x:c r="A192" s="32" t="n">
        <x:v>46054</x:v>
      </x:c>
      <x:c r="B192" s="30" t="str">
        <x:v>Software</x:v>
      </x:c>
      <x:c r="C192" s="30" t="str">
        <x:v>Fixed</x:v>
      </x:c>
      <x:c r="D192" s="31" t="n">
        <x:v>37544</x:v>
      </x:c>
      <x:c r="E192" s="31" t="n">
        <x:v>38217.93</x:v>
      </x:c>
      <x:c r="F192" s="31" t="n">
        <x:f>D192-E192</x:f>
        <x:v>-673.9300000000003</x:v>
      </x:c>
      <x:c r="G192" s="30"/>
      <x:c r="H192" s="30"/>
      <x:c r="I192" s="30"/>
      <x:c r="J192" s="30"/>
      <x:c r="K192" s="30"/>
      <x:c r="L192" s="30"/>
    </x:row>
    <x:row r="193">
      <x:c r="A193" s="32" t="n">
        <x:v>46054</x:v>
      </x:c>
      <x:c r="B193" s="30" t="str">
        <x:v>Office &amp; Admin</x:v>
      </x:c>
      <x:c r="C193" s="30" t="str">
        <x:v>Fixed</x:v>
      </x:c>
      <x:c r="D193" s="31" t="n">
        <x:v>44764</x:v>
      </x:c>
      <x:c r="E193" s="31" t="n">
        <x:v>42804.3</x:v>
      </x:c>
      <x:c r="F193" s="31" t="n">
        <x:f>D193-E193</x:f>
        <x:v>1959.699999999997</x:v>
      </x:c>
      <x:c r="G193" s="30"/>
      <x:c r="H193" s="30"/>
      <x:c r="I193" s="30"/>
      <x:c r="J193" s="30"/>
      <x:c r="K193" s="30"/>
      <x:c r="L193" s="30"/>
    </x:row>
    <x:row r="194">
      <x:c r="A194" s="32" t="n">
        <x:v>46054</x:v>
      </x:c>
      <x:c r="B194" s="30" t="str">
        <x:v>Professional Services</x:v>
      </x:c>
      <x:c r="C194" s="30" t="str">
        <x:v>Fixed</x:v>
      </x:c>
      <x:c r="D194" s="31" t="n">
        <x:v>25992</x:v>
      </x:c>
      <x:c r="E194" s="31" t="n">
        <x:v>29053.59</x:v>
      </x:c>
      <x:c r="F194" s="31" t="n">
        <x:f>D194-E194</x:f>
        <x:v>-3061.59</x:v>
      </x:c>
      <x:c r="G194" s="30"/>
      <x:c r="H194" s="30"/>
      <x:c r="I194" s="30"/>
      <x:c r="J194" s="30"/>
      <x:c r="K194" s="30"/>
      <x:c r="L194" s="30"/>
    </x:row>
    <x:row r="195">
      <x:c r="A195" s="32" t="n">
        <x:v>46082</x:v>
      </x:c>
      <x:c r="B195" s="30" t="str">
        <x:v>Marketing</x:v>
      </x:c>
      <x:c r="C195" s="30" t="str">
        <x:v>Variable</x:v>
      </x:c>
      <x:c r="D195" s="31" t="n">
        <x:v>131040</x:v>
      </x:c>
      <x:c r="E195" s="31" t="n">
        <x:v>152524.22</x:v>
      </x:c>
      <x:c r="F195" s="31" t="n">
        <x:f>D195-E195</x:f>
        <x:v>-21484.22</x:v>
      </x:c>
      <x:c r="G195" s="30"/>
      <x:c r="H195" s="30"/>
      <x:c r="I195" s="30"/>
      <x:c r="J195" s="30"/>
      <x:c r="K195" s="30"/>
      <x:c r="L195" s="30"/>
    </x:row>
    <x:row r="196">
      <x:c r="A196" s="32" t="n">
        <x:v>46082</x:v>
      </x:c>
      <x:c r="B196" s="30" t="str">
        <x:v>Cloud &amp; API</x:v>
      </x:c>
      <x:c r="C196" s="30" t="str">
        <x:v>Variable</x:v>
      </x:c>
      <x:c r="D196" s="31" t="n">
        <x:v>45675.88</x:v>
      </x:c>
      <x:c r="E196" s="31" t="n">
        <x:v>48210.42</x:v>
      </x:c>
      <x:c r="F196" s="31" t="n">
        <x:f>D196-E196</x:f>
        <x:v>-2534.540000000001</x:v>
      </x:c>
      <x:c r="G196" s="30"/>
      <x:c r="H196" s="30"/>
      <x:c r="I196" s="30"/>
      <x:c r="J196" s="30"/>
      <x:c r="K196" s="30"/>
      <x:c r="L196" s="30"/>
    </x:row>
    <x:row r="197">
      <x:c r="A197" s="32" t="n">
        <x:v>46082</x:v>
      </x:c>
      <x:c r="B197" s="30" t="str">
        <x:v>Software</x:v>
      </x:c>
      <x:c r="C197" s="30" t="str">
        <x:v>Fixed</x:v>
      </x:c>
      <x:c r="D197" s="31" t="n">
        <x:v>37856</x:v>
      </x:c>
      <x:c r="E197" s="31" t="n">
        <x:v>43593.53</x:v>
      </x:c>
      <x:c r="F197" s="31" t="n">
        <x:f>D197-E197</x:f>
        <x:v>-5737.529999999999</x:v>
      </x:c>
      <x:c r="G197" s="30"/>
      <x:c r="H197" s="30"/>
      <x:c r="I197" s="30"/>
      <x:c r="J197" s="30"/>
      <x:c r="K197" s="30"/>
      <x:c r="L197" s="30"/>
    </x:row>
    <x:row r="198">
      <x:c r="A198" s="32" t="n">
        <x:v>46082</x:v>
      </x:c>
      <x:c r="B198" s="30" t="str">
        <x:v>Office &amp; Admin</x:v>
      </x:c>
      <x:c r="C198" s="30" t="str">
        <x:v>Fixed</x:v>
      </x:c>
      <x:c r="D198" s="31" t="n">
        <x:v>45136</x:v>
      </x:c>
      <x:c r="E198" s="31" t="n">
        <x:v>43489.07</x:v>
      </x:c>
      <x:c r="F198" s="31" t="n">
        <x:f>D198-E198</x:f>
        <x:v>1646.9300000000003</x:v>
      </x:c>
      <x:c r="G198" s="30"/>
      <x:c r="H198" s="30"/>
      <x:c r="I198" s="30"/>
      <x:c r="J198" s="30"/>
      <x:c r="K198" s="30"/>
      <x:c r="L198" s="30"/>
    </x:row>
    <x:row r="199">
      <x:c r="A199" s="32" t="n">
        <x:v>46082</x:v>
      </x:c>
      <x:c r="B199" s="30" t="str">
        <x:v>Professional Services</x:v>
      </x:c>
      <x:c r="C199" s="30" t="str">
        <x:v>Fixed</x:v>
      </x:c>
      <x:c r="D199" s="31" t="n">
        <x:v>26208</x:v>
      </x:c>
      <x:c r="E199" s="31" t="n">
        <x:v>26070.33</x:v>
      </x:c>
      <x:c r="F199" s="31" t="n">
        <x:f>D199-E199</x:f>
        <x:v>137.66999999999825</x:v>
      </x:c>
      <x:c r="G199" s="30"/>
      <x:c r="H199" s="30"/>
      <x:c r="I199" s="30"/>
      <x:c r="J199" s="30"/>
      <x:c r="K199" s="30"/>
      <x:c r="L199" s="30"/>
    </x:row>
    <x:row r="200">
      <x:c r="A200" s="32" t="n">
        <x:v>46113</x:v>
      </x:c>
      <x:c r="B200" s="30" t="str">
        <x:v>Marketing</x:v>
      </x:c>
      <x:c r="C200" s="30" t="str">
        <x:v>Variable</x:v>
      </x:c>
      <x:c r="D200" s="31" t="n">
        <x:v>132120</x:v>
      </x:c>
      <x:c r="E200" s="31" t="n">
        <x:v>134115.75</x:v>
      </x:c>
      <x:c r="F200" s="31" t="n">
        <x:f>D200-E200</x:f>
        <x:v>-1995.75</x:v>
      </x:c>
      <x:c r="G200" s="30"/>
      <x:c r="H200" s="30"/>
      <x:c r="I200" s="30"/>
      <x:c r="J200" s="30"/>
      <x:c r="K200" s="30"/>
      <x:c r="L200" s="30"/>
    </x:row>
    <x:row r="201">
      <x:c r="A201" s="32" t="n">
        <x:v>46113</x:v>
      </x:c>
      <x:c r="B201" s="30" t="str">
        <x:v>Cloud &amp; API</x:v>
      </x:c>
      <x:c r="C201" s="30" t="str">
        <x:v>Variable</x:v>
      </x:c>
      <x:c r="D201" s="31" t="n">
        <x:v>47201.56</x:v>
      </x:c>
      <x:c r="E201" s="31" t="n">
        <x:v>46529.04</x:v>
      </x:c>
      <x:c r="F201" s="31" t="n">
        <x:f>D201-E201</x:f>
        <x:v>672.5199999999968</x:v>
      </x:c>
      <x:c r="G201" s="30"/>
      <x:c r="H201" s="30"/>
      <x:c r="I201" s="30"/>
      <x:c r="J201" s="30"/>
      <x:c r="K201" s="30"/>
      <x:c r="L201" s="30"/>
    </x:row>
    <x:row r="202">
      <x:c r="A202" s="32" t="n">
        <x:v>46113</x:v>
      </x:c>
      <x:c r="B202" s="30" t="str">
        <x:v>Software</x:v>
      </x:c>
      <x:c r="C202" s="30" t="str">
        <x:v>Fixed</x:v>
      </x:c>
      <x:c r="D202" s="31" t="n">
        <x:v>38168</x:v>
      </x:c>
      <x:c r="E202" s="31" t="n">
        <x:v>37997.74</x:v>
      </x:c>
      <x:c r="F202" s="31" t="n">
        <x:f>D202-E202</x:f>
        <x:v>170.26000000000204</x:v>
      </x:c>
      <x:c r="G202" s="30"/>
      <x:c r="H202" s="30"/>
      <x:c r="I202" s="30"/>
      <x:c r="J202" s="30"/>
      <x:c r="K202" s="30"/>
      <x:c r="L202" s="30"/>
    </x:row>
    <x:row r="203">
      <x:c r="A203" s="32" t="n">
        <x:v>46113</x:v>
      </x:c>
      <x:c r="B203" s="30" t="str">
        <x:v>Office &amp; Admin</x:v>
      </x:c>
      <x:c r="C203" s="30" t="str">
        <x:v>Fixed</x:v>
      </x:c>
      <x:c r="D203" s="31" t="n">
        <x:v>45508</x:v>
      </x:c>
      <x:c r="E203" s="31" t="n">
        <x:v>44765.55</x:v>
      </x:c>
      <x:c r="F203" s="31" t="n">
        <x:f>D203-E203</x:f>
        <x:v>742.4499999999971</x:v>
      </x:c>
      <x:c r="G203" s="30"/>
      <x:c r="H203" s="30"/>
      <x:c r="I203" s="30"/>
      <x:c r="J203" s="30"/>
      <x:c r="K203" s="30"/>
      <x:c r="L203" s="30"/>
    </x:row>
    <x:row r="204">
      <x:c r="A204" s="32" t="n">
        <x:v>46113</x:v>
      </x:c>
      <x:c r="B204" s="30" t="str">
        <x:v>Professional Services</x:v>
      </x:c>
      <x:c r="C204" s="30" t="str">
        <x:v>Fixed</x:v>
      </x:c>
      <x:c r="D204" s="31" t="n">
        <x:v>26424</x:v>
      </x:c>
      <x:c r="E204" s="31" t="n">
        <x:v>27267.23</x:v>
      </x:c>
      <x:c r="F204" s="31" t="n">
        <x:f>D204-E204</x:f>
        <x:v>-843.2299999999996</x:v>
      </x:c>
      <x:c r="G204" s="30"/>
      <x:c r="H204" s="30"/>
      <x:c r="I204" s="30"/>
      <x:c r="J204" s="30"/>
      <x:c r="K204" s="30"/>
      <x:c r="L204" s="30"/>
    </x:row>
    <x:row r="205">
      <x:c r="A205" s="32" t="n">
        <x:v>46143</x:v>
      </x:c>
      <x:c r="B205" s="30" t="str">
        <x:v>Marketing</x:v>
      </x:c>
      <x:c r="C205" s="30" t="str">
        <x:v>Variable</x:v>
      </x:c>
      <x:c r="D205" s="31" t="n">
        <x:v>133200</x:v>
      </x:c>
      <x:c r="E205" s="31" t="n">
        <x:v>139145.47</x:v>
      </x:c>
      <x:c r="F205" s="31" t="n">
        <x:f>D205-E205</x:f>
        <x:v>-5945.470000000001</x:v>
      </x:c>
      <x:c r="G205" s="30"/>
      <x:c r="H205" s="30"/>
      <x:c r="I205" s="30"/>
      <x:c r="J205" s="30"/>
      <x:c r="K205" s="30"/>
      <x:c r="L205" s="30"/>
    </x:row>
    <x:row r="206">
      <x:c r="A206" s="32" t="n">
        <x:v>46143</x:v>
      </x:c>
      <x:c r="B206" s="30" t="str">
        <x:v>Cloud &amp; API</x:v>
      </x:c>
      <x:c r="C206" s="30" t="str">
        <x:v>Variable</x:v>
      </x:c>
      <x:c r="D206" s="31" t="n">
        <x:v>48366.11</x:v>
      </x:c>
      <x:c r="E206" s="31" t="n">
        <x:v>52667.16</x:v>
      </x:c>
      <x:c r="F206" s="31" t="n">
        <x:f>D206-E206</x:f>
        <x:v>-4301.050000000003</x:v>
      </x:c>
      <x:c r="G206" s="30"/>
      <x:c r="H206" s="30"/>
      <x:c r="I206" s="30"/>
      <x:c r="J206" s="30"/>
      <x:c r="K206" s="30"/>
      <x:c r="L206" s="30"/>
    </x:row>
    <x:row r="207">
      <x:c r="A207" s="32" t="n">
        <x:v>46143</x:v>
      </x:c>
      <x:c r="B207" s="30" t="str">
        <x:v>Software</x:v>
      </x:c>
      <x:c r="C207" s="30" t="str">
        <x:v>Fixed</x:v>
      </x:c>
      <x:c r="D207" s="31" t="n">
        <x:v>38480</x:v>
      </x:c>
      <x:c r="E207" s="31" t="n">
        <x:v>41304.36</x:v>
      </x:c>
      <x:c r="F207" s="31" t="n">
        <x:f>D207-E207</x:f>
        <x:v>-2824.3600000000006</x:v>
      </x:c>
      <x:c r="G207" s="30"/>
      <x:c r="H207" s="30"/>
      <x:c r="I207" s="30"/>
      <x:c r="J207" s="30"/>
      <x:c r="K207" s="30"/>
      <x:c r="L207" s="30"/>
    </x:row>
    <x:row r="208">
      <x:c r="A208" s="32" t="n">
        <x:v>46143</x:v>
      </x:c>
      <x:c r="B208" s="30" t="str">
        <x:v>Office &amp; Admin</x:v>
      </x:c>
      <x:c r="C208" s="30" t="str">
        <x:v>Fixed</x:v>
      </x:c>
      <x:c r="D208" s="31" t="n">
        <x:v>45880</x:v>
      </x:c>
      <x:c r="E208" s="31" t="n">
        <x:v>45172.88</x:v>
      </x:c>
      <x:c r="F208" s="31" t="n">
        <x:f>D208-E208</x:f>
        <x:v>707.1200000000026</x:v>
      </x:c>
      <x:c r="G208" s="30"/>
      <x:c r="H208" s="30"/>
      <x:c r="I208" s="30"/>
      <x:c r="J208" s="30"/>
      <x:c r="K208" s="30"/>
      <x:c r="L208" s="30"/>
    </x:row>
    <x:row r="209">
      <x:c r="A209" s="32" t="n">
        <x:v>46143</x:v>
      </x:c>
      <x:c r="B209" s="30" t="str">
        <x:v>Professional Services</x:v>
      </x:c>
      <x:c r="C209" s="30" t="str">
        <x:v>Fixed</x:v>
      </x:c>
      <x:c r="D209" s="31" t="n">
        <x:v>26640</x:v>
      </x:c>
      <x:c r="E209" s="31" t="n">
        <x:v>29689.92</x:v>
      </x:c>
      <x:c r="F209" s="31" t="n">
        <x:f>D209-E209</x:f>
        <x:v>-3049.9199999999983</x:v>
      </x:c>
      <x:c r="G209" s="30"/>
      <x:c r="H209" s="30"/>
      <x:c r="I209" s="30"/>
      <x:c r="J209" s="30"/>
      <x:c r="K209" s="30"/>
      <x:c r="L209" s="30"/>
    </x:row>
    <x:row r="210">
      <x:c r="A210" s="32" t="n">
        <x:v>46174</x:v>
      </x:c>
      <x:c r="B210" s="30" t="str">
        <x:v>Marketing</x:v>
      </x:c>
      <x:c r="C210" s="30" t="str">
        <x:v>Variable</x:v>
      </x:c>
      <x:c r="D210" s="31" t="n">
        <x:v>134280</x:v>
      </x:c>
      <x:c r="E210" s="31" t="n">
        <x:v>134066.21</x:v>
      </x:c>
      <x:c r="F210" s="31" t="n">
        <x:f>D210-E210</x:f>
        <x:v>213.79000000000815</x:v>
      </x:c>
      <x:c r="G210" s="30"/>
      <x:c r="H210" s="30"/>
      <x:c r="I210" s="30"/>
      <x:c r="J210" s="30"/>
      <x:c r="K210" s="30"/>
      <x:c r="L210" s="30"/>
    </x:row>
    <x:row r="211">
      <x:c r="A211" s="32" t="n">
        <x:v>46174</x:v>
      </x:c>
      <x:c r="B211" s="30" t="str">
        <x:v>Cloud &amp; API</x:v>
      </x:c>
      <x:c r="C211" s="30" t="str">
        <x:v>Variable</x:v>
      </x:c>
      <x:c r="D211" s="31" t="n">
        <x:v>49491.09</x:v>
      </x:c>
      <x:c r="E211" s="31" t="n">
        <x:v>52318.63</x:v>
      </x:c>
      <x:c r="F211" s="31" t="n">
        <x:f>D211-E211</x:f>
        <x:v>-2827.540000000001</x:v>
      </x:c>
      <x:c r="G211" s="30"/>
      <x:c r="H211" s="30"/>
      <x:c r="I211" s="30"/>
      <x:c r="J211" s="30"/>
      <x:c r="K211" s="30"/>
      <x:c r="L211" s="30"/>
    </x:row>
    <x:row r="212">
      <x:c r="A212" s="32" t="n">
        <x:v>46174</x:v>
      </x:c>
      <x:c r="B212" s="30" t="str">
        <x:v>Software</x:v>
      </x:c>
      <x:c r="C212" s="30" t="str">
        <x:v>Fixed</x:v>
      </x:c>
      <x:c r="D212" s="31" t="n">
        <x:v>38792</x:v>
      </x:c>
      <x:c r="E212" s="31" t="n">
        <x:v>36375.5</x:v>
      </x:c>
      <x:c r="F212" s="31" t="n">
        <x:f>D212-E212</x:f>
        <x:v>2416.5</x:v>
      </x:c>
      <x:c r="G212" s="30"/>
      <x:c r="H212" s="30"/>
      <x:c r="I212" s="30"/>
      <x:c r="J212" s="30"/>
      <x:c r="K212" s="30"/>
      <x:c r="L212" s="30"/>
    </x:row>
    <x:row r="213">
      <x:c r="A213" s="32" t="n">
        <x:v>46174</x:v>
      </x:c>
      <x:c r="B213" s="30" t="str">
        <x:v>Office &amp; Admin</x:v>
      </x:c>
      <x:c r="C213" s="30" t="str">
        <x:v>Fixed</x:v>
      </x:c>
      <x:c r="D213" s="31" t="n">
        <x:v>46252</x:v>
      </x:c>
      <x:c r="E213" s="31" t="n">
        <x:v>45490.35</x:v>
      </x:c>
      <x:c r="F213" s="31" t="n">
        <x:f>D213-E213</x:f>
        <x:v>761.6500000000015</x:v>
      </x:c>
      <x:c r="G213" s="30"/>
      <x:c r="H213" s="30"/>
      <x:c r="I213" s="30"/>
      <x:c r="J213" s="30"/>
      <x:c r="K213" s="30"/>
      <x:c r="L213" s="30"/>
    </x:row>
    <x:row r="214">
      <x:c r="A214" s="32" t="n">
        <x:v>46174</x:v>
      </x:c>
      <x:c r="B214" s="30" t="str">
        <x:v>Professional Services</x:v>
      </x:c>
      <x:c r="C214" s="30" t="str">
        <x:v>Fixed</x:v>
      </x:c>
      <x:c r="D214" s="31" t="n">
        <x:v>26856</x:v>
      </x:c>
      <x:c r="E214" s="31" t="n">
        <x:v>27147.48</x:v>
      </x:c>
      <x:c r="F214" s="31" t="n">
        <x:f>D214-E214</x:f>
        <x:v>-291.47999999999956</x:v>
      </x:c>
      <x:c r="G214" s="30"/>
      <x:c r="H214" s="30"/>
      <x:c r="I214" s="30"/>
      <x:c r="J214" s="30"/>
      <x:c r="K214" s="30"/>
      <x:c r="L214" s="30"/>
    </x:row>
    <x:row r="215">
      <x:c r="A215" s="32" t="n">
        <x:v>46204</x:v>
      </x:c>
      <x:c r="B215" s="30" t="str">
        <x:v>Marketing</x:v>
      </x:c>
      <x:c r="C215" s="30" t="str">
        <x:v>Variable</x:v>
      </x:c>
      <x:c r="D215" s="31" t="n">
        <x:v>135360</x:v>
      </x:c>
      <x:c r="E215" s="31" t="n">
        <x:v>135360</x:v>
      </x:c>
      <x:c r="F215" s="31" t="n">
        <x:f>D215-E215</x:f>
        <x:v>0</x:v>
      </x:c>
      <x:c r="G215" s="30"/>
      <x:c r="H215" s="30"/>
      <x:c r="I215" s="30"/>
      <x:c r="J215" s="30"/>
      <x:c r="K215" s="30"/>
      <x:c r="L215" s="30"/>
    </x:row>
    <x:row r="216">
      <x:c r="A216" s="32" t="n">
        <x:v>46204</x:v>
      </x:c>
      <x:c r="B216" s="30" t="str">
        <x:v>Cloud &amp; API</x:v>
      </x:c>
      <x:c r="C216" s="30" t="str">
        <x:v>Variable</x:v>
      </x:c>
      <x:c r="D216" s="31" t="n">
        <x:v>50668.27</x:v>
      </x:c>
      <x:c r="E216" s="31" t="n">
        <x:v>50668.27</x:v>
      </x:c>
      <x:c r="F216" s="31" t="n">
        <x:f>D216-E216</x:f>
        <x:v>0</x:v>
      </x:c>
      <x:c r="G216" s="30"/>
      <x:c r="H216" s="30"/>
      <x:c r="I216" s="30"/>
      <x:c r="J216" s="30"/>
      <x:c r="K216" s="30"/>
      <x:c r="L216" s="30"/>
    </x:row>
    <x:row r="217">
      <x:c r="A217" s="32" t="n">
        <x:v>46204</x:v>
      </x:c>
      <x:c r="B217" s="30" t="str">
        <x:v>Software</x:v>
      </x:c>
      <x:c r="C217" s="30" t="str">
        <x:v>Fixed</x:v>
      </x:c>
      <x:c r="D217" s="31" t="n">
        <x:v>39104</x:v>
      </x:c>
      <x:c r="E217" s="31" t="n">
        <x:v>39104</x:v>
      </x:c>
      <x:c r="F217" s="31" t="n">
        <x:f>D217-E217</x:f>
        <x:v>0</x:v>
      </x:c>
      <x:c r="G217" s="30"/>
      <x:c r="H217" s="30"/>
      <x:c r="I217" s="30"/>
      <x:c r="J217" s="30"/>
      <x:c r="K217" s="30"/>
      <x:c r="L217" s="30"/>
    </x:row>
    <x:row r="218">
      <x:c r="A218" s="32" t="n">
        <x:v>46204</x:v>
      </x:c>
      <x:c r="B218" s="30" t="str">
        <x:v>Office &amp; Admin</x:v>
      </x:c>
      <x:c r="C218" s="30" t="str">
        <x:v>Fixed</x:v>
      </x:c>
      <x:c r="D218" s="31" t="n">
        <x:v>46624</x:v>
      </x:c>
      <x:c r="E218" s="31" t="n">
        <x:v>46624</x:v>
      </x:c>
      <x:c r="F218" s="31" t="n">
        <x:f>D218-E218</x:f>
        <x:v>0</x:v>
      </x:c>
      <x:c r="G218" s="30"/>
      <x:c r="H218" s="30"/>
      <x:c r="I218" s="30"/>
      <x:c r="J218" s="30"/>
      <x:c r="K218" s="30"/>
      <x:c r="L218" s="30"/>
    </x:row>
    <x:row r="219">
      <x:c r="A219" s="32" t="n">
        <x:v>46204</x:v>
      </x:c>
      <x:c r="B219" s="30" t="str">
        <x:v>Professional Services</x:v>
      </x:c>
      <x:c r="C219" s="30" t="str">
        <x:v>Fixed</x:v>
      </x:c>
      <x:c r="D219" s="31" t="n">
        <x:v>27072</x:v>
      </x:c>
      <x:c r="E219" s="31" t="n">
        <x:v>27072</x:v>
      </x:c>
      <x:c r="F219" s="31" t="n">
        <x:f>D219-E219</x:f>
        <x:v>0</x:v>
      </x:c>
      <x:c r="G219" s="30"/>
      <x:c r="H219" s="30"/>
      <x:c r="I219" s="30"/>
      <x:c r="J219" s="30"/>
      <x:c r="K219" s="30"/>
      <x:c r="L219" s="30"/>
    </x:row>
    <x:row r="220">
      <x:c r="A220" s="32" t="n">
        <x:v>46235</x:v>
      </x:c>
      <x:c r="B220" s="30" t="str">
        <x:v>Marketing</x:v>
      </x:c>
      <x:c r="C220" s="30" t="str">
        <x:v>Variable</x:v>
      </x:c>
      <x:c r="D220" s="31" t="n">
        <x:v>136440</x:v>
      </x:c>
      <x:c r="E220" s="31" t="n">
        <x:v>136440</x:v>
      </x:c>
      <x:c r="F220" s="31" t="n">
        <x:f>D220-E220</x:f>
        <x:v>0</x:v>
      </x:c>
      <x:c r="G220" s="30"/>
      <x:c r="H220" s="30"/>
      <x:c r="I220" s="30"/>
      <x:c r="J220" s="30"/>
      <x:c r="K220" s="30"/>
      <x:c r="L220" s="30"/>
    </x:row>
    <x:row r="221">
      <x:c r="A221" s="32" t="n">
        <x:v>46235</x:v>
      </x:c>
      <x:c r="B221" s="30" t="str">
        <x:v>Cloud &amp; API</x:v>
      </x:c>
      <x:c r="C221" s="30" t="str">
        <x:v>Variable</x:v>
      </x:c>
      <x:c r="D221" s="31" t="n">
        <x:v>51742.75</x:v>
      </x:c>
      <x:c r="E221" s="31" t="n">
        <x:v>51742.75</x:v>
      </x:c>
      <x:c r="F221" s="31" t="n">
        <x:f>D221-E221</x:f>
        <x:v>0</x:v>
      </x:c>
      <x:c r="G221" s="30"/>
      <x:c r="H221" s="30"/>
      <x:c r="I221" s="30"/>
      <x:c r="J221" s="30"/>
      <x:c r="K221" s="30"/>
      <x:c r="L221" s="30"/>
    </x:row>
    <x:row r="222">
      <x:c r="A222" s="32" t="n">
        <x:v>46235</x:v>
      </x:c>
      <x:c r="B222" s="30" t="str">
        <x:v>Software</x:v>
      </x:c>
      <x:c r="C222" s="30" t="str">
        <x:v>Fixed</x:v>
      </x:c>
      <x:c r="D222" s="31" t="n">
        <x:v>39416</x:v>
      </x:c>
      <x:c r="E222" s="31" t="n">
        <x:v>39416</x:v>
      </x:c>
      <x:c r="F222" s="31" t="n">
        <x:f>D222-E222</x:f>
        <x:v>0</x:v>
      </x:c>
      <x:c r="G222" s="30"/>
      <x:c r="H222" s="30"/>
      <x:c r="I222" s="30"/>
      <x:c r="J222" s="30"/>
      <x:c r="K222" s="30"/>
      <x:c r="L222" s="30"/>
    </x:row>
    <x:row r="223">
      <x:c r="A223" s="32" t="n">
        <x:v>46235</x:v>
      </x:c>
      <x:c r="B223" s="30" t="str">
        <x:v>Office &amp; Admin</x:v>
      </x:c>
      <x:c r="C223" s="30" t="str">
        <x:v>Fixed</x:v>
      </x:c>
      <x:c r="D223" s="31" t="n">
        <x:v>46996</x:v>
      </x:c>
      <x:c r="E223" s="31" t="n">
        <x:v>46996</x:v>
      </x:c>
      <x:c r="F223" s="31" t="n">
        <x:f>D223-E223</x:f>
        <x:v>0</x:v>
      </x:c>
      <x:c r="G223" s="30"/>
      <x:c r="H223" s="30"/>
      <x:c r="I223" s="30"/>
      <x:c r="J223" s="30"/>
      <x:c r="K223" s="30"/>
      <x:c r="L223" s="30"/>
    </x:row>
    <x:row r="224">
      <x:c r="A224" s="32" t="n">
        <x:v>46235</x:v>
      </x:c>
      <x:c r="B224" s="30" t="str">
        <x:v>Professional Services</x:v>
      </x:c>
      <x:c r="C224" s="30" t="str">
        <x:v>Fixed</x:v>
      </x:c>
      <x:c r="D224" s="31" t="n">
        <x:v>27288</x:v>
      </x:c>
      <x:c r="E224" s="31" t="n">
        <x:v>27288</x:v>
      </x:c>
      <x:c r="F224" s="31" t="n">
        <x:f>D224-E224</x:f>
        <x:v>0</x:v>
      </x:c>
      <x:c r="G224" s="30"/>
      <x:c r="H224" s="30"/>
      <x:c r="I224" s="30"/>
      <x:c r="J224" s="30"/>
      <x:c r="K224" s="30"/>
      <x:c r="L224" s="30"/>
    </x:row>
    <x:row r="225">
      <x:c r="A225" s="32" t="n">
        <x:v>46266</x:v>
      </x:c>
      <x:c r="B225" s="30" t="str">
        <x:v>Marketing</x:v>
      </x:c>
      <x:c r="C225" s="30" t="str">
        <x:v>Variable</x:v>
      </x:c>
      <x:c r="D225" s="31" t="n">
        <x:v>137520</x:v>
      </x:c>
      <x:c r="E225" s="31" t="n">
        <x:v>137520</x:v>
      </x:c>
      <x:c r="F225" s="31" t="n">
        <x:f>D225-E225</x:f>
        <x:v>0</x:v>
      </x:c>
      <x:c r="G225" s="30"/>
      <x:c r="H225" s="30"/>
      <x:c r="I225" s="30"/>
      <x:c r="J225" s="30"/>
      <x:c r="K225" s="30"/>
      <x:c r="L225" s="30"/>
    </x:row>
    <x:row r="226">
      <x:c r="A226" s="32" t="n">
        <x:v>46266</x:v>
      </x:c>
      <x:c r="B226" s="30" t="str">
        <x:v>Cloud &amp; API</x:v>
      </x:c>
      <x:c r="C226" s="30" t="str">
        <x:v>Variable</x:v>
      </x:c>
      <x:c r="D226" s="31" t="n">
        <x:v>52791.99</x:v>
      </x:c>
      <x:c r="E226" s="31" t="n">
        <x:v>52791.99</x:v>
      </x:c>
      <x:c r="F226" s="31" t="n">
        <x:f>D226-E226</x:f>
        <x:v>0</x:v>
      </x:c>
      <x:c r="G226" s="30"/>
      <x:c r="H226" s="30"/>
      <x:c r="I226" s="30"/>
      <x:c r="J226" s="30"/>
      <x:c r="K226" s="30"/>
      <x:c r="L226" s="30"/>
    </x:row>
    <x:row r="227">
      <x:c r="A227" s="32" t="n">
        <x:v>46266</x:v>
      </x:c>
      <x:c r="B227" s="30" t="str">
        <x:v>Software</x:v>
      </x:c>
      <x:c r="C227" s="30" t="str">
        <x:v>Fixed</x:v>
      </x:c>
      <x:c r="D227" s="31" t="n">
        <x:v>39728</x:v>
      </x:c>
      <x:c r="E227" s="31" t="n">
        <x:v>39728</x:v>
      </x:c>
      <x:c r="F227" s="31" t="n">
        <x:f>D227-E227</x:f>
        <x:v>0</x:v>
      </x:c>
      <x:c r="G227" s="30"/>
      <x:c r="H227" s="30"/>
      <x:c r="I227" s="30"/>
      <x:c r="J227" s="30"/>
      <x:c r="K227" s="30"/>
      <x:c r="L227" s="30"/>
    </x:row>
    <x:row r="228">
      <x:c r="A228" s="32" t="n">
        <x:v>46266</x:v>
      </x:c>
      <x:c r="B228" s="30" t="str">
        <x:v>Office &amp; Admin</x:v>
      </x:c>
      <x:c r="C228" s="30" t="str">
        <x:v>Fixed</x:v>
      </x:c>
      <x:c r="D228" s="31" t="n">
        <x:v>47368</x:v>
      </x:c>
      <x:c r="E228" s="31" t="n">
        <x:v>47368</x:v>
      </x:c>
      <x:c r="F228" s="31" t="n">
        <x:f>D228-E228</x:f>
        <x:v>0</x:v>
      </x:c>
      <x:c r="G228" s="30"/>
      <x:c r="H228" s="30"/>
      <x:c r="I228" s="30"/>
      <x:c r="J228" s="30"/>
      <x:c r="K228" s="30"/>
      <x:c r="L228" s="30"/>
    </x:row>
    <x:row r="229">
      <x:c r="A229" s="32" t="n">
        <x:v>46266</x:v>
      </x:c>
      <x:c r="B229" s="30" t="str">
        <x:v>Professional Services</x:v>
      </x:c>
      <x:c r="C229" s="30" t="str">
        <x:v>Fixed</x:v>
      </x:c>
      <x:c r="D229" s="31" t="n">
        <x:v>27504</x:v>
      </x:c>
      <x:c r="E229" s="31" t="n">
        <x:v>27504</x:v>
      </x:c>
      <x:c r="F229" s="31" t="n">
        <x:f>D229-E229</x:f>
        <x:v>0</x:v>
      </x:c>
      <x:c r="G229" s="30"/>
      <x:c r="H229" s="30"/>
      <x:c r="I229" s="30"/>
      <x:c r="J229" s="30"/>
      <x:c r="K229" s="30"/>
      <x:c r="L229" s="30"/>
    </x:row>
    <x:row r="230">
      <x:c r="A230" s="32" t="n">
        <x:v>46296</x:v>
      </x:c>
      <x:c r="B230" s="30" t="str">
        <x:v>Marketing</x:v>
      </x:c>
      <x:c r="C230" s="30" t="str">
        <x:v>Variable</x:v>
      </x:c>
      <x:c r="D230" s="31" t="n">
        <x:v>138600</x:v>
      </x:c>
      <x:c r="E230" s="31" t="n">
        <x:v>138600</x:v>
      </x:c>
      <x:c r="F230" s="31" t="n">
        <x:f>D230-E230</x:f>
        <x:v>0</x:v>
      </x:c>
      <x:c r="G230" s="30"/>
      <x:c r="H230" s="30"/>
      <x:c r="I230" s="30"/>
      <x:c r="J230" s="30"/>
      <x:c r="K230" s="30"/>
      <x:c r="L230" s="30"/>
    </x:row>
    <x:row r="231">
      <x:c r="A231" s="32" t="n">
        <x:v>46296</x:v>
      </x:c>
      <x:c r="B231" s="30" t="str">
        <x:v>Cloud &amp; API</x:v>
      </x:c>
      <x:c r="C231" s="30" t="str">
        <x:v>Variable</x:v>
      </x:c>
      <x:c r="D231" s="31" t="n">
        <x:v>53841.23</x:v>
      </x:c>
      <x:c r="E231" s="31" t="n">
        <x:v>53841.23</x:v>
      </x:c>
      <x:c r="F231" s="31" t="n">
        <x:f>D231-E231</x:f>
        <x:v>0</x:v>
      </x:c>
      <x:c r="G231" s="30"/>
      <x:c r="H231" s="30"/>
      <x:c r="I231" s="30"/>
      <x:c r="J231" s="30"/>
      <x:c r="K231" s="30"/>
      <x:c r="L231" s="30"/>
    </x:row>
    <x:row r="232">
      <x:c r="A232" s="32" t="n">
        <x:v>46296</x:v>
      </x:c>
      <x:c r="B232" s="30" t="str">
        <x:v>Software</x:v>
      </x:c>
      <x:c r="C232" s="30" t="str">
        <x:v>Fixed</x:v>
      </x:c>
      <x:c r="D232" s="31" t="n">
        <x:v>40040</x:v>
      </x:c>
      <x:c r="E232" s="31" t="n">
        <x:v>40040</x:v>
      </x:c>
      <x:c r="F232" s="31" t="n">
        <x:f>D232-E232</x:f>
        <x:v>0</x:v>
      </x:c>
      <x:c r="G232" s="30"/>
      <x:c r="H232" s="30"/>
      <x:c r="I232" s="30"/>
      <x:c r="J232" s="30"/>
      <x:c r="K232" s="30"/>
      <x:c r="L232" s="30"/>
    </x:row>
    <x:row r="233">
      <x:c r="A233" s="32" t="n">
        <x:v>46296</x:v>
      </x:c>
      <x:c r="B233" s="30" t="str">
        <x:v>Office &amp; Admin</x:v>
      </x:c>
      <x:c r="C233" s="30" t="str">
        <x:v>Fixed</x:v>
      </x:c>
      <x:c r="D233" s="31" t="n">
        <x:v>47740</x:v>
      </x:c>
      <x:c r="E233" s="31" t="n">
        <x:v>47740</x:v>
      </x:c>
      <x:c r="F233" s="31" t="n">
        <x:f>D233-E233</x:f>
        <x:v>0</x:v>
      </x:c>
      <x:c r="G233" s="30"/>
      <x:c r="H233" s="30"/>
      <x:c r="I233" s="30"/>
      <x:c r="J233" s="30"/>
      <x:c r="K233" s="30"/>
      <x:c r="L233" s="30"/>
    </x:row>
    <x:row r="234">
      <x:c r="A234" s="32" t="n">
        <x:v>46296</x:v>
      </x:c>
      <x:c r="B234" s="30" t="str">
        <x:v>Professional Services</x:v>
      </x:c>
      <x:c r="C234" s="30" t="str">
        <x:v>Fixed</x:v>
      </x:c>
      <x:c r="D234" s="31" t="n">
        <x:v>27720</x:v>
      </x:c>
      <x:c r="E234" s="31" t="n">
        <x:v>27720</x:v>
      </x:c>
      <x:c r="F234" s="31" t="n">
        <x:f>D234-E234</x:f>
        <x:v>0</x:v>
      </x:c>
      <x:c r="G234" s="30"/>
      <x:c r="H234" s="30"/>
      <x:c r="I234" s="30"/>
      <x:c r="J234" s="30"/>
      <x:c r="K234" s="30"/>
      <x:c r="L234" s="30"/>
    </x:row>
    <x:row r="235">
      <x:c r="A235" s="32" t="n">
        <x:v>46327</x:v>
      </x:c>
      <x:c r="B235" s="30" t="str">
        <x:v>Marketing</x:v>
      </x:c>
      <x:c r="C235" s="30" t="str">
        <x:v>Variable</x:v>
      </x:c>
      <x:c r="D235" s="31" t="n">
        <x:v>139680</x:v>
      </x:c>
      <x:c r="E235" s="31" t="n">
        <x:v>139680</x:v>
      </x:c>
      <x:c r="F235" s="31" t="n">
        <x:f>D235-E235</x:f>
        <x:v>0</x:v>
      </x:c>
      <x:c r="G235" s="30"/>
      <x:c r="H235" s="30"/>
      <x:c r="I235" s="30"/>
      <x:c r="J235" s="30"/>
      <x:c r="K235" s="30"/>
      <x:c r="L235" s="30"/>
    </x:row>
    <x:row r="236">
      <x:c r="A236" s="32" t="n">
        <x:v>46327</x:v>
      </x:c>
      <x:c r="B236" s="30" t="str">
        <x:v>Cloud &amp; API</x:v>
      </x:c>
      <x:c r="C236" s="30" t="str">
        <x:v>Variable</x:v>
      </x:c>
      <x:c r="D236" s="31" t="n">
        <x:v>54948.13</x:v>
      </x:c>
      <x:c r="E236" s="31" t="n">
        <x:v>54948.13</x:v>
      </x:c>
      <x:c r="F236" s="31" t="n">
        <x:f>D236-E236</x:f>
        <x:v>0</x:v>
      </x:c>
      <x:c r="G236" s="30"/>
      <x:c r="H236" s="30"/>
      <x:c r="I236" s="30"/>
      <x:c r="J236" s="30"/>
      <x:c r="K236" s="30"/>
      <x:c r="L236" s="30"/>
    </x:row>
    <x:row r="237">
      <x:c r="A237" s="32" t="n">
        <x:v>46327</x:v>
      </x:c>
      <x:c r="B237" s="30" t="str">
        <x:v>Software</x:v>
      </x:c>
      <x:c r="C237" s="30" t="str">
        <x:v>Fixed</x:v>
      </x:c>
      <x:c r="D237" s="31" t="n">
        <x:v>40352</x:v>
      </x:c>
      <x:c r="E237" s="31" t="n">
        <x:v>40352</x:v>
      </x:c>
      <x:c r="F237" s="31" t="n">
        <x:f>D237-E237</x:f>
        <x:v>0</x:v>
      </x:c>
      <x:c r="G237" s="30"/>
      <x:c r="H237" s="30"/>
      <x:c r="I237" s="30"/>
      <x:c r="J237" s="30"/>
      <x:c r="K237" s="30"/>
      <x:c r="L237" s="30"/>
    </x:row>
    <x:row r="238">
      <x:c r="A238" s="32" t="n">
        <x:v>46327</x:v>
      </x:c>
      <x:c r="B238" s="30" t="str">
        <x:v>Office &amp; Admin</x:v>
      </x:c>
      <x:c r="C238" s="30" t="str">
        <x:v>Fixed</x:v>
      </x:c>
      <x:c r="D238" s="31" t="n">
        <x:v>48112</x:v>
      </x:c>
      <x:c r="E238" s="31" t="n">
        <x:v>48112</x:v>
      </x:c>
      <x:c r="F238" s="31" t="n">
        <x:f>D238-E238</x:f>
        <x:v>0</x:v>
      </x:c>
      <x:c r="G238" s="30"/>
      <x:c r="H238" s="30"/>
      <x:c r="I238" s="30"/>
      <x:c r="J238" s="30"/>
      <x:c r="K238" s="30"/>
      <x:c r="L238" s="30"/>
    </x:row>
    <x:row r="239">
      <x:c r="A239" s="32" t="n">
        <x:v>46327</x:v>
      </x:c>
      <x:c r="B239" s="30" t="str">
        <x:v>Professional Services</x:v>
      </x:c>
      <x:c r="C239" s="30" t="str">
        <x:v>Fixed</x:v>
      </x:c>
      <x:c r="D239" s="31" t="n">
        <x:v>27936</x:v>
      </x:c>
      <x:c r="E239" s="31" t="n">
        <x:v>27936</x:v>
      </x:c>
      <x:c r="F239" s="31" t="n">
        <x:f>D239-E239</x:f>
        <x:v>0</x:v>
      </x:c>
      <x:c r="G239" s="30"/>
      <x:c r="H239" s="30"/>
      <x:c r="I239" s="30"/>
      <x:c r="J239" s="30"/>
      <x:c r="K239" s="30"/>
      <x:c r="L239" s="30"/>
    </x:row>
    <x:row r="240">
      <x:c r="A240" s="32" t="n">
        <x:v>46357</x:v>
      </x:c>
      <x:c r="B240" s="30" t="str">
        <x:v>Marketing</x:v>
      </x:c>
      <x:c r="C240" s="30" t="str">
        <x:v>Variable</x:v>
      </x:c>
      <x:c r="D240" s="31" t="n">
        <x:v>140760</x:v>
      </x:c>
      <x:c r="E240" s="31" t="n">
        <x:v>140760</x:v>
      </x:c>
      <x:c r="F240" s="31" t="n">
        <x:f>D240-E240</x:f>
        <x:v>0</x:v>
      </x:c>
      <x:c r="G240" s="30"/>
      <x:c r="H240" s="30"/>
      <x:c r="I240" s="30"/>
      <x:c r="J240" s="30"/>
      <x:c r="K240" s="30"/>
      <x:c r="L240" s="30"/>
    </x:row>
    <x:row r="241">
      <x:c r="A241" s="32" t="n">
        <x:v>46357</x:v>
      </x:c>
      <x:c r="B241" s="30" t="str">
        <x:v>Cloud &amp; API</x:v>
      </x:c>
      <x:c r="C241" s="30" t="str">
        <x:v>Variable</x:v>
      </x:c>
      <x:c r="D241" s="31" t="n">
        <x:v>56112.68</x:v>
      </x:c>
      <x:c r="E241" s="31" t="n">
        <x:v>56112.68</x:v>
      </x:c>
      <x:c r="F241" s="31" t="n">
        <x:f>D241-E241</x:f>
        <x:v>0</x:v>
      </x:c>
      <x:c r="G241" s="30"/>
      <x:c r="H241" s="30"/>
      <x:c r="I241" s="30"/>
      <x:c r="J241" s="30"/>
      <x:c r="K241" s="30"/>
      <x:c r="L241" s="30"/>
    </x:row>
    <x:row r="242">
      <x:c r="A242" s="32" t="n">
        <x:v>46357</x:v>
      </x:c>
      <x:c r="B242" s="30" t="str">
        <x:v>Software</x:v>
      </x:c>
      <x:c r="C242" s="30" t="str">
        <x:v>Fixed</x:v>
      </x:c>
      <x:c r="D242" s="31" t="n">
        <x:v>40664</x:v>
      </x:c>
      <x:c r="E242" s="31" t="n">
        <x:v>40664</x:v>
      </x:c>
      <x:c r="F242" s="31" t="n">
        <x:f>D242-E242</x:f>
        <x:v>0</x:v>
      </x:c>
      <x:c r="G242" s="30"/>
      <x:c r="H242" s="30"/>
      <x:c r="I242" s="30"/>
      <x:c r="J242" s="30"/>
      <x:c r="K242" s="30"/>
      <x:c r="L242" s="30"/>
    </x:row>
    <x:row r="243">
      <x:c r="A243" s="32" t="n">
        <x:v>46357</x:v>
      </x:c>
      <x:c r="B243" s="30" t="str">
        <x:v>Office &amp; Admin</x:v>
      </x:c>
      <x:c r="C243" s="30" t="str">
        <x:v>Fixed</x:v>
      </x:c>
      <x:c r="D243" s="31" t="n">
        <x:v>48484</x:v>
      </x:c>
      <x:c r="E243" s="31" t="n">
        <x:v>48484</x:v>
      </x:c>
      <x:c r="F243" s="31" t="n">
        <x:f>D243-E243</x:f>
        <x:v>0</x:v>
      </x:c>
      <x:c r="G243" s="30"/>
      <x:c r="H243" s="30"/>
      <x:c r="I243" s="30"/>
      <x:c r="J243" s="30"/>
      <x:c r="K243" s="30"/>
      <x:c r="L243" s="30"/>
    </x:row>
    <x:row r="244">
      <x:c r="A244" s="32" t="n">
        <x:v>46357</x:v>
      </x:c>
      <x:c r="B244" s="30" t="str">
        <x:v>Professional Services</x:v>
      </x:c>
      <x:c r="C244" s="30" t="str">
        <x:v>Fixed</x:v>
      </x:c>
      <x:c r="D244" s="31" t="n">
        <x:v>28152</x:v>
      </x:c>
      <x:c r="E244" s="31" t="n">
        <x:v>28152</x:v>
      </x:c>
      <x:c r="F244" s="31" t="n">
        <x:f>D244-E244</x:f>
        <x:v>0</x:v>
      </x:c>
      <x:c r="G244" s="30"/>
      <x:c r="H244" s="30"/>
      <x:c r="I244" s="30"/>
      <x:c r="J244" s="30"/>
      <x:c r="K244" s="30"/>
      <x:c r="L244" s="30"/>
    </x:row>
  </x:sheetData>
  <x:mergeCells>
    <x:mergeCell ref="A1:L1"/>
    <x:mergeCell ref="A2:L2"/>
  </x:mergeCells>
  <x:conditionalFormatting sqref="F5:F244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23" t="str">
        <x:v>Headcount model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" customHeight="1">
      <x:c r="A2" s="29" t="str">
        <x:v>Planned versus actual staffing and monthly personnel cost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26" t="str">
        <x:v>Month</x:v>
      </x:c>
      <x:c r="B4" s="26" t="str">
        <x:v>Department</x:v>
      </x:c>
      <x:c r="C4" s="26" t="str">
        <x:v>Planned HC</x:v>
      </x:c>
      <x:c r="D4" s="26" t="str">
        <x:v>Actual HC</x:v>
      </x:c>
      <x:c r="E4" s="26" t="str">
        <x:v>Reported HC</x:v>
      </x:c>
      <x:c r="F4" s="26" t="str">
        <x:v>Salary</x:v>
      </x:c>
      <x:c r="G4" s="26" t="str">
        <x:v>Benefits</x:v>
      </x:c>
      <x:c r="H4" s="26" t="str">
        <x:v>Personnel cost</x:v>
      </x:c>
      <x:c r="I4" s="30"/>
      <x:c r="J4" s="30"/>
      <x:c r="K4" s="30"/>
      <x:c r="L4" s="30"/>
    </x:row>
    <x:row r="5">
      <x:c r="A5" s="32" t="n">
        <x:v>44927</x:v>
      </x:c>
      <x:c r="B5" s="30" t="str">
        <x:v>Engineering</x:v>
      </x:c>
      <x:c r="C5" s="30" t="n">
        <x:v>0</x:v>
      </x:c>
      <x:c r="D5" s="30" t="n">
        <x:v>1</x:v>
      </x:c>
      <x:c r="E5" s="30" t="n">
        <x:v>1</x:v>
      </x:c>
      <x:c r="F5" s="31" t="n">
        <x:v>12008.333333333334</x:v>
      </x:c>
      <x:c r="G5" s="31" t="n">
        <x:v>2641.8333333333335</x:v>
      </x:c>
      <x:c r="H5" s="31" t="n">
        <x:v>14650.166666666668</x:v>
      </x:c>
      <x:c r="I5" s="30"/>
      <x:c r="J5" s="30"/>
      <x:c r="K5" s="30"/>
      <x:c r="L5" s="30"/>
    </x:row>
    <x:row r="6">
      <x:c r="A6" s="32" t="n">
        <x:v>44927</x:v>
      </x:c>
      <x:c r="B6" s="30" t="str">
        <x:v>Sales</x:v>
      </x:c>
      <x:c r="C6" s="30" t="n">
        <x:v>0</x:v>
      </x:c>
      <x:c r="D6" s="30" t="n">
        <x:v>0</x:v>
      </x:c>
      <x:c r="E6" s="30" t="n">
        <x:v>0</x:v>
      </x:c>
      <x:c r="F6" s="31" t="n">
        <x:v>0</x:v>
      </x:c>
      <x:c r="G6" s="31" t="n">
        <x:v>0</x:v>
      </x:c>
      <x:c r="H6" s="31" t="n">
        <x:v>0</x:v>
      </x:c>
      <x:c r="I6" s="30"/>
      <x:c r="J6" s="30"/>
      <x:c r="K6" s="30"/>
      <x:c r="L6" s="30"/>
    </x:row>
    <x:row r="7">
      <x:c r="A7" s="32" t="n">
        <x:v>44927</x:v>
      </x:c>
      <x:c r="B7" s="30" t="str">
        <x:v>Marketing</x:v>
      </x:c>
      <x:c r="C7" s="30" t="n">
        <x:v>0</x:v>
      </x:c>
      <x:c r="D7" s="30" t="n">
        <x:v>0</x:v>
      </x:c>
      <x:c r="E7" s="30" t="n">
        <x:v>0</x:v>
      </x:c>
      <x:c r="F7" s="31" t="n">
        <x:v>0</x:v>
      </x:c>
      <x:c r="G7" s="31" t="n">
        <x:v>0</x:v>
      </x:c>
      <x:c r="H7" s="31" t="n">
        <x:v>0</x:v>
      </x:c>
      <x:c r="I7" s="30"/>
      <x:c r="J7" s="30"/>
      <x:c r="K7" s="30"/>
      <x:c r="L7" s="30"/>
    </x:row>
    <x:row r="8">
      <x:c r="A8" s="32" t="n">
        <x:v>44927</x:v>
      </x:c>
      <x:c r="B8" s="30" t="str">
        <x:v>Customer Success</x:v>
      </x:c>
      <x:c r="C8" s="30" t="n">
        <x:v>1</x:v>
      </x:c>
      <x:c r="D8" s="30" t="n">
        <x:v>1</x:v>
      </x:c>
      <x:c r="E8" s="30" t="n">
        <x:v>1</x:v>
      </x:c>
      <x:c r="F8" s="31" t="n">
        <x:v>8925</x:v>
      </x:c>
      <x:c r="G8" s="31" t="n">
        <x:v>1963.5</x:v>
      </x:c>
      <x:c r="H8" s="31" t="n">
        <x:v>10888.5</x:v>
      </x:c>
      <x:c r="I8" s="30"/>
      <x:c r="J8" s="30"/>
      <x:c r="K8" s="30"/>
      <x:c r="L8" s="30"/>
    </x:row>
    <x:row r="9">
      <x:c r="A9" s="32" t="n">
        <x:v>44927</x:v>
      </x:c>
      <x:c r="B9" s="30" t="str">
        <x:v>G&amp;A</x:v>
      </x:c>
      <x:c r="C9" s="30" t="n">
        <x:v>0</x:v>
      </x:c>
      <x:c r="D9" s="30" t="n">
        <x:v>0</x:v>
      </x:c>
      <x:c r="E9" s="30" t="n">
        <x:v>0</x:v>
      </x:c>
      <x:c r="F9" s="31" t="n">
        <x:v>0</x:v>
      </x:c>
      <x:c r="G9" s="31" t="n">
        <x:v>0</x:v>
      </x:c>
      <x:c r="H9" s="31" t="n">
        <x:v>0</x:v>
      </x:c>
      <x:c r="I9" s="30"/>
      <x:c r="J9" s="30"/>
      <x:c r="K9" s="30"/>
      <x:c r="L9" s="30"/>
    </x:row>
    <x:row r="10">
      <x:c r="A10" s="32" t="n">
        <x:v>44958</x:v>
      </x:c>
      <x:c r="B10" s="30" t="str">
        <x:v>Engineering</x:v>
      </x:c>
      <x:c r="C10" s="30" t="n">
        <x:v>1</x:v>
      </x:c>
      <x:c r="D10" s="30" t="n">
        <x:v>1</x:v>
      </x:c>
      <x:c r="E10" s="30" t="n">
        <x:v>1</x:v>
      </x:c>
      <x:c r="F10" s="31" t="n">
        <x:v>12008.333333333334</x:v>
      </x:c>
      <x:c r="G10" s="31" t="n">
        <x:v>2641.8333333333335</x:v>
      </x:c>
      <x:c r="H10" s="31" t="n">
        <x:v>14650.166666666668</x:v>
      </x:c>
      <x:c r="I10" s="30"/>
      <x:c r="J10" s="30"/>
      <x:c r="K10" s="30"/>
      <x:c r="L10" s="30"/>
    </x:row>
    <x:row r="11">
      <x:c r="A11" s="32" t="n">
        <x:v>44958</x:v>
      </x:c>
      <x:c r="B11" s="30" t="str">
        <x:v>Sales</x:v>
      </x:c>
      <x:c r="C11" s="30" t="n">
        <x:v>0</x:v>
      </x:c>
      <x:c r="D11" s="30" t="n">
        <x:v>0</x:v>
      </x:c>
      <x:c r="E11" s="30" t="n">
        <x:v>0</x:v>
      </x:c>
      <x:c r="F11" s="31" t="n">
        <x:v>0</x:v>
      </x:c>
      <x:c r="G11" s="31" t="n">
        <x:v>0</x:v>
      </x:c>
      <x:c r="H11" s="31" t="n">
        <x:v>0</x:v>
      </x:c>
      <x:c r="I11" s="30"/>
      <x:c r="J11" s="30"/>
      <x:c r="K11" s="30"/>
      <x:c r="L11" s="30"/>
    </x:row>
    <x:row r="12">
      <x:c r="A12" s="32" t="n">
        <x:v>44958</x:v>
      </x:c>
      <x:c r="B12" s="30" t="str">
        <x:v>Marketing</x:v>
      </x:c>
      <x:c r="C12" s="30" t="n">
        <x:v>0</x:v>
      </x:c>
      <x:c r="D12" s="30" t="n">
        <x:v>0</x:v>
      </x:c>
      <x:c r="E12" s="30" t="n">
        <x:v>0</x:v>
      </x:c>
      <x:c r="F12" s="31" t="n">
        <x:v>0</x:v>
      </x:c>
      <x:c r="G12" s="31" t="n">
        <x:v>0</x:v>
      </x:c>
      <x:c r="H12" s="31" t="n">
        <x:v>0</x:v>
      </x:c>
      <x:c r="I12" s="30"/>
      <x:c r="J12" s="30"/>
      <x:c r="K12" s="30"/>
      <x:c r="L12" s="30"/>
    </x:row>
    <x:row r="13">
      <x:c r="A13" s="32" t="n">
        <x:v>44958</x:v>
      </x:c>
      <x:c r="B13" s="30" t="str">
        <x:v>Customer Success</x:v>
      </x:c>
      <x:c r="C13" s="30" t="n">
        <x:v>1</x:v>
      </x:c>
      <x:c r="D13" s="30" t="n">
        <x:v>1</x:v>
      </x:c>
      <x:c r="E13" s="30" t="n">
        <x:v>1</x:v>
      </x:c>
      <x:c r="F13" s="31" t="n">
        <x:v>8925</x:v>
      </x:c>
      <x:c r="G13" s="31" t="n">
        <x:v>1963.5</x:v>
      </x:c>
      <x:c r="H13" s="31" t="n">
        <x:v>10888.5</x:v>
      </x:c>
      <x:c r="I13" s="30"/>
      <x:c r="J13" s="30"/>
      <x:c r="K13" s="30"/>
      <x:c r="L13" s="30"/>
    </x:row>
    <x:row r="14">
      <x:c r="A14" s="32" t="n">
        <x:v>44958</x:v>
      </x:c>
      <x:c r="B14" s="30" t="str">
        <x:v>G&amp;A</x:v>
      </x:c>
      <x:c r="C14" s="30" t="n">
        <x:v>0</x:v>
      </x:c>
      <x:c r="D14" s="30" t="n">
        <x:v>0</x:v>
      </x:c>
      <x:c r="E14" s="30" t="n">
        <x:v>0</x:v>
      </x:c>
      <x:c r="F14" s="31" t="n">
        <x:v>0</x:v>
      </x:c>
      <x:c r="G14" s="31" t="n">
        <x:v>0</x:v>
      </x:c>
      <x:c r="H14" s="31" t="n">
        <x:v>0</x:v>
      </x:c>
      <x:c r="I14" s="30"/>
      <x:c r="J14" s="30"/>
      <x:c r="K14" s="30"/>
      <x:c r="L14" s="30"/>
    </x:row>
    <x:row r="15">
      <x:c r="A15" s="32" t="n">
        <x:v>44986</x:v>
      </x:c>
      <x:c r="B15" s="30" t="str">
        <x:v>Engineering</x:v>
      </x:c>
      <x:c r="C15" s="30" t="n">
        <x:v>2</x:v>
      </x:c>
      <x:c r="D15" s="30" t="n">
        <x:v>2</x:v>
      </x:c>
      <x:c r="E15" s="30" t="n">
        <x:v>2</x:v>
      </x:c>
      <x:c r="F15" s="31" t="n">
        <x:v>21608.333333333332</x:v>
      </x:c>
      <x:c r="G15" s="31" t="n">
        <x:v>4753.833333333333</x:v>
      </x:c>
      <x:c r="H15" s="31" t="n">
        <x:v>26362.166666666664</x:v>
      </x:c>
      <x:c r="I15" s="30"/>
      <x:c r="J15" s="30"/>
      <x:c r="K15" s="30"/>
      <x:c r="L15" s="30"/>
    </x:row>
    <x:row r="16">
      <x:c r="A16" s="32" t="n">
        <x:v>44986</x:v>
      </x:c>
      <x:c r="B16" s="30" t="str">
        <x:v>Sales</x:v>
      </x:c>
      <x:c r="C16" s="30" t="n">
        <x:v>0</x:v>
      </x:c>
      <x:c r="D16" s="30" t="n">
        <x:v>1</x:v>
      </x:c>
      <x:c r="E16" s="30" t="n">
        <x:v>1</x:v>
      </x:c>
      <x:c r="F16" s="31" t="n">
        <x:v>11100</x:v>
      </x:c>
      <x:c r="G16" s="31" t="n">
        <x:v>2442</x:v>
      </x:c>
      <x:c r="H16" s="31" t="n">
        <x:v>13542</x:v>
      </x:c>
      <x:c r="I16" s="30"/>
      <x:c r="J16" s="30"/>
      <x:c r="K16" s="30"/>
      <x:c r="L16" s="30"/>
    </x:row>
    <x:row r="17">
      <x:c r="A17" s="32" t="n">
        <x:v>44986</x:v>
      </x:c>
      <x:c r="B17" s="30" t="str">
        <x:v>Marketing</x:v>
      </x:c>
      <x:c r="C17" s="30" t="n">
        <x:v>0</x:v>
      </x:c>
      <x:c r="D17" s="30" t="n">
        <x:v>0</x:v>
      </x:c>
      <x:c r="E17" s="30" t="n">
        <x:v>0</x:v>
      </x:c>
      <x:c r="F17" s="31" t="n">
        <x:v>0</x:v>
      </x:c>
      <x:c r="G17" s="31" t="n">
        <x:v>0</x:v>
      </x:c>
      <x:c r="H17" s="31" t="n">
        <x:v>0</x:v>
      </x:c>
      <x:c r="I17" s="30"/>
      <x:c r="J17" s="30"/>
      <x:c r="K17" s="30"/>
      <x:c r="L17" s="30"/>
    </x:row>
    <x:row r="18">
      <x:c r="A18" s="32" t="n">
        <x:v>44986</x:v>
      </x:c>
      <x:c r="B18" s="30" t="str">
        <x:v>Customer Success</x:v>
      </x:c>
      <x:c r="C18" s="30" t="n">
        <x:v>1</x:v>
      </x:c>
      <x:c r="D18" s="30" t="n">
        <x:v>1</x:v>
      </x:c>
      <x:c r="E18" s="30" t="n">
        <x:v>1</x:v>
      </x:c>
      <x:c r="F18" s="31" t="n">
        <x:v>8925</x:v>
      </x:c>
      <x:c r="G18" s="31" t="n">
        <x:v>1963.5</x:v>
      </x:c>
      <x:c r="H18" s="31" t="n">
        <x:v>10888.5</x:v>
      </x:c>
      <x:c r="I18" s="30"/>
      <x:c r="J18" s="30"/>
      <x:c r="K18" s="30"/>
      <x:c r="L18" s="30"/>
    </x:row>
    <x:row r="19">
      <x:c r="A19" s="32" t="n">
        <x:v>44986</x:v>
      </x:c>
      <x:c r="B19" s="30" t="str">
        <x:v>G&amp;A</x:v>
      </x:c>
      <x:c r="C19" s="30" t="n">
        <x:v>1</x:v>
      </x:c>
      <x:c r="D19" s="30" t="n">
        <x:v>0</x:v>
      </x:c>
      <x:c r="E19" s="30" t="n">
        <x:v>0</x:v>
      </x:c>
      <x:c r="F19" s="31" t="n">
        <x:v>0</x:v>
      </x:c>
      <x:c r="G19" s="31" t="n">
        <x:v>0</x:v>
      </x:c>
      <x:c r="H19" s="31" t="n">
        <x:v>0</x:v>
      </x:c>
      <x:c r="I19" s="30"/>
      <x:c r="J19" s="30"/>
      <x:c r="K19" s="30"/>
      <x:c r="L19" s="30"/>
    </x:row>
    <x:row r="20">
      <x:c r="A20" s="32" t="n">
        <x:v>45017</x:v>
      </x:c>
      <x:c r="B20" s="30" t="str">
        <x:v>Engineering</x:v>
      </x:c>
      <x:c r="C20" s="30" t="n">
        <x:v>2</x:v>
      </x:c>
      <x:c r="D20" s="30" t="n">
        <x:v>2</x:v>
      </x:c>
      <x:c r="E20" s="30" t="n">
        <x:v>2</x:v>
      </x:c>
      <x:c r="F20" s="31" t="n">
        <x:v>21608.333333333332</x:v>
      </x:c>
      <x:c r="G20" s="31" t="n">
        <x:v>4753.833333333333</x:v>
      </x:c>
      <x:c r="H20" s="31" t="n">
        <x:v>26362.166666666664</x:v>
      </x:c>
      <x:c r="I20" s="30"/>
      <x:c r="J20" s="30"/>
      <x:c r="K20" s="30"/>
      <x:c r="L20" s="30"/>
    </x:row>
    <x:row r="21">
      <x:c r="A21" s="32" t="n">
        <x:v>45017</x:v>
      </x:c>
      <x:c r="B21" s="30" t="str">
        <x:v>Sales</x:v>
      </x:c>
      <x:c r="C21" s="30" t="n">
        <x:v>1</x:v>
      </x:c>
      <x:c r="D21" s="30" t="n">
        <x:v>1</x:v>
      </x:c>
      <x:c r="E21" s="30" t="n">
        <x:v>1</x:v>
      </x:c>
      <x:c r="F21" s="31" t="n">
        <x:v>11100</x:v>
      </x:c>
      <x:c r="G21" s="31" t="n">
        <x:v>2442</x:v>
      </x:c>
      <x:c r="H21" s="31" t="n">
        <x:v>13542</x:v>
      </x:c>
      <x:c r="I21" s="30"/>
      <x:c r="J21" s="30"/>
      <x:c r="K21" s="30"/>
      <x:c r="L21" s="30"/>
    </x:row>
    <x:row r="22">
      <x:c r="A22" s="32" t="n">
        <x:v>45017</x:v>
      </x:c>
      <x:c r="B22" s="30" t="str">
        <x:v>Marketing</x:v>
      </x:c>
      <x:c r="C22" s="30" t="n">
        <x:v>0</x:v>
      </x:c>
      <x:c r="D22" s="30" t="n">
        <x:v>0</x:v>
      </x:c>
      <x:c r="E22" s="30" t="n">
        <x:v>0</x:v>
      </x:c>
      <x:c r="F22" s="31" t="n">
        <x:v>0</x:v>
      </x:c>
      <x:c r="G22" s="31" t="n">
        <x:v>0</x:v>
      </x:c>
      <x:c r="H22" s="31" t="n">
        <x:v>0</x:v>
      </x:c>
      <x:c r="I22" s="30"/>
      <x:c r="J22" s="30"/>
      <x:c r="K22" s="30"/>
      <x:c r="L22" s="30"/>
    </x:row>
    <x:row r="23">
      <x:c r="A23" s="32" t="n">
        <x:v>45017</x:v>
      </x:c>
      <x:c r="B23" s="30" t="str">
        <x:v>Customer Success</x:v>
      </x:c>
      <x:c r="C23" s="30" t="n">
        <x:v>1</x:v>
      </x:c>
      <x:c r="D23" s="30" t="n">
        <x:v>2</x:v>
      </x:c>
      <x:c r="E23" s="30" t="n">
        <x:v>2</x:v>
      </x:c>
      <x:c r="F23" s="31" t="n">
        <x:v>18616.666666666668</x:v>
      </x:c>
      <x:c r="G23" s="31" t="n">
        <x:v>4095.666666666667</x:v>
      </x:c>
      <x:c r="H23" s="31" t="n">
        <x:v>22712.333333333336</x:v>
      </x:c>
      <x:c r="I23" s="30"/>
      <x:c r="J23" s="30"/>
      <x:c r="K23" s="30"/>
      <x:c r="L23" s="30"/>
    </x:row>
    <x:row r="24">
      <x:c r="A24" s="32" t="n">
        <x:v>45017</x:v>
      </x:c>
      <x:c r="B24" s="30" t="str">
        <x:v>G&amp;A</x:v>
      </x:c>
      <x:c r="C24" s="30" t="n">
        <x:v>1</x:v>
      </x:c>
      <x:c r="D24" s="30" t="n">
        <x:v>1</x:v>
      </x:c>
      <x:c r="E24" s="30" t="n">
        <x:v>1</x:v>
      </x:c>
      <x:c r="F24" s="31" t="n">
        <x:v>11641.666666666666</x:v>
      </x:c>
      <x:c r="G24" s="31" t="n">
        <x:v>2561.1666666666665</x:v>
      </x:c>
      <x:c r="H24" s="31" t="n">
        <x:v>14202.833333333332</x:v>
      </x:c>
      <x:c r="I24" s="30"/>
      <x:c r="J24" s="30"/>
      <x:c r="K24" s="30"/>
      <x:c r="L24" s="30"/>
    </x:row>
    <x:row r="25">
      <x:c r="A25" s="32" t="n">
        <x:v>45047</x:v>
      </x:c>
      <x:c r="B25" s="30" t="str">
        <x:v>Engineering</x:v>
      </x:c>
      <x:c r="C25" s="30" t="n">
        <x:v>2</x:v>
      </x:c>
      <x:c r="D25" s="30" t="n">
        <x:v>2</x:v>
      </x:c>
      <x:c r="E25" s="30" t="n">
        <x:v>2</x:v>
      </x:c>
      <x:c r="F25" s="31" t="n">
        <x:v>21608.333333333332</x:v>
      </x:c>
      <x:c r="G25" s="31" t="n">
        <x:v>4753.833333333333</x:v>
      </x:c>
      <x:c r="H25" s="31" t="n">
        <x:v>26362.166666666664</x:v>
      </x:c>
      <x:c r="I25" s="30"/>
      <x:c r="J25" s="30"/>
      <x:c r="K25" s="30"/>
      <x:c r="L25" s="30"/>
    </x:row>
    <x:row r="26">
      <x:c r="A26" s="32" t="n">
        <x:v>45047</x:v>
      </x:c>
      <x:c r="B26" s="30" t="str">
        <x:v>Sales</x:v>
      </x:c>
      <x:c r="C26" s="30" t="n">
        <x:v>1</x:v>
      </x:c>
      <x:c r="D26" s="30" t="n">
        <x:v>1</x:v>
      </x:c>
      <x:c r="E26" s="30" t="n">
        <x:v>1</x:v>
      </x:c>
      <x:c r="F26" s="31" t="n">
        <x:v>11100</x:v>
      </x:c>
      <x:c r="G26" s="31" t="n">
        <x:v>2442</x:v>
      </x:c>
      <x:c r="H26" s="31" t="n">
        <x:v>13542</x:v>
      </x:c>
      <x:c r="I26" s="30"/>
      <x:c r="J26" s="30"/>
      <x:c r="K26" s="30"/>
      <x:c r="L26" s="30"/>
    </x:row>
    <x:row r="27">
      <x:c r="A27" s="32" t="n">
        <x:v>45047</x:v>
      </x:c>
      <x:c r="B27" s="30" t="str">
        <x:v>Marketing</x:v>
      </x:c>
      <x:c r="C27" s="30" t="n">
        <x:v>1</x:v>
      </x:c>
      <x:c r="D27" s="30" t="n">
        <x:v>0</x:v>
      </x:c>
      <x:c r="E27" s="30" t="n">
        <x:v>0</x:v>
      </x:c>
      <x:c r="F27" s="31" t="n">
        <x:v>0</x:v>
      </x:c>
      <x:c r="G27" s="31" t="n">
        <x:v>0</x:v>
      </x:c>
      <x:c r="H27" s="31" t="n">
        <x:v>0</x:v>
      </x:c>
      <x:c r="I27" s="30"/>
      <x:c r="J27" s="30"/>
      <x:c r="K27" s="30"/>
      <x:c r="L27" s="30"/>
    </x:row>
    <x:row r="28">
      <x:c r="A28" s="32" t="n">
        <x:v>45047</x:v>
      </x:c>
      <x:c r="B28" s="30" t="str">
        <x:v>Customer Success</x:v>
      </x:c>
      <x:c r="C28" s="30" t="n">
        <x:v>2</x:v>
      </x:c>
      <x:c r="D28" s="30" t="n">
        <x:v>3</x:v>
      </x:c>
      <x:c r="E28" s="30" t="n">
        <x:v>3</x:v>
      </x:c>
      <x:c r="F28" s="31" t="n">
        <x:v>25525</x:v>
      </x:c>
      <x:c r="G28" s="31" t="n">
        <x:v>5615.5</x:v>
      </x:c>
      <x:c r="H28" s="31" t="n">
        <x:v>31140.5</x:v>
      </x:c>
      <x:c r="I28" s="30"/>
      <x:c r="J28" s="30"/>
      <x:c r="K28" s="30"/>
      <x:c r="L28" s="30"/>
    </x:row>
    <x:row r="29">
      <x:c r="A29" s="32" t="n">
        <x:v>45047</x:v>
      </x:c>
      <x:c r="B29" s="30" t="str">
        <x:v>G&amp;A</x:v>
      </x:c>
      <x:c r="C29" s="30" t="n">
        <x:v>1</x:v>
      </x:c>
      <x:c r="D29" s="30" t="n">
        <x:v>1</x:v>
      </x:c>
      <x:c r="E29" s="30" t="n">
        <x:v>1</x:v>
      </x:c>
      <x:c r="F29" s="31" t="n">
        <x:v>11641.666666666666</x:v>
      </x:c>
      <x:c r="G29" s="31" t="n">
        <x:v>2561.1666666666665</x:v>
      </x:c>
      <x:c r="H29" s="31" t="n">
        <x:v>14202.833333333332</x:v>
      </x:c>
      <x:c r="I29" s="30"/>
      <x:c r="J29" s="30"/>
      <x:c r="K29" s="30"/>
      <x:c r="L29" s="30"/>
    </x:row>
    <x:row r="30">
      <x:c r="A30" s="32" t="n">
        <x:v>45078</x:v>
      </x:c>
      <x:c r="B30" s="30" t="str">
        <x:v>Engineering</x:v>
      </x:c>
      <x:c r="C30" s="30" t="n">
        <x:v>2</x:v>
      </x:c>
      <x:c r="D30" s="30" t="n">
        <x:v>2</x:v>
      </x:c>
      <x:c r="E30" s="30" t="n">
        <x:v>2</x:v>
      </x:c>
      <x:c r="F30" s="31" t="n">
        <x:v>21608.333333333332</x:v>
      </x:c>
      <x:c r="G30" s="31" t="n">
        <x:v>4753.833333333333</x:v>
      </x:c>
      <x:c r="H30" s="31" t="n">
        <x:v>26362.166666666664</x:v>
      </x:c>
      <x:c r="I30" s="30"/>
      <x:c r="J30" s="30"/>
      <x:c r="K30" s="30"/>
      <x:c r="L30" s="30"/>
    </x:row>
    <x:row r="31">
      <x:c r="A31" s="32" t="n">
        <x:v>45078</x:v>
      </x:c>
      <x:c r="B31" s="30" t="str">
        <x:v>Sales</x:v>
      </x:c>
      <x:c r="C31" s="30" t="n">
        <x:v>1</x:v>
      </x:c>
      <x:c r="D31" s="30" t="n">
        <x:v>1</x:v>
      </x:c>
      <x:c r="E31" s="30" t="n">
        <x:v>1</x:v>
      </x:c>
      <x:c r="F31" s="31" t="n">
        <x:v>11100</x:v>
      </x:c>
      <x:c r="G31" s="31" t="n">
        <x:v>2442</x:v>
      </x:c>
      <x:c r="H31" s="31" t="n">
        <x:v>13542</x:v>
      </x:c>
      <x:c r="I31" s="30"/>
      <x:c r="J31" s="30"/>
      <x:c r="K31" s="30"/>
      <x:c r="L31" s="30"/>
    </x:row>
    <x:row r="32">
      <x:c r="A32" s="32" t="n">
        <x:v>45078</x:v>
      </x:c>
      <x:c r="B32" s="30" t="str">
        <x:v>Marketing</x:v>
      </x:c>
      <x:c r="C32" s="30" t="n">
        <x:v>1</x:v>
      </x:c>
      <x:c r="D32" s="30" t="n">
        <x:v>1</x:v>
      </x:c>
      <x:c r="E32" s="30" t="n">
        <x:v>1</x:v>
      </x:c>
      <x:c r="F32" s="31" t="n">
        <x:v>7225</x:v>
      </x:c>
      <x:c r="G32" s="31" t="n">
        <x:v>1589.5</x:v>
      </x:c>
      <x:c r="H32" s="31" t="n">
        <x:v>8814.5</x:v>
      </x:c>
      <x:c r="I32" s="30"/>
      <x:c r="J32" s="30"/>
      <x:c r="K32" s="30"/>
      <x:c r="L32" s="30"/>
    </x:row>
    <x:row r="33">
      <x:c r="A33" s="32" t="n">
        <x:v>45078</x:v>
      </x:c>
      <x:c r="B33" s="30" t="str">
        <x:v>Customer Success</x:v>
      </x:c>
      <x:c r="C33" s="30" t="n">
        <x:v>4</x:v>
      </x:c>
      <x:c r="D33" s="30" t="n">
        <x:v>3</x:v>
      </x:c>
      <x:c r="E33" s="30" t="n">
        <x:v>3</x:v>
      </x:c>
      <x:c r="F33" s="31" t="n">
        <x:v>25525</x:v>
      </x:c>
      <x:c r="G33" s="31" t="n">
        <x:v>5615.5</x:v>
      </x:c>
      <x:c r="H33" s="31" t="n">
        <x:v>31140.5</x:v>
      </x:c>
      <x:c r="I33" s="30"/>
      <x:c r="J33" s="30"/>
      <x:c r="K33" s="30"/>
      <x:c r="L33" s="30"/>
    </x:row>
    <x:row r="34">
      <x:c r="A34" s="32" t="n">
        <x:v>45078</x:v>
      </x:c>
      <x:c r="B34" s="30" t="str">
        <x:v>G&amp;A</x:v>
      </x:c>
      <x:c r="C34" s="30" t="n">
        <x:v>1</x:v>
      </x:c>
      <x:c r="D34" s="30" t="n">
        <x:v>1</x:v>
      </x:c>
      <x:c r="E34" s="30" t="n">
        <x:v>1</x:v>
      </x:c>
      <x:c r="F34" s="31" t="n">
        <x:v>11641.666666666666</x:v>
      </x:c>
      <x:c r="G34" s="31" t="n">
        <x:v>2561.1666666666665</x:v>
      </x:c>
      <x:c r="H34" s="31" t="n">
        <x:v>14202.833333333332</x:v>
      </x:c>
      <x:c r="I34" s="30"/>
      <x:c r="J34" s="30"/>
      <x:c r="K34" s="30"/>
      <x:c r="L34" s="30"/>
    </x:row>
    <x:row r="35">
      <x:c r="A35" s="32" t="n">
        <x:v>45108</x:v>
      </x:c>
      <x:c r="B35" s="30" t="str">
        <x:v>Engineering</x:v>
      </x:c>
      <x:c r="C35" s="30" t="n">
        <x:v>2</x:v>
      </x:c>
      <x:c r="D35" s="30" t="n">
        <x:v>2</x:v>
      </x:c>
      <x:c r="E35" s="30" t="n">
        <x:v>2</x:v>
      </x:c>
      <x:c r="F35" s="31" t="n">
        <x:v>21608.333333333332</x:v>
      </x:c>
      <x:c r="G35" s="31" t="n">
        <x:v>4753.833333333333</x:v>
      </x:c>
      <x:c r="H35" s="31" t="n">
        <x:v>26362.166666666664</x:v>
      </x:c>
      <x:c r="I35" s="30"/>
      <x:c r="J35" s="30"/>
      <x:c r="K35" s="30"/>
      <x:c r="L35" s="30"/>
    </x:row>
    <x:row r="36">
      <x:c r="A36" s="32" t="n">
        <x:v>45108</x:v>
      </x:c>
      <x:c r="B36" s="30" t="str">
        <x:v>Sales</x:v>
      </x:c>
      <x:c r="C36" s="30" t="n">
        <x:v>1</x:v>
      </x:c>
      <x:c r="D36" s="30" t="n">
        <x:v>1</x:v>
      </x:c>
      <x:c r="E36" s="30" t="n">
        <x:v>1</x:v>
      </x:c>
      <x:c r="F36" s="31" t="n">
        <x:v>11100</x:v>
      </x:c>
      <x:c r="G36" s="31" t="n">
        <x:v>2442</x:v>
      </x:c>
      <x:c r="H36" s="31" t="n">
        <x:v>13542</x:v>
      </x:c>
      <x:c r="I36" s="30"/>
      <x:c r="J36" s="30"/>
      <x:c r="K36" s="30"/>
      <x:c r="L36" s="30"/>
    </x:row>
    <x:row r="37">
      <x:c r="A37" s="32" t="n">
        <x:v>45108</x:v>
      </x:c>
      <x:c r="B37" s="30" t="str">
        <x:v>Marketing</x:v>
      </x:c>
      <x:c r="C37" s="30" t="n">
        <x:v>1</x:v>
      </x:c>
      <x:c r="D37" s="30" t="n">
        <x:v>1</x:v>
      </x:c>
      <x:c r="E37" s="30" t="n">
        <x:v>1</x:v>
      </x:c>
      <x:c r="F37" s="31" t="n">
        <x:v>7225</x:v>
      </x:c>
      <x:c r="G37" s="31" t="n">
        <x:v>1589.5</x:v>
      </x:c>
      <x:c r="H37" s="31" t="n">
        <x:v>8814.5</x:v>
      </x:c>
      <x:c r="I37" s="30"/>
      <x:c r="J37" s="30"/>
      <x:c r="K37" s="30"/>
      <x:c r="L37" s="30"/>
    </x:row>
    <x:row r="38">
      <x:c r="A38" s="32" t="n">
        <x:v>45108</x:v>
      </x:c>
      <x:c r="B38" s="30" t="str">
        <x:v>Customer Success</x:v>
      </x:c>
      <x:c r="C38" s="30" t="n">
        <x:v>4</x:v>
      </x:c>
      <x:c r="D38" s="30" t="n">
        <x:v>4</x:v>
      </x:c>
      <x:c r="E38" s="30" t="n">
        <x:v>4</x:v>
      </x:c>
      <x:c r="F38" s="31" t="n">
        <x:v>34433.333333333336</x:v>
      </x:c>
      <x:c r="G38" s="31" t="n">
        <x:v>7575.333333333334</x:v>
      </x:c>
      <x:c r="H38" s="31" t="n">
        <x:v>42008.66666666667</x:v>
      </x:c>
      <x:c r="I38" s="30"/>
      <x:c r="J38" s="30"/>
      <x:c r="K38" s="30"/>
      <x:c r="L38" s="30"/>
    </x:row>
    <x:row r="39">
      <x:c r="A39" s="32" t="n">
        <x:v>45108</x:v>
      </x:c>
      <x:c r="B39" s="30" t="str">
        <x:v>G&amp;A</x:v>
      </x:c>
      <x:c r="C39" s="30" t="n">
        <x:v>1</x:v>
      </x:c>
      <x:c r="D39" s="30" t="n">
        <x:v>1</x:v>
      </x:c>
      <x:c r="E39" s="30" t="n">
        <x:v>1</x:v>
      </x:c>
      <x:c r="F39" s="31" t="n">
        <x:v>11641.666666666666</x:v>
      </x:c>
      <x:c r="G39" s="31" t="n">
        <x:v>2561.1666666666665</x:v>
      </x:c>
      <x:c r="H39" s="31" t="n">
        <x:v>14202.833333333332</x:v>
      </x:c>
      <x:c r="I39" s="30"/>
      <x:c r="J39" s="30"/>
      <x:c r="K39" s="30"/>
      <x:c r="L39" s="30"/>
    </x:row>
    <x:row r="40">
      <x:c r="A40" s="32" t="n">
        <x:v>45139</x:v>
      </x:c>
      <x:c r="B40" s="30" t="str">
        <x:v>Engineering</x:v>
      </x:c>
      <x:c r="C40" s="30" t="n">
        <x:v>3</x:v>
      </x:c>
      <x:c r="D40" s="30" t="n">
        <x:v>3</x:v>
      </x:c>
      <x:c r="E40" s="30" t="n">
        <x:v>3</x:v>
      </x:c>
      <x:c r="F40" s="31" t="n">
        <x:v>36225</x:v>
      </x:c>
      <x:c r="G40" s="31" t="n">
        <x:v>7969.5</x:v>
      </x:c>
      <x:c r="H40" s="31" t="n">
        <x:v>44194.5</x:v>
      </x:c>
      <x:c r="I40" s="30"/>
      <x:c r="J40" s="30"/>
      <x:c r="K40" s="30"/>
      <x:c r="L40" s="30"/>
    </x:row>
    <x:row r="41">
      <x:c r="A41" s="32" t="n">
        <x:v>45139</x:v>
      </x:c>
      <x:c r="B41" s="30" t="str">
        <x:v>Sales</x:v>
      </x:c>
      <x:c r="C41" s="30" t="n">
        <x:v>1</x:v>
      </x:c>
      <x:c r="D41" s="30" t="n">
        <x:v>1</x:v>
      </x:c>
      <x:c r="E41" s="30" t="n">
        <x:v>1</x:v>
      </x:c>
      <x:c r="F41" s="31" t="n">
        <x:v>11100</x:v>
      </x:c>
      <x:c r="G41" s="31" t="n">
        <x:v>2442</x:v>
      </x:c>
      <x:c r="H41" s="31" t="n">
        <x:v>13542</x:v>
      </x:c>
      <x:c r="I41" s="30"/>
      <x:c r="J41" s="30"/>
      <x:c r="K41" s="30"/>
      <x:c r="L41" s="30"/>
    </x:row>
    <x:row r="42">
      <x:c r="A42" s="32" t="n">
        <x:v>45139</x:v>
      </x:c>
      <x:c r="B42" s="30" t="str">
        <x:v>Marketing</x:v>
      </x:c>
      <x:c r="C42" s="30" t="n">
        <x:v>1</x:v>
      </x:c>
      <x:c r="D42" s="30" t="n">
        <x:v>1</x:v>
      </x:c>
      <x:c r="E42" s="30" t="n">
        <x:v>1</x:v>
      </x:c>
      <x:c r="F42" s="31" t="n">
        <x:v>7225</x:v>
      </x:c>
      <x:c r="G42" s="31" t="n">
        <x:v>1589.5</x:v>
      </x:c>
      <x:c r="H42" s="31" t="n">
        <x:v>8814.5</x:v>
      </x:c>
      <x:c r="I42" s="30"/>
      <x:c r="J42" s="30"/>
      <x:c r="K42" s="30"/>
      <x:c r="L42" s="30"/>
    </x:row>
    <x:row r="43">
      <x:c r="A43" s="32" t="n">
        <x:v>45139</x:v>
      </x:c>
      <x:c r="B43" s="30" t="str">
        <x:v>Customer Success</x:v>
      </x:c>
      <x:c r="C43" s="30" t="n">
        <x:v>5</x:v>
      </x:c>
      <x:c r="D43" s="30" t="n">
        <x:v>5</x:v>
      </x:c>
      <x:c r="E43" s="30" t="n">
        <x:v>5</x:v>
      </x:c>
      <x:c r="F43" s="31" t="n">
        <x:v>41700</x:v>
      </x:c>
      <x:c r="G43" s="31" t="n">
        <x:v>9174</x:v>
      </x:c>
      <x:c r="H43" s="31" t="n">
        <x:v>50874</x:v>
      </x:c>
      <x:c r="I43" s="30"/>
      <x:c r="J43" s="30"/>
      <x:c r="K43" s="30"/>
      <x:c r="L43" s="30"/>
    </x:row>
    <x:row r="44">
      <x:c r="A44" s="32" t="n">
        <x:v>45139</x:v>
      </x:c>
      <x:c r="B44" s="30" t="str">
        <x:v>G&amp;A</x:v>
      </x:c>
      <x:c r="C44" s="30" t="n">
        <x:v>1</x:v>
      </x:c>
      <x:c r="D44" s="30" t="n">
        <x:v>1</x:v>
      </x:c>
      <x:c r="E44" s="30" t="n">
        <x:v>1</x:v>
      </x:c>
      <x:c r="F44" s="31" t="n">
        <x:v>11641.666666666666</x:v>
      </x:c>
      <x:c r="G44" s="31" t="n">
        <x:v>2561.1666666666665</x:v>
      </x:c>
      <x:c r="H44" s="31" t="n">
        <x:v>14202.833333333332</x:v>
      </x:c>
      <x:c r="I44" s="30"/>
      <x:c r="J44" s="30"/>
      <x:c r="K44" s="30"/>
      <x:c r="L44" s="30"/>
    </x:row>
    <x:row r="45">
      <x:c r="A45" s="32" t="n">
        <x:v>45170</x:v>
      </x:c>
      <x:c r="B45" s="30" t="str">
        <x:v>Engineering</x:v>
      </x:c>
      <x:c r="C45" s="30" t="n">
        <x:v>6</x:v>
      </x:c>
      <x:c r="D45" s="30" t="n">
        <x:v>6</x:v>
      </x:c>
      <x:c r="E45" s="30" t="n">
        <x:v>6</x:v>
      </x:c>
      <x:c r="F45" s="31" t="n">
        <x:v>73558.33333333333</x:v>
      </x:c>
      <x:c r="G45" s="31" t="n">
        <x:v>16182.833333333332</x:v>
      </x:c>
      <x:c r="H45" s="31" t="n">
        <x:v>89741.16666666666</x:v>
      </x:c>
      <x:c r="I45" s="30"/>
      <x:c r="J45" s="30"/>
      <x:c r="K45" s="30"/>
      <x:c r="L45" s="30"/>
    </x:row>
    <x:row r="46">
      <x:c r="A46" s="32" t="n">
        <x:v>45170</x:v>
      </x:c>
      <x:c r="B46" s="30" t="str">
        <x:v>Sales</x:v>
      </x:c>
      <x:c r="C46" s="30" t="n">
        <x:v>2</x:v>
      </x:c>
      <x:c r="D46" s="30" t="n">
        <x:v>2</x:v>
      </x:c>
      <x:c r="E46" s="30" t="n">
        <x:v>2</x:v>
      </x:c>
      <x:c r="F46" s="31" t="n">
        <x:v>19875</x:v>
      </x:c>
      <x:c r="G46" s="31" t="n">
        <x:v>4372.5</x:v>
      </x:c>
      <x:c r="H46" s="31" t="n">
        <x:v>24247.5</x:v>
      </x:c>
      <x:c r="I46" s="30"/>
      <x:c r="J46" s="30"/>
      <x:c r="K46" s="30"/>
      <x:c r="L46" s="30"/>
    </x:row>
    <x:row r="47">
      <x:c r="A47" s="32" t="n">
        <x:v>45170</x:v>
      </x:c>
      <x:c r="B47" s="30" t="str">
        <x:v>Marketing</x:v>
      </x:c>
      <x:c r="C47" s="30" t="n">
        <x:v>1</x:v>
      </x:c>
      <x:c r="D47" s="30" t="n">
        <x:v>1</x:v>
      </x:c>
      <x:c r="E47" s="30" t="n">
        <x:v>1</x:v>
      </x:c>
      <x:c r="F47" s="31" t="n">
        <x:v>7225</x:v>
      </x:c>
      <x:c r="G47" s="31" t="n">
        <x:v>1589.5</x:v>
      </x:c>
      <x:c r="H47" s="31" t="n">
        <x:v>8814.5</x:v>
      </x:c>
      <x:c r="I47" s="30"/>
      <x:c r="J47" s="30"/>
      <x:c r="K47" s="30"/>
      <x:c r="L47" s="30"/>
    </x:row>
    <x:row r="48">
      <x:c r="A48" s="32" t="n">
        <x:v>45170</x:v>
      </x:c>
      <x:c r="B48" s="30" t="str">
        <x:v>Customer Success</x:v>
      </x:c>
      <x:c r="C48" s="30" t="n">
        <x:v>5</x:v>
      </x:c>
      <x:c r="D48" s="30" t="n">
        <x:v>5</x:v>
      </x:c>
      <x:c r="E48" s="30" t="n">
        <x:v>5</x:v>
      </x:c>
      <x:c r="F48" s="31" t="n">
        <x:v>41700</x:v>
      </x:c>
      <x:c r="G48" s="31" t="n">
        <x:v>9174</x:v>
      </x:c>
      <x:c r="H48" s="31" t="n">
        <x:v>50874</x:v>
      </x:c>
      <x:c r="I48" s="30"/>
      <x:c r="J48" s="30"/>
      <x:c r="K48" s="30"/>
      <x:c r="L48" s="30"/>
    </x:row>
    <x:row r="49">
      <x:c r="A49" s="32" t="n">
        <x:v>45170</x:v>
      </x:c>
      <x:c r="B49" s="30" t="str">
        <x:v>G&amp;A</x:v>
      </x:c>
      <x:c r="C49" s="30" t="n">
        <x:v>1</x:v>
      </x:c>
      <x:c r="D49" s="30" t="n">
        <x:v>1</x:v>
      </x:c>
      <x:c r="E49" s="30" t="n">
        <x:v>1</x:v>
      </x:c>
      <x:c r="F49" s="31" t="n">
        <x:v>11641.666666666666</x:v>
      </x:c>
      <x:c r="G49" s="31" t="n">
        <x:v>2561.1666666666665</x:v>
      </x:c>
      <x:c r="H49" s="31" t="n">
        <x:v>14202.833333333332</x:v>
      </x:c>
      <x:c r="I49" s="30"/>
      <x:c r="J49" s="30"/>
      <x:c r="K49" s="30"/>
      <x:c r="L49" s="30"/>
    </x:row>
    <x:row r="50">
      <x:c r="A50" s="32" t="n">
        <x:v>45200</x:v>
      </x:c>
      <x:c r="B50" s="30" t="str">
        <x:v>Engineering</x:v>
      </x:c>
      <x:c r="C50" s="30" t="n">
        <x:v>7</x:v>
      </x:c>
      <x:c r="D50" s="30" t="n">
        <x:v>7</x:v>
      </x:c>
      <x:c r="E50" s="30" t="n">
        <x:v>7</x:v>
      </x:c>
      <x:c r="F50" s="31" t="n">
        <x:v>85066.66666666667</x:v>
      </x:c>
      <x:c r="G50" s="31" t="n">
        <x:v>18714.666666666668</x:v>
      </x:c>
      <x:c r="H50" s="31" t="n">
        <x:v>103781.33333333334</x:v>
      </x:c>
      <x:c r="I50" s="30"/>
      <x:c r="J50" s="30"/>
      <x:c r="K50" s="30"/>
      <x:c r="L50" s="30"/>
    </x:row>
    <x:row r="51">
      <x:c r="A51" s="32" t="n">
        <x:v>45200</x:v>
      </x:c>
      <x:c r="B51" s="30" t="str">
        <x:v>Sales</x:v>
      </x:c>
      <x:c r="C51" s="30" t="n">
        <x:v>2</x:v>
      </x:c>
      <x:c r="D51" s="30" t="n">
        <x:v>2</x:v>
      </x:c>
      <x:c r="E51" s="30" t="n">
        <x:v>2</x:v>
      </x:c>
      <x:c r="F51" s="31" t="n">
        <x:v>19875</x:v>
      </x:c>
      <x:c r="G51" s="31" t="n">
        <x:v>4372.5</x:v>
      </x:c>
      <x:c r="H51" s="31" t="n">
        <x:v>24247.5</x:v>
      </x:c>
      <x:c r="I51" s="30"/>
      <x:c r="J51" s="30"/>
      <x:c r="K51" s="30"/>
      <x:c r="L51" s="30"/>
    </x:row>
    <x:row r="52">
      <x:c r="A52" s="32" t="n">
        <x:v>45200</x:v>
      </x:c>
      <x:c r="B52" s="30" t="str">
        <x:v>Marketing</x:v>
      </x:c>
      <x:c r="C52" s="30" t="n">
        <x:v>1</x:v>
      </x:c>
      <x:c r="D52" s="30" t="n">
        <x:v>1</x:v>
      </x:c>
      <x:c r="E52" s="30" t="n">
        <x:v>1</x:v>
      </x:c>
      <x:c r="F52" s="31" t="n">
        <x:v>7225</x:v>
      </x:c>
      <x:c r="G52" s="31" t="n">
        <x:v>1589.5</x:v>
      </x:c>
      <x:c r="H52" s="31" t="n">
        <x:v>8814.5</x:v>
      </x:c>
      <x:c r="I52" s="30"/>
      <x:c r="J52" s="30"/>
      <x:c r="K52" s="30"/>
      <x:c r="L52" s="30"/>
    </x:row>
    <x:row r="53">
      <x:c r="A53" s="32" t="n">
        <x:v>45200</x:v>
      </x:c>
      <x:c r="B53" s="30" t="str">
        <x:v>Customer Success</x:v>
      </x:c>
      <x:c r="C53" s="30" t="n">
        <x:v>5</x:v>
      </x:c>
      <x:c r="D53" s="30" t="n">
        <x:v>5</x:v>
      </x:c>
      <x:c r="E53" s="30" t="n">
        <x:v>5</x:v>
      </x:c>
      <x:c r="F53" s="31" t="n">
        <x:v>41700</x:v>
      </x:c>
      <x:c r="G53" s="31" t="n">
        <x:v>9174</x:v>
      </x:c>
      <x:c r="H53" s="31" t="n">
        <x:v>50874</x:v>
      </x:c>
      <x:c r="I53" s="30"/>
      <x:c r="J53" s="30"/>
      <x:c r="K53" s="30"/>
      <x:c r="L53" s="30"/>
    </x:row>
    <x:row r="54">
      <x:c r="A54" s="32" t="n">
        <x:v>45200</x:v>
      </x:c>
      <x:c r="B54" s="30" t="str">
        <x:v>G&amp;A</x:v>
      </x:c>
      <x:c r="C54" s="30" t="n">
        <x:v>1</x:v>
      </x:c>
      <x:c r="D54" s="30" t="n">
        <x:v>1</x:v>
      </x:c>
      <x:c r="E54" s="30" t="n">
        <x:v>1</x:v>
      </x:c>
      <x:c r="F54" s="31" t="n">
        <x:v>11641.666666666666</x:v>
      </x:c>
      <x:c r="G54" s="31" t="n">
        <x:v>2561.1666666666665</x:v>
      </x:c>
      <x:c r="H54" s="31" t="n">
        <x:v>14202.833333333332</x:v>
      </x:c>
      <x:c r="I54" s="30"/>
      <x:c r="J54" s="30"/>
      <x:c r="K54" s="30"/>
      <x:c r="L54" s="30"/>
    </x:row>
    <x:row r="55">
      <x:c r="A55" s="32" t="n">
        <x:v>45231</x:v>
      </x:c>
      <x:c r="B55" s="30" t="str">
        <x:v>Engineering</x:v>
      </x:c>
      <x:c r="C55" s="30" t="n">
        <x:v>7</x:v>
      </x:c>
      <x:c r="D55" s="30" t="n">
        <x:v>8</x:v>
      </x:c>
      <x:c r="E55" s="30" t="n">
        <x:v>8</x:v>
      </x:c>
      <x:c r="F55" s="31" t="n">
        <x:v>95875</x:v>
      </x:c>
      <x:c r="G55" s="31" t="n">
        <x:v>21092.5</x:v>
      </x:c>
      <x:c r="H55" s="31" t="n">
        <x:v>116967.5</x:v>
      </x:c>
      <x:c r="I55" s="30"/>
      <x:c r="J55" s="30"/>
      <x:c r="K55" s="30"/>
      <x:c r="L55" s="30"/>
    </x:row>
    <x:row r="56">
      <x:c r="A56" s="32" t="n">
        <x:v>45231</x:v>
      </x:c>
      <x:c r="B56" s="30" t="str">
        <x:v>Sales</x:v>
      </x:c>
      <x:c r="C56" s="30" t="n">
        <x:v>2</x:v>
      </x:c>
      <x:c r="D56" s="30" t="n">
        <x:v>2</x:v>
      </x:c>
      <x:c r="E56" s="30" t="n">
        <x:v>2</x:v>
      </x:c>
      <x:c r="F56" s="31" t="n">
        <x:v>19875</x:v>
      </x:c>
      <x:c r="G56" s="31" t="n">
        <x:v>4372.5</x:v>
      </x:c>
      <x:c r="H56" s="31" t="n">
        <x:v>24247.5</x:v>
      </x:c>
      <x:c r="I56" s="30"/>
      <x:c r="J56" s="30"/>
      <x:c r="K56" s="30"/>
      <x:c r="L56" s="30"/>
    </x:row>
    <x:row r="57">
      <x:c r="A57" s="32" t="n">
        <x:v>45231</x:v>
      </x:c>
      <x:c r="B57" s="30" t="str">
        <x:v>Marketing</x:v>
      </x:c>
      <x:c r="C57" s="30" t="n">
        <x:v>1</x:v>
      </x:c>
      <x:c r="D57" s="30" t="n">
        <x:v>1</x:v>
      </x:c>
      <x:c r="E57" s="30" t="n">
        <x:v>1</x:v>
      </x:c>
      <x:c r="F57" s="31" t="n">
        <x:v>7225</x:v>
      </x:c>
      <x:c r="G57" s="31" t="n">
        <x:v>1589.5</x:v>
      </x:c>
      <x:c r="H57" s="31" t="n">
        <x:v>8814.5</x:v>
      </x:c>
      <x:c r="I57" s="30"/>
      <x:c r="J57" s="30"/>
      <x:c r="K57" s="30"/>
      <x:c r="L57" s="30"/>
    </x:row>
    <x:row r="58">
      <x:c r="A58" s="32" t="n">
        <x:v>45231</x:v>
      </x:c>
      <x:c r="B58" s="30" t="str">
        <x:v>Customer Success</x:v>
      </x:c>
      <x:c r="C58" s="30" t="n">
        <x:v>5</x:v>
      </x:c>
      <x:c r="D58" s="30" t="n">
        <x:v>5</x:v>
      </x:c>
      <x:c r="E58" s="30" t="n">
        <x:v>5</x:v>
      </x:c>
      <x:c r="F58" s="31" t="n">
        <x:v>41700</x:v>
      </x:c>
      <x:c r="G58" s="31" t="n">
        <x:v>9174</x:v>
      </x:c>
      <x:c r="H58" s="31" t="n">
        <x:v>50874</x:v>
      </x:c>
      <x:c r="I58" s="30"/>
      <x:c r="J58" s="30"/>
      <x:c r="K58" s="30"/>
      <x:c r="L58" s="30"/>
    </x:row>
    <x:row r="59">
      <x:c r="A59" s="32" t="n">
        <x:v>45231</x:v>
      </x:c>
      <x:c r="B59" s="30" t="str">
        <x:v>G&amp;A</x:v>
      </x:c>
      <x:c r="C59" s="30" t="n">
        <x:v>1</x:v>
      </x:c>
      <x:c r="D59" s="30" t="n">
        <x:v>1</x:v>
      </x:c>
      <x:c r="E59" s="30" t="n">
        <x:v>1</x:v>
      </x:c>
      <x:c r="F59" s="31" t="n">
        <x:v>11641.666666666666</x:v>
      </x:c>
      <x:c r="G59" s="31" t="n">
        <x:v>2561.1666666666665</x:v>
      </x:c>
      <x:c r="H59" s="31" t="n">
        <x:v>14202.833333333332</x:v>
      </x:c>
      <x:c r="I59" s="30"/>
      <x:c r="J59" s="30"/>
      <x:c r="K59" s="30"/>
      <x:c r="L59" s="30"/>
    </x:row>
    <x:row r="60">
      <x:c r="A60" s="32" t="n">
        <x:v>45261</x:v>
      </x:c>
      <x:c r="B60" s="30" t="str">
        <x:v>Engineering</x:v>
      </x:c>
      <x:c r="C60" s="30" t="n">
        <x:v>8</x:v>
      </x:c>
      <x:c r="D60" s="30" t="n">
        <x:v>8</x:v>
      </x:c>
      <x:c r="E60" s="30" t="n">
        <x:v>8</x:v>
      </x:c>
      <x:c r="F60" s="31" t="n">
        <x:v>95875</x:v>
      </x:c>
      <x:c r="G60" s="31" t="n">
        <x:v>21092.5</x:v>
      </x:c>
      <x:c r="H60" s="31" t="n">
        <x:v>116967.5</x:v>
      </x:c>
      <x:c r="I60" s="30"/>
      <x:c r="J60" s="30"/>
      <x:c r="K60" s="30"/>
      <x:c r="L60" s="30"/>
    </x:row>
    <x:row r="61">
      <x:c r="A61" s="32" t="n">
        <x:v>45261</x:v>
      </x:c>
      <x:c r="B61" s="30" t="str">
        <x:v>Sales</x:v>
      </x:c>
      <x:c r="C61" s="30" t="n">
        <x:v>2</x:v>
      </x:c>
      <x:c r="D61" s="30" t="n">
        <x:v>2</x:v>
      </x:c>
      <x:c r="E61" s="30" t="n">
        <x:v>2</x:v>
      </x:c>
      <x:c r="F61" s="31" t="n">
        <x:v>19875</x:v>
      </x:c>
      <x:c r="G61" s="31" t="n">
        <x:v>4372.5</x:v>
      </x:c>
      <x:c r="H61" s="31" t="n">
        <x:v>24247.5</x:v>
      </x:c>
      <x:c r="I61" s="30"/>
      <x:c r="J61" s="30"/>
      <x:c r="K61" s="30"/>
      <x:c r="L61" s="30"/>
    </x:row>
    <x:row r="62">
      <x:c r="A62" s="32" t="n">
        <x:v>45261</x:v>
      </x:c>
      <x:c r="B62" s="30" t="str">
        <x:v>Marketing</x:v>
      </x:c>
      <x:c r="C62" s="30" t="n">
        <x:v>1</x:v>
      </x:c>
      <x:c r="D62" s="30" t="n">
        <x:v>1</x:v>
      </x:c>
      <x:c r="E62" s="30" t="n">
        <x:v>1</x:v>
      </x:c>
      <x:c r="F62" s="31" t="n">
        <x:v>7225</x:v>
      </x:c>
      <x:c r="G62" s="31" t="n">
        <x:v>1589.5</x:v>
      </x:c>
      <x:c r="H62" s="31" t="n">
        <x:v>8814.5</x:v>
      </x:c>
      <x:c r="I62" s="30"/>
      <x:c r="J62" s="30"/>
      <x:c r="K62" s="30"/>
      <x:c r="L62" s="30"/>
    </x:row>
    <x:row r="63">
      <x:c r="A63" s="32" t="n">
        <x:v>45261</x:v>
      </x:c>
      <x:c r="B63" s="30" t="str">
        <x:v>Customer Success</x:v>
      </x:c>
      <x:c r="C63" s="30" t="n">
        <x:v>5</x:v>
      </x:c>
      <x:c r="D63" s="30" t="n">
        <x:v>5</x:v>
      </x:c>
      <x:c r="E63" s="30" t="n">
        <x:v>5</x:v>
      </x:c>
      <x:c r="F63" s="31" t="n">
        <x:v>41700</x:v>
      </x:c>
      <x:c r="G63" s="31" t="n">
        <x:v>9174</x:v>
      </x:c>
      <x:c r="H63" s="31" t="n">
        <x:v>50874</x:v>
      </x:c>
      <x:c r="I63" s="30"/>
      <x:c r="J63" s="30"/>
      <x:c r="K63" s="30"/>
      <x:c r="L63" s="30"/>
    </x:row>
    <x:row r="64">
      <x:c r="A64" s="32" t="n">
        <x:v>45261</x:v>
      </x:c>
      <x:c r="B64" s="30" t="str">
        <x:v>G&amp;A</x:v>
      </x:c>
      <x:c r="C64" s="30" t="n">
        <x:v>1</x:v>
      </x:c>
      <x:c r="D64" s="30" t="n">
        <x:v>1</x:v>
      </x:c>
      <x:c r="E64" s="30" t="n">
        <x:v>1</x:v>
      </x:c>
      <x:c r="F64" s="31" t="n">
        <x:v>11641.666666666666</x:v>
      </x:c>
      <x:c r="G64" s="31" t="n">
        <x:v>2561.1666666666665</x:v>
      </x:c>
      <x:c r="H64" s="31" t="n">
        <x:v>14202.833333333332</x:v>
      </x:c>
      <x:c r="I64" s="30"/>
      <x:c r="J64" s="30"/>
      <x:c r="K64" s="30"/>
      <x:c r="L64" s="30"/>
    </x:row>
    <x:row r="65">
      <x:c r="A65" s="32" t="n">
        <x:v>45292</x:v>
      </x:c>
      <x:c r="B65" s="30" t="str">
        <x:v>Engineering</x:v>
      </x:c>
      <x:c r="C65" s="30" t="n">
        <x:v>8</x:v>
      </x:c>
      <x:c r="D65" s="30" t="n">
        <x:v>9</x:v>
      </x:c>
      <x:c r="E65" s="30" t="n">
        <x:v>9</x:v>
      </x:c>
      <x:c r="F65" s="31" t="n">
        <x:v>107575</x:v>
      </x:c>
      <x:c r="G65" s="31" t="n">
        <x:v>23666.5</x:v>
      </x:c>
      <x:c r="H65" s="31" t="n">
        <x:v>131241.5</x:v>
      </x:c>
      <x:c r="I65" s="30"/>
      <x:c r="J65" s="30"/>
      <x:c r="K65" s="30"/>
      <x:c r="L65" s="30"/>
    </x:row>
    <x:row r="66">
      <x:c r="A66" s="32" t="n">
        <x:v>45292</x:v>
      </x:c>
      <x:c r="B66" s="30" t="str">
        <x:v>Sales</x:v>
      </x:c>
      <x:c r="C66" s="30" t="n">
        <x:v>2</x:v>
      </x:c>
      <x:c r="D66" s="30" t="n">
        <x:v>2</x:v>
      </x:c>
      <x:c r="E66" s="30" t="n">
        <x:v>2</x:v>
      </x:c>
      <x:c r="F66" s="31" t="n">
        <x:v>19875</x:v>
      </x:c>
      <x:c r="G66" s="31" t="n">
        <x:v>4372.5</x:v>
      </x:c>
      <x:c r="H66" s="31" t="n">
        <x:v>24247.5</x:v>
      </x:c>
      <x:c r="I66" s="30"/>
      <x:c r="J66" s="30"/>
      <x:c r="K66" s="30"/>
      <x:c r="L66" s="30"/>
    </x:row>
    <x:row r="67">
      <x:c r="A67" s="32" t="n">
        <x:v>45292</x:v>
      </x:c>
      <x:c r="B67" s="30" t="str">
        <x:v>Marketing</x:v>
      </x:c>
      <x:c r="C67" s="30" t="n">
        <x:v>1</x:v>
      </x:c>
      <x:c r="D67" s="30" t="n">
        <x:v>1</x:v>
      </x:c>
      <x:c r="E67" s="30" t="n">
        <x:v>1</x:v>
      </x:c>
      <x:c r="F67" s="31" t="n">
        <x:v>7225</x:v>
      </x:c>
      <x:c r="G67" s="31" t="n">
        <x:v>1589.5</x:v>
      </x:c>
      <x:c r="H67" s="31" t="n">
        <x:v>8814.5</x:v>
      </x:c>
      <x:c r="I67" s="30"/>
      <x:c r="J67" s="30"/>
      <x:c r="K67" s="30"/>
      <x:c r="L67" s="30"/>
    </x:row>
    <x:row r="68">
      <x:c r="A68" s="32" t="n">
        <x:v>45292</x:v>
      </x:c>
      <x:c r="B68" s="30" t="str">
        <x:v>Customer Success</x:v>
      </x:c>
      <x:c r="C68" s="30" t="n">
        <x:v>5</x:v>
      </x:c>
      <x:c r="D68" s="30" t="n">
        <x:v>5</x:v>
      </x:c>
      <x:c r="E68" s="30" t="n">
        <x:v>5</x:v>
      </x:c>
      <x:c r="F68" s="31" t="n">
        <x:v>41700</x:v>
      </x:c>
      <x:c r="G68" s="31" t="n">
        <x:v>9174</x:v>
      </x:c>
      <x:c r="H68" s="31" t="n">
        <x:v>50874</x:v>
      </x:c>
      <x:c r="I68" s="30"/>
      <x:c r="J68" s="30"/>
      <x:c r="K68" s="30"/>
      <x:c r="L68" s="30"/>
    </x:row>
    <x:row r="69">
      <x:c r="A69" s="32" t="n">
        <x:v>45292</x:v>
      </x:c>
      <x:c r="B69" s="30" t="str">
        <x:v>G&amp;A</x:v>
      </x:c>
      <x:c r="C69" s="30" t="n">
        <x:v>1</x:v>
      </x:c>
      <x:c r="D69" s="30" t="n">
        <x:v>1</x:v>
      </x:c>
      <x:c r="E69" s="30" t="n">
        <x:v>1</x:v>
      </x:c>
      <x:c r="F69" s="31" t="n">
        <x:v>11641.666666666666</x:v>
      </x:c>
      <x:c r="G69" s="31" t="n">
        <x:v>2561.1666666666665</x:v>
      </x:c>
      <x:c r="H69" s="31" t="n">
        <x:v>14202.833333333332</x:v>
      </x:c>
      <x:c r="I69" s="30"/>
      <x:c r="J69" s="30"/>
      <x:c r="K69" s="30"/>
      <x:c r="L69" s="30"/>
    </x:row>
    <x:row r="70">
      <x:c r="A70" s="32" t="n">
        <x:v>45323</x:v>
      </x:c>
      <x:c r="B70" s="30" t="str">
        <x:v>Engineering</x:v>
      </x:c>
      <x:c r="C70" s="30" t="n">
        <x:v>9</x:v>
      </x:c>
      <x:c r="D70" s="30" t="n">
        <x:v>9</x:v>
      </x:c>
      <x:c r="E70" s="30" t="n">
        <x:v>9</x:v>
      </x:c>
      <x:c r="F70" s="31" t="n">
        <x:v>107575</x:v>
      </x:c>
      <x:c r="G70" s="31" t="n">
        <x:v>23666.5</x:v>
      </x:c>
      <x:c r="H70" s="31" t="n">
        <x:v>131241.5</x:v>
      </x:c>
      <x:c r="I70" s="30"/>
      <x:c r="J70" s="30"/>
      <x:c r="K70" s="30"/>
      <x:c r="L70" s="30"/>
    </x:row>
    <x:row r="71">
      <x:c r="A71" s="32" t="n">
        <x:v>45323</x:v>
      </x:c>
      <x:c r="B71" s="30" t="str">
        <x:v>Sales</x:v>
      </x:c>
      <x:c r="C71" s="30" t="n">
        <x:v>3</x:v>
      </x:c>
      <x:c r="D71" s="30" t="n">
        <x:v>4</x:v>
      </x:c>
      <x:c r="E71" s="30" t="n">
        <x:v>4</x:v>
      </x:c>
      <x:c r="F71" s="31" t="n">
        <x:v>37050</x:v>
      </x:c>
      <x:c r="G71" s="31" t="n">
        <x:v>8151</x:v>
      </x:c>
      <x:c r="H71" s="31" t="n">
        <x:v>45201</x:v>
      </x:c>
      <x:c r="I71" s="30"/>
      <x:c r="J71" s="30"/>
      <x:c r="K71" s="30"/>
      <x:c r="L71" s="30"/>
    </x:row>
    <x:row r="72">
      <x:c r="A72" s="32" t="n">
        <x:v>45323</x:v>
      </x:c>
      <x:c r="B72" s="30" t="str">
        <x:v>Marketing</x:v>
      </x:c>
      <x:c r="C72" s="30" t="n">
        <x:v>1</x:v>
      </x:c>
      <x:c r="D72" s="30" t="n">
        <x:v>1</x:v>
      </x:c>
      <x:c r="E72" s="30" t="n">
        <x:v>1</x:v>
      </x:c>
      <x:c r="F72" s="31" t="n">
        <x:v>7225</x:v>
      </x:c>
      <x:c r="G72" s="31" t="n">
        <x:v>1589.5</x:v>
      </x:c>
      <x:c r="H72" s="31" t="n">
        <x:v>8814.5</x:v>
      </x:c>
      <x:c r="I72" s="30"/>
      <x:c r="J72" s="30"/>
      <x:c r="K72" s="30"/>
      <x:c r="L72" s="30"/>
    </x:row>
    <x:row r="73">
      <x:c r="A73" s="32" t="n">
        <x:v>45323</x:v>
      </x:c>
      <x:c r="B73" s="30" t="str">
        <x:v>Customer Success</x:v>
      </x:c>
      <x:c r="C73" s="30" t="n">
        <x:v>5</x:v>
      </x:c>
      <x:c r="D73" s="30" t="n">
        <x:v>5</x:v>
      </x:c>
      <x:c r="E73" s="30" t="n">
        <x:v>5</x:v>
      </x:c>
      <x:c r="F73" s="31" t="n">
        <x:v>41700</x:v>
      </x:c>
      <x:c r="G73" s="31" t="n">
        <x:v>9174</x:v>
      </x:c>
      <x:c r="H73" s="31" t="n">
        <x:v>50874</x:v>
      </x:c>
      <x:c r="I73" s="30"/>
      <x:c r="J73" s="30"/>
      <x:c r="K73" s="30"/>
      <x:c r="L73" s="30"/>
    </x:row>
    <x:row r="74">
      <x:c r="A74" s="32" t="n">
        <x:v>45323</x:v>
      </x:c>
      <x:c r="B74" s="30" t="str">
        <x:v>G&amp;A</x:v>
      </x:c>
      <x:c r="C74" s="30" t="n">
        <x:v>1</x:v>
      </x:c>
      <x:c r="D74" s="30" t="n">
        <x:v>1</x:v>
      </x:c>
      <x:c r="E74" s="30" t="n">
        <x:v>1</x:v>
      </x:c>
      <x:c r="F74" s="31" t="n">
        <x:v>11641.666666666666</x:v>
      </x:c>
      <x:c r="G74" s="31" t="n">
        <x:v>2561.1666666666665</x:v>
      </x:c>
      <x:c r="H74" s="31" t="n">
        <x:v>14202.833333333332</x:v>
      </x:c>
      <x:c r="I74" s="30"/>
      <x:c r="J74" s="30"/>
      <x:c r="K74" s="30"/>
      <x:c r="L74" s="30"/>
    </x:row>
    <x:row r="75">
      <x:c r="A75" s="32" t="n">
        <x:v>45352</x:v>
      </x:c>
      <x:c r="B75" s="30" t="str">
        <x:v>Engineering</x:v>
      </x:c>
      <x:c r="C75" s="30" t="n">
        <x:v>9</x:v>
      </x:c>
      <x:c r="D75" s="30" t="n">
        <x:v>10</x:v>
      </x:c>
      <x:c r="E75" s="30" t="n">
        <x:v>10</x:v>
      </x:c>
      <x:c r="F75" s="31" t="n">
        <x:v>120950</x:v>
      </x:c>
      <x:c r="G75" s="31" t="n">
        <x:v>26609</x:v>
      </x:c>
      <x:c r="H75" s="31" t="n">
        <x:v>147559</x:v>
      </x:c>
      <x:c r="I75" s="30"/>
      <x:c r="J75" s="30"/>
      <x:c r="K75" s="30"/>
      <x:c r="L75" s="30"/>
    </x:row>
    <x:row r="76">
      <x:c r="A76" s="32" t="n">
        <x:v>45352</x:v>
      </x:c>
      <x:c r="B76" s="30" t="str">
        <x:v>Sales</x:v>
      </x:c>
      <x:c r="C76" s="30" t="n">
        <x:v>5</x:v>
      </x:c>
      <x:c r="D76" s="30" t="n">
        <x:v>5</x:v>
      </x:c>
      <x:c r="E76" s="30" t="n">
        <x:v>5</x:v>
      </x:c>
      <x:c r="F76" s="31" t="n">
        <x:v>45516.666666666664</x:v>
      </x:c>
      <x:c r="G76" s="31" t="n">
        <x:v>10013.666666666666</x:v>
      </x:c>
      <x:c r="H76" s="31" t="n">
        <x:v>55530.33333333333</x:v>
      </x:c>
      <x:c r="I76" s="30"/>
      <x:c r="J76" s="30"/>
      <x:c r="K76" s="30"/>
      <x:c r="L76" s="30"/>
    </x:row>
    <x:row r="77">
      <x:c r="A77" s="32" t="n">
        <x:v>45352</x:v>
      </x:c>
      <x:c r="B77" s="30" t="str">
        <x:v>Marketing</x:v>
      </x:c>
      <x:c r="C77" s="30" t="n">
        <x:v>1</x:v>
      </x:c>
      <x:c r="D77" s="30" t="n">
        <x:v>1</x:v>
      </x:c>
      <x:c r="E77" s="30" t="n">
        <x:v>1</x:v>
      </x:c>
      <x:c r="F77" s="31" t="n">
        <x:v>7225</x:v>
      </x:c>
      <x:c r="G77" s="31" t="n">
        <x:v>1589.5</x:v>
      </x:c>
      <x:c r="H77" s="31" t="n">
        <x:v>8814.5</x:v>
      </x:c>
      <x:c r="I77" s="30"/>
      <x:c r="J77" s="30"/>
      <x:c r="K77" s="30"/>
      <x:c r="L77" s="30"/>
    </x:row>
    <x:row r="78">
      <x:c r="A78" s="32" t="n">
        <x:v>45352</x:v>
      </x:c>
      <x:c r="B78" s="30" t="str">
        <x:v>Customer Success</x:v>
      </x:c>
      <x:c r="C78" s="30" t="n">
        <x:v>6</x:v>
      </x:c>
      <x:c r="D78" s="30" t="n">
        <x:v>5</x:v>
      </x:c>
      <x:c r="E78" s="30" t="n">
        <x:v>5</x:v>
      </x:c>
      <x:c r="F78" s="31" t="n">
        <x:v>41700</x:v>
      </x:c>
      <x:c r="G78" s="31" t="n">
        <x:v>9174</x:v>
      </x:c>
      <x:c r="H78" s="31" t="n">
        <x:v>50874</x:v>
      </x:c>
      <x:c r="I78" s="30"/>
      <x:c r="J78" s="30"/>
      <x:c r="K78" s="30"/>
      <x:c r="L78" s="30"/>
    </x:row>
    <x:row r="79">
      <x:c r="A79" s="32" t="n">
        <x:v>45352</x:v>
      </x:c>
      <x:c r="B79" s="30" t="str">
        <x:v>G&amp;A</x:v>
      </x:c>
      <x:c r="C79" s="30" t="n">
        <x:v>1</x:v>
      </x:c>
      <x:c r="D79" s="30" t="n">
        <x:v>1</x:v>
      </x:c>
      <x:c r="E79" s="30" t="n">
        <x:v>1</x:v>
      </x:c>
      <x:c r="F79" s="31" t="n">
        <x:v>11641.666666666666</x:v>
      </x:c>
      <x:c r="G79" s="31" t="n">
        <x:v>2561.1666666666665</x:v>
      </x:c>
      <x:c r="H79" s="31" t="n">
        <x:v>14202.833333333332</x:v>
      </x:c>
      <x:c r="I79" s="30"/>
      <x:c r="J79" s="30"/>
      <x:c r="K79" s="30"/>
      <x:c r="L79" s="30"/>
    </x:row>
    <x:row r="80">
      <x:c r="A80" s="32" t="n">
        <x:v>45383</x:v>
      </x:c>
      <x:c r="B80" s="30" t="str">
        <x:v>Engineering</x:v>
      </x:c>
      <x:c r="C80" s="30" t="n">
        <x:v>11</x:v>
      </x:c>
      <x:c r="D80" s="30" t="n">
        <x:v>12</x:v>
      </x:c>
      <x:c r="E80" s="30" t="n">
        <x:v>12</x:v>
      </x:c>
      <x:c r="F80" s="31" t="n">
        <x:v>143941.66666666666</x:v>
      </x:c>
      <x:c r="G80" s="31" t="n">
        <x:v>31667.166666666664</x:v>
      </x:c>
      <x:c r="H80" s="31" t="n">
        <x:v>175608.8333333333</x:v>
      </x:c>
      <x:c r="I80" s="30"/>
      <x:c r="J80" s="30"/>
      <x:c r="K80" s="30"/>
      <x:c r="L80" s="30"/>
    </x:row>
    <x:row r="81">
      <x:c r="A81" s="32" t="n">
        <x:v>45383</x:v>
      </x:c>
      <x:c r="B81" s="30" t="str">
        <x:v>Sales</x:v>
      </x:c>
      <x:c r="C81" s="30" t="n">
        <x:v>5</x:v>
      </x:c>
      <x:c r="D81" s="30" t="n">
        <x:v>5</x:v>
      </x:c>
      <x:c r="E81" s="30" t="n">
        <x:v>5</x:v>
      </x:c>
      <x:c r="F81" s="31" t="n">
        <x:v>45516.666666666664</x:v>
      </x:c>
      <x:c r="G81" s="31" t="n">
        <x:v>10013.666666666666</x:v>
      </x:c>
      <x:c r="H81" s="31" t="n">
        <x:v>55530.33333333333</x:v>
      </x:c>
      <x:c r="I81" s="30"/>
      <x:c r="J81" s="30"/>
      <x:c r="K81" s="30"/>
      <x:c r="L81" s="30"/>
    </x:row>
    <x:row r="82">
      <x:c r="A82" s="32" t="n">
        <x:v>45383</x:v>
      </x:c>
      <x:c r="B82" s="30" t="str">
        <x:v>Marketing</x:v>
      </x:c>
      <x:c r="C82" s="30" t="n">
        <x:v>1</x:v>
      </x:c>
      <x:c r="D82" s="30" t="n">
        <x:v>1</x:v>
      </x:c>
      <x:c r="E82" s="30" t="n">
        <x:v>1</x:v>
      </x:c>
      <x:c r="F82" s="31" t="n">
        <x:v>7225</x:v>
      </x:c>
      <x:c r="G82" s="31" t="n">
        <x:v>1589.5</x:v>
      </x:c>
      <x:c r="H82" s="31" t="n">
        <x:v>8814.5</x:v>
      </x:c>
      <x:c r="I82" s="30"/>
      <x:c r="J82" s="30"/>
      <x:c r="K82" s="30"/>
      <x:c r="L82" s="30"/>
    </x:row>
    <x:row r="83">
      <x:c r="A83" s="32" t="n">
        <x:v>45383</x:v>
      </x:c>
      <x:c r="B83" s="30" t="str">
        <x:v>Customer Success</x:v>
      </x:c>
      <x:c r="C83" s="30" t="n">
        <x:v>6</x:v>
      </x:c>
      <x:c r="D83" s="30" t="n">
        <x:v>6</x:v>
      </x:c>
      <x:c r="E83" s="30" t="n">
        <x:v>6</x:v>
      </x:c>
      <x:c r="F83" s="31" t="n">
        <x:v>49975</x:v>
      </x:c>
      <x:c r="G83" s="31" t="n">
        <x:v>10994.5</x:v>
      </x:c>
      <x:c r="H83" s="31" t="n">
        <x:v>60969.5</x:v>
      </x:c>
      <x:c r="I83" s="30"/>
      <x:c r="J83" s="30"/>
      <x:c r="K83" s="30"/>
      <x:c r="L83" s="30"/>
    </x:row>
    <x:row r="84">
      <x:c r="A84" s="32" t="n">
        <x:v>45383</x:v>
      </x:c>
      <x:c r="B84" s="30" t="str">
        <x:v>G&amp;A</x:v>
      </x:c>
      <x:c r="C84" s="30" t="n">
        <x:v>1</x:v>
      </x:c>
      <x:c r="D84" s="30" t="n">
        <x:v>1</x:v>
      </x:c>
      <x:c r="E84" s="30" t="n">
        <x:v>1</x:v>
      </x:c>
      <x:c r="F84" s="31" t="n">
        <x:v>11641.666666666666</x:v>
      </x:c>
      <x:c r="G84" s="31" t="n">
        <x:v>2561.1666666666665</x:v>
      </x:c>
      <x:c r="H84" s="31" t="n">
        <x:v>14202.833333333332</x:v>
      </x:c>
      <x:c r="I84" s="30"/>
      <x:c r="J84" s="30"/>
      <x:c r="K84" s="30"/>
      <x:c r="L84" s="30"/>
    </x:row>
    <x:row r="85">
      <x:c r="A85" s="32" t="n">
        <x:v>45413</x:v>
      </x:c>
      <x:c r="B85" s="30" t="str">
        <x:v>Engineering</x:v>
      </x:c>
      <x:c r="C85" s="30" t="n">
        <x:v>12</x:v>
      </x:c>
      <x:c r="D85" s="30" t="n">
        <x:v>12</x:v>
      </x:c>
      <x:c r="E85" s="30" t="n">
        <x:v>12</x:v>
      </x:c>
      <x:c r="F85" s="31" t="n">
        <x:v>143941.66666666666</x:v>
      </x:c>
      <x:c r="G85" s="31" t="n">
        <x:v>31667.166666666664</x:v>
      </x:c>
      <x:c r="H85" s="31" t="n">
        <x:v>175608.8333333333</x:v>
      </x:c>
      <x:c r="I85" s="30"/>
      <x:c r="J85" s="30"/>
      <x:c r="K85" s="30"/>
      <x:c r="L85" s="30"/>
    </x:row>
    <x:row r="86">
      <x:c r="A86" s="32" t="n">
        <x:v>45413</x:v>
      </x:c>
      <x:c r="B86" s="30" t="str">
        <x:v>Sales</x:v>
      </x:c>
      <x:c r="C86" s="30" t="n">
        <x:v>5</x:v>
      </x:c>
      <x:c r="D86" s="30" t="n">
        <x:v>5</x:v>
      </x:c>
      <x:c r="E86" s="30" t="n">
        <x:v>5</x:v>
      </x:c>
      <x:c r="F86" s="31" t="n">
        <x:v>45516.666666666664</x:v>
      </x:c>
      <x:c r="G86" s="31" t="n">
        <x:v>10013.666666666666</x:v>
      </x:c>
      <x:c r="H86" s="31" t="n">
        <x:v>55530.33333333333</x:v>
      </x:c>
      <x:c r="I86" s="30"/>
      <x:c r="J86" s="30"/>
      <x:c r="K86" s="30"/>
      <x:c r="L86" s="30"/>
    </x:row>
    <x:row r="87">
      <x:c r="A87" s="32" t="n">
        <x:v>45413</x:v>
      </x:c>
      <x:c r="B87" s="30" t="str">
        <x:v>Marketing</x:v>
      </x:c>
      <x:c r="C87" s="30" t="n">
        <x:v>2</x:v>
      </x:c>
      <x:c r="D87" s="30" t="n">
        <x:v>2</x:v>
      </x:c>
      <x:c r="E87" s="30" t="n">
        <x:v>2</x:v>
      </x:c>
      <x:c r="F87" s="31" t="n">
        <x:v>17091.666666666668</x:v>
      </x:c>
      <x:c r="G87" s="31" t="n">
        <x:v>3760.166666666667</x:v>
      </x:c>
      <x:c r="H87" s="31" t="n">
        <x:v>20851.833333333336</x:v>
      </x:c>
      <x:c r="I87" s="30"/>
      <x:c r="J87" s="30"/>
      <x:c r="K87" s="30"/>
      <x:c r="L87" s="30"/>
    </x:row>
    <x:row r="88">
      <x:c r="A88" s="32" t="n">
        <x:v>45413</x:v>
      </x:c>
      <x:c r="B88" s="30" t="str">
        <x:v>Customer Success</x:v>
      </x:c>
      <x:c r="C88" s="30" t="n">
        <x:v>6</x:v>
      </x:c>
      <x:c r="D88" s="30" t="n">
        <x:v>6</x:v>
      </x:c>
      <x:c r="E88" s="30" t="n">
        <x:v>6</x:v>
      </x:c>
      <x:c r="F88" s="31" t="n">
        <x:v>49975</x:v>
      </x:c>
      <x:c r="G88" s="31" t="n">
        <x:v>10994.5</x:v>
      </x:c>
      <x:c r="H88" s="31" t="n">
        <x:v>60969.5</x:v>
      </x:c>
      <x:c r="I88" s="30"/>
      <x:c r="J88" s="30"/>
      <x:c r="K88" s="30"/>
      <x:c r="L88" s="30"/>
    </x:row>
    <x:row r="89">
      <x:c r="A89" s="32" t="n">
        <x:v>45413</x:v>
      </x:c>
      <x:c r="B89" s="30" t="str">
        <x:v>G&amp;A</x:v>
      </x:c>
      <x:c r="C89" s="30" t="n">
        <x:v>1</x:v>
      </x:c>
      <x:c r="D89" s="30" t="n">
        <x:v>1</x:v>
      </x:c>
      <x:c r="E89" s="30" t="n">
        <x:v>1</x:v>
      </x:c>
      <x:c r="F89" s="31" t="n">
        <x:v>11641.666666666666</x:v>
      </x:c>
      <x:c r="G89" s="31" t="n">
        <x:v>2561.1666666666665</x:v>
      </x:c>
      <x:c r="H89" s="31" t="n">
        <x:v>14202.833333333332</x:v>
      </x:c>
      <x:c r="I89" s="30"/>
      <x:c r="J89" s="30"/>
      <x:c r="K89" s="30"/>
      <x:c r="L89" s="30"/>
    </x:row>
    <x:row r="90">
      <x:c r="A90" s="32" t="n">
        <x:v>45444</x:v>
      </x:c>
      <x:c r="B90" s="30" t="str">
        <x:v>Engineering</x:v>
      </x:c>
      <x:c r="C90" s="30" t="n">
        <x:v>12</x:v>
      </x:c>
      <x:c r="D90" s="30" t="n">
        <x:v>12</x:v>
      </x:c>
      <x:c r="E90" s="30" t="n">
        <x:v>12</x:v>
      </x:c>
      <x:c r="F90" s="31" t="n">
        <x:v>143941.66666666666</x:v>
      </x:c>
      <x:c r="G90" s="31" t="n">
        <x:v>31667.166666666664</x:v>
      </x:c>
      <x:c r="H90" s="31" t="n">
        <x:v>175608.8333333333</x:v>
      </x:c>
      <x:c r="I90" s="30"/>
      <x:c r="J90" s="30"/>
      <x:c r="K90" s="30"/>
      <x:c r="L90" s="30"/>
    </x:row>
    <x:row r="91">
      <x:c r="A91" s="32" t="n">
        <x:v>45444</x:v>
      </x:c>
      <x:c r="B91" s="30" t="str">
        <x:v>Sales</x:v>
      </x:c>
      <x:c r="C91" s="30" t="n">
        <x:v>5</x:v>
      </x:c>
      <x:c r="D91" s="30" t="n">
        <x:v>5</x:v>
      </x:c>
      <x:c r="E91" s="30" t="n">
        <x:v>5</x:v>
      </x:c>
      <x:c r="F91" s="31" t="n">
        <x:v>45516.666666666664</x:v>
      </x:c>
      <x:c r="G91" s="31" t="n">
        <x:v>10013.666666666666</x:v>
      </x:c>
      <x:c r="H91" s="31" t="n">
        <x:v>55530.33333333333</x:v>
      </x:c>
      <x:c r="I91" s="30"/>
      <x:c r="J91" s="30"/>
      <x:c r="K91" s="30"/>
      <x:c r="L91" s="30"/>
    </x:row>
    <x:row r="92">
      <x:c r="A92" s="32" t="n">
        <x:v>45444</x:v>
      </x:c>
      <x:c r="B92" s="30" t="str">
        <x:v>Marketing</x:v>
      </x:c>
      <x:c r="C92" s="30" t="n">
        <x:v>2</x:v>
      </x:c>
      <x:c r="D92" s="30" t="n">
        <x:v>2</x:v>
      </x:c>
      <x:c r="E92" s="30" t="n">
        <x:v>2</x:v>
      </x:c>
      <x:c r="F92" s="31" t="n">
        <x:v>17091.666666666668</x:v>
      </x:c>
      <x:c r="G92" s="31" t="n">
        <x:v>3760.166666666667</x:v>
      </x:c>
      <x:c r="H92" s="31" t="n">
        <x:v>20851.833333333336</x:v>
      </x:c>
      <x:c r="I92" s="30"/>
      <x:c r="J92" s="30"/>
      <x:c r="K92" s="30"/>
      <x:c r="L92" s="30"/>
    </x:row>
    <x:row r="93">
      <x:c r="A93" s="32" t="n">
        <x:v>45444</x:v>
      </x:c>
      <x:c r="B93" s="30" t="str">
        <x:v>Customer Success</x:v>
      </x:c>
      <x:c r="C93" s="30" t="n">
        <x:v>6</x:v>
      </x:c>
      <x:c r="D93" s="30" t="n">
        <x:v>6</x:v>
      </x:c>
      <x:c r="E93" s="30" t="n">
        <x:v>6</x:v>
      </x:c>
      <x:c r="F93" s="31" t="n">
        <x:v>49975</x:v>
      </x:c>
      <x:c r="G93" s="31" t="n">
        <x:v>10994.5</x:v>
      </x:c>
      <x:c r="H93" s="31" t="n">
        <x:v>60969.5</x:v>
      </x:c>
      <x:c r="I93" s="30"/>
      <x:c r="J93" s="30"/>
      <x:c r="K93" s="30"/>
      <x:c r="L93" s="30"/>
    </x:row>
    <x:row r="94">
      <x:c r="A94" s="32" t="n">
        <x:v>45444</x:v>
      </x:c>
      <x:c r="B94" s="30" t="str">
        <x:v>G&amp;A</x:v>
      </x:c>
      <x:c r="C94" s="30" t="n">
        <x:v>1</x:v>
      </x:c>
      <x:c r="D94" s="30" t="n">
        <x:v>2</x:v>
      </x:c>
      <x:c r="E94" s="30" t="n">
        <x:v>2</x:v>
      </x:c>
      <x:c r="F94" s="31" t="n">
        <x:v>19933.333333333332</x:v>
      </x:c>
      <x:c r="G94" s="31" t="n">
        <x:v>4385.333333333333</x:v>
      </x:c>
      <x:c r="H94" s="31" t="n">
        <x:v>24318.666666666664</x:v>
      </x:c>
      <x:c r="I94" s="30"/>
      <x:c r="J94" s="30"/>
      <x:c r="K94" s="30"/>
      <x:c r="L94" s="30"/>
    </x:row>
    <x:row r="95">
      <x:c r="A95" s="32" t="n">
        <x:v>45474</x:v>
      </x:c>
      <x:c r="B95" s="30" t="str">
        <x:v>Engineering</x:v>
      </x:c>
      <x:c r="C95" s="30" t="n">
        <x:v>12</x:v>
      </x:c>
      <x:c r="D95" s="30" t="n">
        <x:v>12</x:v>
      </x:c>
      <x:c r="E95" s="30" t="n">
        <x:v>12</x:v>
      </x:c>
      <x:c r="F95" s="31" t="n">
        <x:v>143941.66666666666</x:v>
      </x:c>
      <x:c r="G95" s="31" t="n">
        <x:v>31667.166666666664</x:v>
      </x:c>
      <x:c r="H95" s="31" t="n">
        <x:v>175608.8333333333</x:v>
      </x:c>
      <x:c r="I95" s="30"/>
      <x:c r="J95" s="30"/>
      <x:c r="K95" s="30"/>
      <x:c r="L95" s="30"/>
    </x:row>
    <x:row r="96">
      <x:c r="A96" s="32" t="n">
        <x:v>45474</x:v>
      </x:c>
      <x:c r="B96" s="30" t="str">
        <x:v>Sales</x:v>
      </x:c>
      <x:c r="C96" s="30" t="n">
        <x:v>5</x:v>
      </x:c>
      <x:c r="D96" s="30" t="n">
        <x:v>5</x:v>
      </x:c>
      <x:c r="E96" s="30" t="n">
        <x:v>5</x:v>
      </x:c>
      <x:c r="F96" s="31" t="n">
        <x:v>45516.666666666664</x:v>
      </x:c>
      <x:c r="G96" s="31" t="n">
        <x:v>10013.666666666666</x:v>
      </x:c>
      <x:c r="H96" s="31" t="n">
        <x:v>55530.33333333333</x:v>
      </x:c>
      <x:c r="I96" s="30"/>
      <x:c r="J96" s="30"/>
      <x:c r="K96" s="30"/>
      <x:c r="L96" s="30"/>
    </x:row>
    <x:row r="97">
      <x:c r="A97" s="32" t="n">
        <x:v>45474</x:v>
      </x:c>
      <x:c r="B97" s="30" t="str">
        <x:v>Marketing</x:v>
      </x:c>
      <x:c r="C97" s="30" t="n">
        <x:v>2</x:v>
      </x:c>
      <x:c r="D97" s="30" t="n">
        <x:v>2</x:v>
      </x:c>
      <x:c r="E97" s="30" t="n">
        <x:v>2</x:v>
      </x:c>
      <x:c r="F97" s="31" t="n">
        <x:v>17091.666666666668</x:v>
      </x:c>
      <x:c r="G97" s="31" t="n">
        <x:v>3760.166666666667</x:v>
      </x:c>
      <x:c r="H97" s="31" t="n">
        <x:v>20851.833333333336</x:v>
      </x:c>
      <x:c r="I97" s="30"/>
      <x:c r="J97" s="30"/>
      <x:c r="K97" s="30"/>
      <x:c r="L97" s="30"/>
    </x:row>
    <x:row r="98">
      <x:c r="A98" s="32" t="n">
        <x:v>45474</x:v>
      </x:c>
      <x:c r="B98" s="30" t="str">
        <x:v>Customer Success</x:v>
      </x:c>
      <x:c r="C98" s="30" t="n">
        <x:v>6</x:v>
      </x:c>
      <x:c r="D98" s="30" t="n">
        <x:v>6</x:v>
      </x:c>
      <x:c r="E98" s="30" t="n">
        <x:v>6</x:v>
      </x:c>
      <x:c r="F98" s="31" t="n">
        <x:v>49975</x:v>
      </x:c>
      <x:c r="G98" s="31" t="n">
        <x:v>10994.5</x:v>
      </x:c>
      <x:c r="H98" s="31" t="n">
        <x:v>60969.5</x:v>
      </x:c>
      <x:c r="I98" s="30"/>
      <x:c r="J98" s="30"/>
      <x:c r="K98" s="30"/>
      <x:c r="L98" s="30"/>
    </x:row>
    <x:row r="99">
      <x:c r="A99" s="32" t="n">
        <x:v>45474</x:v>
      </x:c>
      <x:c r="B99" s="30" t="str">
        <x:v>G&amp;A</x:v>
      </x:c>
      <x:c r="C99" s="30" t="n">
        <x:v>3</x:v>
      </x:c>
      <x:c r="D99" s="30" t="n">
        <x:v>2</x:v>
      </x:c>
      <x:c r="E99" s="30" t="n">
        <x:v>2</x:v>
      </x:c>
      <x:c r="F99" s="31" t="n">
        <x:v>19933.333333333332</x:v>
      </x:c>
      <x:c r="G99" s="31" t="n">
        <x:v>4385.333333333333</x:v>
      </x:c>
      <x:c r="H99" s="31" t="n">
        <x:v>24318.666666666664</x:v>
      </x:c>
      <x:c r="I99" s="30"/>
      <x:c r="J99" s="30"/>
      <x:c r="K99" s="30"/>
      <x:c r="L99" s="30"/>
    </x:row>
    <x:row r="100">
      <x:c r="A100" s="32" t="n">
        <x:v>45505</x:v>
      </x:c>
      <x:c r="B100" s="30" t="str">
        <x:v>Engineering</x:v>
      </x:c>
      <x:c r="C100" s="30" t="n">
        <x:v>12</x:v>
      </x:c>
      <x:c r="D100" s="30" t="n">
        <x:v>12</x:v>
      </x:c>
      <x:c r="E100" s="30" t="n">
        <x:v>12</x:v>
      </x:c>
      <x:c r="F100" s="31" t="n">
        <x:v>143941.66666666666</x:v>
      </x:c>
      <x:c r="G100" s="31" t="n">
        <x:v>31667.166666666664</x:v>
      </x:c>
      <x:c r="H100" s="31" t="n">
        <x:v>175608.8333333333</x:v>
      </x:c>
      <x:c r="I100" s="30"/>
      <x:c r="J100" s="30"/>
      <x:c r="K100" s="30"/>
      <x:c r="L100" s="30"/>
    </x:row>
    <x:row r="101">
      <x:c r="A101" s="32" t="n">
        <x:v>45505</x:v>
      </x:c>
      <x:c r="B101" s="30" t="str">
        <x:v>Sales</x:v>
      </x:c>
      <x:c r="C101" s="30" t="n">
        <x:v>6</x:v>
      </x:c>
      <x:c r="D101" s="30" t="n">
        <x:v>6</x:v>
      </x:c>
      <x:c r="E101" s="30" t="n">
        <x:v>6</x:v>
      </x:c>
      <x:c r="F101" s="31" t="n">
        <x:v>54941.666666666664</x:v>
      </x:c>
      <x:c r="G101" s="31" t="n">
        <x:v>12087.166666666666</x:v>
      </x:c>
      <x:c r="H101" s="31" t="n">
        <x:v>67028.83333333333</x:v>
      </x:c>
      <x:c r="I101" s="30"/>
      <x:c r="J101" s="30"/>
      <x:c r="K101" s="30"/>
      <x:c r="L101" s="30"/>
    </x:row>
    <x:row r="102">
      <x:c r="A102" s="32" t="n">
        <x:v>45505</x:v>
      </x:c>
      <x:c r="B102" s="30" t="str">
        <x:v>Marketing</x:v>
      </x:c>
      <x:c r="C102" s="30" t="n">
        <x:v>2</x:v>
      </x:c>
      <x:c r="D102" s="30" t="n">
        <x:v>2</x:v>
      </x:c>
      <x:c r="E102" s="30" t="n">
        <x:v>2</x:v>
      </x:c>
      <x:c r="F102" s="31" t="n">
        <x:v>17091.666666666668</x:v>
      </x:c>
      <x:c r="G102" s="31" t="n">
        <x:v>3760.166666666667</x:v>
      </x:c>
      <x:c r="H102" s="31" t="n">
        <x:v>20851.833333333336</x:v>
      </x:c>
      <x:c r="I102" s="30"/>
      <x:c r="J102" s="30"/>
      <x:c r="K102" s="30"/>
      <x:c r="L102" s="30"/>
    </x:row>
    <x:row r="103">
      <x:c r="A103" s="32" t="n">
        <x:v>45505</x:v>
      </x:c>
      <x:c r="B103" s="30" t="str">
        <x:v>Customer Success</x:v>
      </x:c>
      <x:c r="C103" s="30" t="n">
        <x:v>6</x:v>
      </x:c>
      <x:c r="D103" s="30" t="n">
        <x:v>6</x:v>
      </x:c>
      <x:c r="E103" s="30" t="n">
        <x:v>6</x:v>
      </x:c>
      <x:c r="F103" s="31" t="n">
        <x:v>49975</x:v>
      </x:c>
      <x:c r="G103" s="31" t="n">
        <x:v>10994.5</x:v>
      </x:c>
      <x:c r="H103" s="31" t="n">
        <x:v>60969.5</x:v>
      </x:c>
      <x:c r="I103" s="30"/>
      <x:c r="J103" s="30"/>
      <x:c r="K103" s="30"/>
      <x:c r="L103" s="30"/>
    </x:row>
    <x:row r="104">
      <x:c r="A104" s="32" t="n">
        <x:v>45505</x:v>
      </x:c>
      <x:c r="B104" s="30" t="str">
        <x:v>G&amp;A</x:v>
      </x:c>
      <x:c r="C104" s="30" t="n">
        <x:v>3</x:v>
      </x:c>
      <x:c r="D104" s="30" t="n">
        <x:v>3</x:v>
      </x:c>
      <x:c r="E104" s="30" t="n">
        <x:v>3</x:v>
      </x:c>
      <x:c r="F104" s="31" t="n">
        <x:v>29741.666666666668</x:v>
      </x:c>
      <x:c r="G104" s="31" t="n">
        <x:v>6543.166666666667</x:v>
      </x:c>
      <x:c r="H104" s="31" t="n">
        <x:v>36284.833333333336</x:v>
      </x:c>
      <x:c r="I104" s="30"/>
      <x:c r="J104" s="30"/>
      <x:c r="K104" s="30"/>
      <x:c r="L104" s="30"/>
    </x:row>
    <x:row r="105">
      <x:c r="A105" s="32" t="n">
        <x:v>45536</x:v>
      </x:c>
      <x:c r="B105" s="30" t="str">
        <x:v>Engineering</x:v>
      </x:c>
      <x:c r="C105" s="30" t="n">
        <x:v>13</x:v>
      </x:c>
      <x:c r="D105" s="30" t="n">
        <x:v>13</x:v>
      </x:c>
      <x:c r="E105" s="30" t="n">
        <x:v>13</x:v>
      </x:c>
      <x:c r="F105" s="31" t="n">
        <x:v>155716.66666666666</x:v>
      </x:c>
      <x:c r="G105" s="31" t="n">
        <x:v>34257.666666666664</x:v>
      </x:c>
      <x:c r="H105" s="31" t="n">
        <x:v>189974.3333333333</x:v>
      </x:c>
      <x:c r="I105" s="30"/>
      <x:c r="J105" s="30"/>
      <x:c r="K105" s="30"/>
      <x:c r="L105" s="30"/>
    </x:row>
    <x:row r="106">
      <x:c r="A106" s="32" t="n">
        <x:v>45536</x:v>
      </x:c>
      <x:c r="B106" s="30" t="str">
        <x:v>Sales</x:v>
      </x:c>
      <x:c r="C106" s="30" t="n">
        <x:v>6</x:v>
      </x:c>
      <x:c r="D106" s="30" t="n">
        <x:v>6</x:v>
      </x:c>
      <x:c r="E106" s="30" t="n">
        <x:v>6</x:v>
      </x:c>
      <x:c r="F106" s="31" t="n">
        <x:v>54941.666666666664</x:v>
      </x:c>
      <x:c r="G106" s="31" t="n">
        <x:v>12087.166666666666</x:v>
      </x:c>
      <x:c r="H106" s="31" t="n">
        <x:v>67028.83333333333</x:v>
      </x:c>
      <x:c r="I106" s="30"/>
      <x:c r="J106" s="30"/>
      <x:c r="K106" s="30"/>
      <x:c r="L106" s="30"/>
    </x:row>
    <x:row r="107">
      <x:c r="A107" s="32" t="n">
        <x:v>45536</x:v>
      </x:c>
      <x:c r="B107" s="30" t="str">
        <x:v>Marketing</x:v>
      </x:c>
      <x:c r="C107" s="30" t="n">
        <x:v>2</x:v>
      </x:c>
      <x:c r="D107" s="30" t="n">
        <x:v>3</x:v>
      </x:c>
      <x:c r="E107" s="30" t="n">
        <x:v>3</x:v>
      </x:c>
      <x:c r="F107" s="31" t="n">
        <x:v>26991.666666666668</x:v>
      </x:c>
      <x:c r="G107" s="31" t="n">
        <x:v>5938.166666666667</x:v>
      </x:c>
      <x:c r="H107" s="31" t="n">
        <x:v>32929.833333333336</x:v>
      </x:c>
      <x:c r="I107" s="30"/>
      <x:c r="J107" s="30"/>
      <x:c r="K107" s="30"/>
      <x:c r="L107" s="30"/>
    </x:row>
    <x:row r="108">
      <x:c r="A108" s="32" t="n">
        <x:v>45536</x:v>
      </x:c>
      <x:c r="B108" s="30" t="str">
        <x:v>Customer Success</x:v>
      </x:c>
      <x:c r="C108" s="30" t="n">
        <x:v>6</x:v>
      </x:c>
      <x:c r="D108" s="30" t="n">
        <x:v>6</x:v>
      </x:c>
      <x:c r="E108" s="30" t="n">
        <x:v>6</x:v>
      </x:c>
      <x:c r="F108" s="31" t="n">
        <x:v>49975</x:v>
      </x:c>
      <x:c r="G108" s="31" t="n">
        <x:v>10994.5</x:v>
      </x:c>
      <x:c r="H108" s="31" t="n">
        <x:v>60969.5</x:v>
      </x:c>
      <x:c r="I108" s="30"/>
      <x:c r="J108" s="30"/>
      <x:c r="K108" s="30"/>
      <x:c r="L108" s="30"/>
    </x:row>
    <x:row r="109">
      <x:c r="A109" s="32" t="n">
        <x:v>45536</x:v>
      </x:c>
      <x:c r="B109" s="30" t="str">
        <x:v>G&amp;A</x:v>
      </x:c>
      <x:c r="C109" s="30" t="n">
        <x:v>3</x:v>
      </x:c>
      <x:c r="D109" s="30" t="n">
        <x:v>3</x:v>
      </x:c>
      <x:c r="E109" s="30" t="n">
        <x:v>3</x:v>
      </x:c>
      <x:c r="F109" s="31" t="n">
        <x:v>29741.666666666668</x:v>
      </x:c>
      <x:c r="G109" s="31" t="n">
        <x:v>6543.166666666667</x:v>
      </x:c>
      <x:c r="H109" s="31" t="n">
        <x:v>36284.833333333336</x:v>
      </x:c>
      <x:c r="I109" s="30"/>
      <x:c r="J109" s="30"/>
      <x:c r="K109" s="30"/>
      <x:c r="L109" s="30"/>
    </x:row>
    <x:row r="110">
      <x:c r="A110" s="32" t="n">
        <x:v>45566</x:v>
      </x:c>
      <x:c r="B110" s="30" t="str">
        <x:v>Engineering</x:v>
      </x:c>
      <x:c r="C110" s="30" t="n">
        <x:v>14</x:v>
      </x:c>
      <x:c r="D110" s="30" t="n">
        <x:v>14</x:v>
      </x:c>
      <x:c r="E110" s="30" t="n">
        <x:v>14</x:v>
      </x:c>
      <x:c r="F110" s="31" t="n">
        <x:v>170008.33333333334</x:v>
      </x:c>
      <x:c r="G110" s="31" t="n">
        <x:v>37401.833333333336</x:v>
      </x:c>
      <x:c r="H110" s="31" t="n">
        <x:v>207410.1666666667</x:v>
      </x:c>
      <x:c r="I110" s="30"/>
      <x:c r="J110" s="30"/>
      <x:c r="K110" s="30"/>
      <x:c r="L110" s="30"/>
    </x:row>
    <x:row r="111">
      <x:c r="A111" s="32" t="n">
        <x:v>45566</x:v>
      </x:c>
      <x:c r="B111" s="30" t="str">
        <x:v>Sales</x:v>
      </x:c>
      <x:c r="C111" s="30" t="n">
        <x:v>6</x:v>
      </x:c>
      <x:c r="D111" s="30" t="n">
        <x:v>6</x:v>
      </x:c>
      <x:c r="E111" s="30" t="n">
        <x:v>6</x:v>
      </x:c>
      <x:c r="F111" s="31" t="n">
        <x:v>54941.666666666664</x:v>
      </x:c>
      <x:c r="G111" s="31" t="n">
        <x:v>12087.166666666666</x:v>
      </x:c>
      <x:c r="H111" s="31" t="n">
        <x:v>67028.83333333333</x:v>
      </x:c>
      <x:c r="I111" s="30"/>
      <x:c r="J111" s="30"/>
      <x:c r="K111" s="30"/>
      <x:c r="L111" s="30"/>
    </x:row>
    <x:row r="112">
      <x:c r="A112" s="32" t="n">
        <x:v>45566</x:v>
      </x:c>
      <x:c r="B112" s="30" t="str">
        <x:v>Marketing</x:v>
      </x:c>
      <x:c r="C112" s="30" t="n">
        <x:v>3</x:v>
      </x:c>
      <x:c r="D112" s="30" t="n">
        <x:v>3</x:v>
      </x:c>
      <x:c r="E112" s="30" t="n">
        <x:v>3</x:v>
      </x:c>
      <x:c r="F112" s="31" t="n">
        <x:v>26991.666666666668</x:v>
      </x:c>
      <x:c r="G112" s="31" t="n">
        <x:v>5938.166666666667</x:v>
      </x:c>
      <x:c r="H112" s="31" t="n">
        <x:v>32929.833333333336</x:v>
      </x:c>
      <x:c r="I112" s="30"/>
      <x:c r="J112" s="30"/>
      <x:c r="K112" s="30"/>
      <x:c r="L112" s="30"/>
    </x:row>
    <x:row r="113">
      <x:c r="A113" s="32" t="n">
        <x:v>45566</x:v>
      </x:c>
      <x:c r="B113" s="30" t="str">
        <x:v>Customer Success</x:v>
      </x:c>
      <x:c r="C113" s="30" t="n">
        <x:v>6</x:v>
      </x:c>
      <x:c r="D113" s="30" t="n">
        <x:v>6</x:v>
      </x:c>
      <x:c r="E113" s="30" t="n">
        <x:v>6</x:v>
      </x:c>
      <x:c r="F113" s="31" t="n">
        <x:v>49975</x:v>
      </x:c>
      <x:c r="G113" s="31" t="n">
        <x:v>10994.5</x:v>
      </x:c>
      <x:c r="H113" s="31" t="n">
        <x:v>60969.5</x:v>
      </x:c>
      <x:c r="I113" s="30"/>
      <x:c r="J113" s="30"/>
      <x:c r="K113" s="30"/>
      <x:c r="L113" s="30"/>
    </x:row>
    <x:row r="114">
      <x:c r="A114" s="32" t="n">
        <x:v>45566</x:v>
      </x:c>
      <x:c r="B114" s="30" t="str">
        <x:v>G&amp;A</x:v>
      </x:c>
      <x:c r="C114" s="30" t="n">
        <x:v>3</x:v>
      </x:c>
      <x:c r="D114" s="30" t="n">
        <x:v>3</x:v>
      </x:c>
      <x:c r="E114" s="30" t="n">
        <x:v>3</x:v>
      </x:c>
      <x:c r="F114" s="31" t="n">
        <x:v>29741.666666666668</x:v>
      </x:c>
      <x:c r="G114" s="31" t="n">
        <x:v>6543.166666666667</x:v>
      </x:c>
      <x:c r="H114" s="31" t="n">
        <x:v>36284.833333333336</x:v>
      </x:c>
      <x:c r="I114" s="30"/>
      <x:c r="J114" s="30"/>
      <x:c r="K114" s="30"/>
      <x:c r="L114" s="30"/>
    </x:row>
    <x:row r="115">
      <x:c r="A115" s="32" t="n">
        <x:v>45597</x:v>
      </x:c>
      <x:c r="B115" s="30" t="str">
        <x:v>Engineering</x:v>
      </x:c>
      <x:c r="C115" s="30" t="n">
        <x:v>15</x:v>
      </x:c>
      <x:c r="D115" s="30" t="n">
        <x:v>14</x:v>
      </x:c>
      <x:c r="E115" s="30" t="n">
        <x:v>14</x:v>
      </x:c>
      <x:c r="F115" s="31" t="n">
        <x:v>170008.33333333334</x:v>
      </x:c>
      <x:c r="G115" s="31" t="n">
        <x:v>37401.833333333336</x:v>
      </x:c>
      <x:c r="H115" s="31" t="n">
        <x:v>207410.1666666667</x:v>
      </x:c>
      <x:c r="I115" s="30"/>
      <x:c r="J115" s="30"/>
      <x:c r="K115" s="30"/>
      <x:c r="L115" s="30"/>
    </x:row>
    <x:row r="116">
      <x:c r="A116" s="32" t="n">
        <x:v>45597</x:v>
      </x:c>
      <x:c r="B116" s="30" t="str">
        <x:v>Sales</x:v>
      </x:c>
      <x:c r="C116" s="30" t="n">
        <x:v>6</x:v>
      </x:c>
      <x:c r="D116" s="30" t="n">
        <x:v>6</x:v>
      </x:c>
      <x:c r="E116" s="30" t="n">
        <x:v>6</x:v>
      </x:c>
      <x:c r="F116" s="31" t="n">
        <x:v>54941.666666666664</x:v>
      </x:c>
      <x:c r="G116" s="31" t="n">
        <x:v>12087.166666666666</x:v>
      </x:c>
      <x:c r="H116" s="31" t="n">
        <x:v>67028.83333333333</x:v>
      </x:c>
      <x:c r="I116" s="30"/>
      <x:c r="J116" s="30"/>
      <x:c r="K116" s="30"/>
      <x:c r="L116" s="30"/>
    </x:row>
    <x:row r="117">
      <x:c r="A117" s="32" t="n">
        <x:v>45597</x:v>
      </x:c>
      <x:c r="B117" s="30" t="str">
        <x:v>Marketing</x:v>
      </x:c>
      <x:c r="C117" s="30" t="n">
        <x:v>3</x:v>
      </x:c>
      <x:c r="D117" s="30" t="n">
        <x:v>3</x:v>
      </x:c>
      <x:c r="E117" s="30" t="n">
        <x:v>3</x:v>
      </x:c>
      <x:c r="F117" s="31" t="n">
        <x:v>26991.666666666668</x:v>
      </x:c>
      <x:c r="G117" s="31" t="n">
        <x:v>5938.166666666667</x:v>
      </x:c>
      <x:c r="H117" s="31" t="n">
        <x:v>32929.833333333336</x:v>
      </x:c>
      <x:c r="I117" s="30"/>
      <x:c r="J117" s="30"/>
      <x:c r="K117" s="30"/>
      <x:c r="L117" s="30"/>
    </x:row>
    <x:row r="118">
      <x:c r="A118" s="32" t="n">
        <x:v>45597</x:v>
      </x:c>
      <x:c r="B118" s="30" t="str">
        <x:v>Customer Success</x:v>
      </x:c>
      <x:c r="C118" s="30" t="n">
        <x:v>6</x:v>
      </x:c>
      <x:c r="D118" s="30" t="n">
        <x:v>6</x:v>
      </x:c>
      <x:c r="E118" s="30" t="n">
        <x:v>6</x:v>
      </x:c>
      <x:c r="F118" s="31" t="n">
        <x:v>49975</x:v>
      </x:c>
      <x:c r="G118" s="31" t="n">
        <x:v>10994.5</x:v>
      </x:c>
      <x:c r="H118" s="31" t="n">
        <x:v>60969.5</x:v>
      </x:c>
      <x:c r="I118" s="30"/>
      <x:c r="J118" s="30"/>
      <x:c r="K118" s="30"/>
      <x:c r="L118" s="30"/>
    </x:row>
    <x:row r="119">
      <x:c r="A119" s="32" t="n">
        <x:v>45597</x:v>
      </x:c>
      <x:c r="B119" s="30" t="str">
        <x:v>G&amp;A</x:v>
      </x:c>
      <x:c r="C119" s="30" t="n">
        <x:v>3</x:v>
      </x:c>
      <x:c r="D119" s="30" t="n">
        <x:v>3</x:v>
      </x:c>
      <x:c r="E119" s="30" t="n">
        <x:v>3</x:v>
      </x:c>
      <x:c r="F119" s="31" t="n">
        <x:v>29741.666666666668</x:v>
      </x:c>
      <x:c r="G119" s="31" t="n">
        <x:v>6543.166666666667</x:v>
      </x:c>
      <x:c r="H119" s="31" t="n">
        <x:v>36284.833333333336</x:v>
      </x:c>
      <x:c r="I119" s="30"/>
      <x:c r="J119" s="30"/>
      <x:c r="K119" s="30"/>
      <x:c r="L119" s="30"/>
    </x:row>
    <x:row r="120">
      <x:c r="A120" s="32" t="n">
        <x:v>45627</x:v>
      </x:c>
      <x:c r="B120" s="30" t="str">
        <x:v>Engineering</x:v>
      </x:c>
      <x:c r="C120" s="30" t="n">
        <x:v>15</x:v>
      </x:c>
      <x:c r="D120" s="30" t="n">
        <x:v>15</x:v>
      </x:c>
      <x:c r="E120" s="30" t="n">
        <x:v>15</x:v>
      </x:c>
      <x:c r="F120" s="31" t="n">
        <x:v>183558.33333333334</x:v>
      </x:c>
      <x:c r="G120" s="31" t="n">
        <x:v>40382.833333333336</x:v>
      </x:c>
      <x:c r="H120" s="31" t="n">
        <x:v>223941.1666666667</x:v>
      </x:c>
      <x:c r="I120" s="30"/>
      <x:c r="J120" s="30"/>
      <x:c r="K120" s="30"/>
      <x:c r="L120" s="30"/>
    </x:row>
    <x:row r="121">
      <x:c r="A121" s="32" t="n">
        <x:v>45627</x:v>
      </x:c>
      <x:c r="B121" s="30" t="str">
        <x:v>Sales</x:v>
      </x:c>
      <x:c r="C121" s="30" t="n">
        <x:v>6</x:v>
      </x:c>
      <x:c r="D121" s="30" t="n">
        <x:v>6</x:v>
      </x:c>
      <x:c r="E121" s="30" t="n">
        <x:v>6</x:v>
      </x:c>
      <x:c r="F121" s="31" t="n">
        <x:v>54941.666666666664</x:v>
      </x:c>
      <x:c r="G121" s="31" t="n">
        <x:v>12087.166666666666</x:v>
      </x:c>
      <x:c r="H121" s="31" t="n">
        <x:v>67028.83333333333</x:v>
      </x:c>
      <x:c r="I121" s="30"/>
      <x:c r="J121" s="30"/>
      <x:c r="K121" s="30"/>
      <x:c r="L121" s="30"/>
    </x:row>
    <x:row r="122">
      <x:c r="A122" s="32" t="n">
        <x:v>45627</x:v>
      </x:c>
      <x:c r="B122" s="30" t="str">
        <x:v>Marketing</x:v>
      </x:c>
      <x:c r="C122" s="30" t="n">
        <x:v>3</x:v>
      </x:c>
      <x:c r="D122" s="30" t="n">
        <x:v>3</x:v>
      </x:c>
      <x:c r="E122" s="30" t="n">
        <x:v>3</x:v>
      </x:c>
      <x:c r="F122" s="31" t="n">
        <x:v>26991.666666666668</x:v>
      </x:c>
      <x:c r="G122" s="31" t="n">
        <x:v>5938.166666666667</x:v>
      </x:c>
      <x:c r="H122" s="31" t="n">
        <x:v>32929.833333333336</x:v>
      </x:c>
      <x:c r="I122" s="30"/>
      <x:c r="J122" s="30"/>
      <x:c r="K122" s="30"/>
      <x:c r="L122" s="30"/>
    </x:row>
    <x:row r="123">
      <x:c r="A123" s="32" t="n">
        <x:v>45627</x:v>
      </x:c>
      <x:c r="B123" s="30" t="str">
        <x:v>Customer Success</x:v>
      </x:c>
      <x:c r="C123" s="30" t="n">
        <x:v>6</x:v>
      </x:c>
      <x:c r="D123" s="30" t="n">
        <x:v>6</x:v>
      </x:c>
      <x:c r="E123" s="30" t="n">
        <x:v>6</x:v>
      </x:c>
      <x:c r="F123" s="31" t="n">
        <x:v>49975</x:v>
      </x:c>
      <x:c r="G123" s="31" t="n">
        <x:v>10994.5</x:v>
      </x:c>
      <x:c r="H123" s="31" t="n">
        <x:v>60969.5</x:v>
      </x:c>
      <x:c r="I123" s="30"/>
      <x:c r="J123" s="30"/>
      <x:c r="K123" s="30"/>
      <x:c r="L123" s="30"/>
    </x:row>
    <x:row r="124">
      <x:c r="A124" s="32" t="n">
        <x:v>45627</x:v>
      </x:c>
      <x:c r="B124" s="30" t="str">
        <x:v>G&amp;A</x:v>
      </x:c>
      <x:c r="C124" s="30" t="n">
        <x:v>3</x:v>
      </x:c>
      <x:c r="D124" s="30" t="n">
        <x:v>3</x:v>
      </x:c>
      <x:c r="E124" s="30" t="n">
        <x:v>3</x:v>
      </x:c>
      <x:c r="F124" s="31" t="n">
        <x:v>29741.666666666668</x:v>
      </x:c>
      <x:c r="G124" s="31" t="n">
        <x:v>6543.166666666667</x:v>
      </x:c>
      <x:c r="H124" s="31" t="n">
        <x:v>36284.833333333336</x:v>
      </x:c>
      <x:c r="I124" s="30"/>
      <x:c r="J124" s="30"/>
      <x:c r="K124" s="30"/>
      <x:c r="L124" s="30"/>
    </x:row>
    <x:row r="125">
      <x:c r="A125" s="32" t="n">
        <x:v>45658</x:v>
      </x:c>
      <x:c r="B125" s="30" t="str">
        <x:v>Engineering</x:v>
      </x:c>
      <x:c r="C125" s="30" t="n">
        <x:v>16</x:v>
      </x:c>
      <x:c r="D125" s="30" t="n">
        <x:v>16</x:v>
      </x:c>
      <x:c r="E125" s="30" t="n">
        <x:v>16</x:v>
      </x:c>
      <x:c r="F125" s="31" t="n">
        <x:v>195816.66666666666</x:v>
      </x:c>
      <x:c r="G125" s="31" t="n">
        <x:v>43079.666666666664</x:v>
      </x:c>
      <x:c r="H125" s="31" t="n">
        <x:v>238896.3333333333</x:v>
      </x:c>
      <x:c r="I125" s="30"/>
      <x:c r="J125" s="30"/>
      <x:c r="K125" s="30"/>
      <x:c r="L125" s="30"/>
    </x:row>
    <x:row r="126">
      <x:c r="A126" s="32" t="n">
        <x:v>45658</x:v>
      </x:c>
      <x:c r="B126" s="30" t="str">
        <x:v>Sales</x:v>
      </x:c>
      <x:c r="C126" s="30" t="n">
        <x:v>7</x:v>
      </x:c>
      <x:c r="D126" s="30" t="n">
        <x:v>6</x:v>
      </x:c>
      <x:c r="E126" s="30" t="n">
        <x:v>6</x:v>
      </x:c>
      <x:c r="F126" s="31" t="n">
        <x:v>54941.666666666664</x:v>
      </x:c>
      <x:c r="G126" s="31" t="n">
        <x:v>12087.166666666666</x:v>
      </x:c>
      <x:c r="H126" s="31" t="n">
        <x:v>67028.83333333333</x:v>
      </x:c>
      <x:c r="I126" s="30"/>
      <x:c r="J126" s="30"/>
      <x:c r="K126" s="30"/>
      <x:c r="L126" s="30"/>
    </x:row>
    <x:row r="127">
      <x:c r="A127" s="32" t="n">
        <x:v>45658</x:v>
      </x:c>
      <x:c r="B127" s="30" t="str">
        <x:v>Marketing</x:v>
      </x:c>
      <x:c r="C127" s="30" t="n">
        <x:v>3</x:v>
      </x:c>
      <x:c r="D127" s="30" t="n">
        <x:v>3</x:v>
      </x:c>
      <x:c r="E127" s="30" t="n">
        <x:v>3</x:v>
      </x:c>
      <x:c r="F127" s="31" t="n">
        <x:v>26991.666666666668</x:v>
      </x:c>
      <x:c r="G127" s="31" t="n">
        <x:v>5938.166666666667</x:v>
      </x:c>
      <x:c r="H127" s="31" t="n">
        <x:v>32929.833333333336</x:v>
      </x:c>
      <x:c r="I127" s="30"/>
      <x:c r="J127" s="30"/>
      <x:c r="K127" s="30"/>
      <x:c r="L127" s="30"/>
    </x:row>
    <x:row r="128">
      <x:c r="A128" s="32" t="n">
        <x:v>45658</x:v>
      </x:c>
      <x:c r="B128" s="30" t="str">
        <x:v>Customer Success</x:v>
      </x:c>
      <x:c r="C128" s="30" t="n">
        <x:v>6</x:v>
      </x:c>
      <x:c r="D128" s="30" t="n">
        <x:v>6</x:v>
      </x:c>
      <x:c r="E128" s="30" t="n">
        <x:v>6</x:v>
      </x:c>
      <x:c r="F128" s="31" t="n">
        <x:v>49975</x:v>
      </x:c>
      <x:c r="G128" s="31" t="n">
        <x:v>10994.5</x:v>
      </x:c>
      <x:c r="H128" s="31" t="n">
        <x:v>60969.5</x:v>
      </x:c>
      <x:c r="I128" s="30"/>
      <x:c r="J128" s="30"/>
      <x:c r="K128" s="30"/>
      <x:c r="L128" s="30"/>
    </x:row>
    <x:row r="129">
      <x:c r="A129" s="32" t="n">
        <x:v>45658</x:v>
      </x:c>
      <x:c r="B129" s="30" t="str">
        <x:v>G&amp;A</x:v>
      </x:c>
      <x:c r="C129" s="30" t="n">
        <x:v>3</x:v>
      </x:c>
      <x:c r="D129" s="30" t="n">
        <x:v>3</x:v>
      </x:c>
      <x:c r="E129" s="30" t="n">
        <x:v>3</x:v>
      </x:c>
      <x:c r="F129" s="31" t="n">
        <x:v>29741.666666666668</x:v>
      </x:c>
      <x:c r="G129" s="31" t="n">
        <x:v>6543.166666666667</x:v>
      </x:c>
      <x:c r="H129" s="31" t="n">
        <x:v>36284.833333333336</x:v>
      </x:c>
      <x:c r="I129" s="30"/>
      <x:c r="J129" s="30"/>
      <x:c r="K129" s="30"/>
      <x:c r="L129" s="30"/>
    </x:row>
    <x:row r="130">
      <x:c r="A130" s="32" t="n">
        <x:v>45689</x:v>
      </x:c>
      <x:c r="B130" s="30" t="str">
        <x:v>Engineering</x:v>
      </x:c>
      <x:c r="C130" s="30" t="n">
        <x:v>17</x:v>
      </x:c>
      <x:c r="D130" s="30" t="n">
        <x:v>17</x:v>
      </x:c>
      <x:c r="E130" s="30" t="n">
        <x:v>17</x:v>
      </x:c>
      <x:c r="F130" s="31" t="n">
        <x:v>210475</x:v>
      </x:c>
      <x:c r="G130" s="31" t="n">
        <x:v>46304.5</x:v>
      </x:c>
      <x:c r="H130" s="31" t="n">
        <x:v>256779.5</x:v>
      </x:c>
      <x:c r="I130" s="30"/>
      <x:c r="J130" s="30"/>
      <x:c r="K130" s="30"/>
      <x:c r="L130" s="30"/>
    </x:row>
    <x:row r="131">
      <x:c r="A131" s="32" t="n">
        <x:v>45689</x:v>
      </x:c>
      <x:c r="B131" s="30" t="str">
        <x:v>Sales</x:v>
      </x:c>
      <x:c r="C131" s="30" t="n">
        <x:v>7</x:v>
      </x:c>
      <x:c r="D131" s="30" t="n">
        <x:v>7</x:v>
      </x:c>
      <x:c r="E131" s="30" t="n">
        <x:v>7</x:v>
      </x:c>
      <x:c r="F131" s="31" t="n">
        <x:v>66750</x:v>
      </x:c>
      <x:c r="G131" s="31" t="n">
        <x:v>14685</x:v>
      </x:c>
      <x:c r="H131" s="31" t="n">
        <x:v>81435</x:v>
      </x:c>
      <x:c r="I131" s="30"/>
      <x:c r="J131" s="30"/>
      <x:c r="K131" s="30"/>
      <x:c r="L131" s="30"/>
    </x:row>
    <x:row r="132">
      <x:c r="A132" s="32" t="n">
        <x:v>45689</x:v>
      </x:c>
      <x:c r="B132" s="30" t="str">
        <x:v>Marketing</x:v>
      </x:c>
      <x:c r="C132" s="30" t="n">
        <x:v>3</x:v>
      </x:c>
      <x:c r="D132" s="30" t="n">
        <x:v>3</x:v>
      </x:c>
      <x:c r="E132" s="30" t="n">
        <x:v>3</x:v>
      </x:c>
      <x:c r="F132" s="31" t="n">
        <x:v>26991.666666666668</x:v>
      </x:c>
      <x:c r="G132" s="31" t="n">
        <x:v>5938.166666666667</x:v>
      </x:c>
      <x:c r="H132" s="31" t="n">
        <x:v>32929.833333333336</x:v>
      </x:c>
      <x:c r="I132" s="30"/>
      <x:c r="J132" s="30"/>
      <x:c r="K132" s="30"/>
      <x:c r="L132" s="30"/>
    </x:row>
    <x:row r="133">
      <x:c r="A133" s="32" t="n">
        <x:v>45689</x:v>
      </x:c>
      <x:c r="B133" s="30" t="str">
        <x:v>Customer Success</x:v>
      </x:c>
      <x:c r="C133" s="30" t="n">
        <x:v>6</x:v>
      </x:c>
      <x:c r="D133" s="30" t="n">
        <x:v>6</x:v>
      </x:c>
      <x:c r="E133" s="30" t="n">
        <x:v>6</x:v>
      </x:c>
      <x:c r="F133" s="31" t="n">
        <x:v>49975</x:v>
      </x:c>
      <x:c r="G133" s="31" t="n">
        <x:v>10994.5</x:v>
      </x:c>
      <x:c r="H133" s="31" t="n">
        <x:v>60969.5</x:v>
      </x:c>
      <x:c r="I133" s="30"/>
      <x:c r="J133" s="30"/>
      <x:c r="K133" s="30"/>
      <x:c r="L133" s="30"/>
    </x:row>
    <x:row r="134">
      <x:c r="A134" s="32" t="n">
        <x:v>45689</x:v>
      </x:c>
      <x:c r="B134" s="30" t="str">
        <x:v>G&amp;A</x:v>
      </x:c>
      <x:c r="C134" s="30" t="n">
        <x:v>4</x:v>
      </x:c>
      <x:c r="D134" s="30" t="n">
        <x:v>4</x:v>
      </x:c>
      <x:c r="E134" s="30" t="n">
        <x:v>4</x:v>
      </x:c>
      <x:c r="F134" s="31" t="n">
        <x:v>42900</x:v>
      </x:c>
      <x:c r="G134" s="31" t="n">
        <x:v>9438</x:v>
      </x:c>
      <x:c r="H134" s="31" t="n">
        <x:v>52338</x:v>
      </x:c>
      <x:c r="I134" s="30"/>
      <x:c r="J134" s="30"/>
      <x:c r="K134" s="30"/>
      <x:c r="L134" s="30"/>
    </x:row>
    <x:row r="135">
      <x:c r="A135" s="32" t="n">
        <x:v>45717</x:v>
      </x:c>
      <x:c r="B135" s="30" t="str">
        <x:v>Engineering</x:v>
      </x:c>
      <x:c r="C135" s="30" t="n">
        <x:v>17</x:v>
      </x:c>
      <x:c r="D135" s="30" t="n">
        <x:v>17</x:v>
      </x:c>
      <x:c r="E135" s="30" t="n">
        <x:v>17</x:v>
      </x:c>
      <x:c r="F135" s="31" t="n">
        <x:v>210475</x:v>
      </x:c>
      <x:c r="G135" s="31" t="n">
        <x:v>46304.5</x:v>
      </x:c>
      <x:c r="H135" s="31" t="n">
        <x:v>256779.5</x:v>
      </x:c>
      <x:c r="I135" s="30"/>
      <x:c r="J135" s="30"/>
      <x:c r="K135" s="30"/>
      <x:c r="L135" s="30"/>
    </x:row>
    <x:row r="136">
      <x:c r="A136" s="32" t="n">
        <x:v>45717</x:v>
      </x:c>
      <x:c r="B136" s="30" t="str">
        <x:v>Sales</x:v>
      </x:c>
      <x:c r="C136" s="30" t="n">
        <x:v>7</x:v>
      </x:c>
      <x:c r="D136" s="30" t="n">
        <x:v>8</x:v>
      </x:c>
      <x:c r="E136" s="30" t="n">
        <x:v>8</x:v>
      </x:c>
      <x:c r="F136" s="31" t="n">
        <x:v>76075</x:v>
      </x:c>
      <x:c r="G136" s="31" t="n">
        <x:v>16736.5</x:v>
      </x:c>
      <x:c r="H136" s="31" t="n">
        <x:v>92811.5</x:v>
      </x:c>
      <x:c r="I136" s="30"/>
      <x:c r="J136" s="30"/>
      <x:c r="K136" s="30"/>
      <x:c r="L136" s="30"/>
    </x:row>
    <x:row r="137">
      <x:c r="A137" s="32" t="n">
        <x:v>45717</x:v>
      </x:c>
      <x:c r="B137" s="30" t="str">
        <x:v>Marketing</x:v>
      </x:c>
      <x:c r="C137" s="30" t="n">
        <x:v>3</x:v>
      </x:c>
      <x:c r="D137" s="30" t="n">
        <x:v>3</x:v>
      </x:c>
      <x:c r="E137" s="30" t="n">
        <x:v>3</x:v>
      </x:c>
      <x:c r="F137" s="31" t="n">
        <x:v>26991.666666666668</x:v>
      </x:c>
      <x:c r="G137" s="31" t="n">
        <x:v>5938.166666666667</x:v>
      </x:c>
      <x:c r="H137" s="31" t="n">
        <x:v>32929.833333333336</x:v>
      </x:c>
      <x:c r="I137" s="30"/>
      <x:c r="J137" s="30"/>
      <x:c r="K137" s="30"/>
      <x:c r="L137" s="30"/>
    </x:row>
    <x:row r="138">
      <x:c r="A138" s="32" t="n">
        <x:v>45717</x:v>
      </x:c>
      <x:c r="B138" s="30" t="str">
        <x:v>Customer Success</x:v>
      </x:c>
      <x:c r="C138" s="30" t="n">
        <x:v>6</x:v>
      </x:c>
      <x:c r="D138" s="30" t="n">
        <x:v>6</x:v>
      </x:c>
      <x:c r="E138" s="30" t="n">
        <x:v>6</x:v>
      </x:c>
      <x:c r="F138" s="31" t="n">
        <x:v>49975</x:v>
      </x:c>
      <x:c r="G138" s="31" t="n">
        <x:v>10994.5</x:v>
      </x:c>
      <x:c r="H138" s="31" t="n">
        <x:v>60969.5</x:v>
      </x:c>
      <x:c r="I138" s="30"/>
      <x:c r="J138" s="30"/>
      <x:c r="K138" s="30"/>
      <x:c r="L138" s="30"/>
    </x:row>
    <x:row r="139">
      <x:c r="A139" s="32" t="n">
        <x:v>45717</x:v>
      </x:c>
      <x:c r="B139" s="30" t="str">
        <x:v>G&amp;A</x:v>
      </x:c>
      <x:c r="C139" s="30" t="n">
        <x:v>4</x:v>
      </x:c>
      <x:c r="D139" s="30" t="n">
        <x:v>4</x:v>
      </x:c>
      <x:c r="E139" s="30" t="n">
        <x:v>4</x:v>
      </x:c>
      <x:c r="F139" s="31" t="n">
        <x:v>42900</x:v>
      </x:c>
      <x:c r="G139" s="31" t="n">
        <x:v>9438</x:v>
      </x:c>
      <x:c r="H139" s="31" t="n">
        <x:v>52338</x:v>
      </x:c>
      <x:c r="I139" s="30"/>
      <x:c r="J139" s="30"/>
      <x:c r="K139" s="30"/>
      <x:c r="L139" s="30"/>
    </x:row>
    <x:row r="140">
      <x:c r="A140" s="32" t="n">
        <x:v>45748</x:v>
      </x:c>
      <x:c r="B140" s="30" t="str">
        <x:v>Engineering</x:v>
      </x:c>
      <x:c r="C140" s="30" t="n">
        <x:v>17</x:v>
      </x:c>
      <x:c r="D140" s="30" t="n">
        <x:v>17</x:v>
      </x:c>
      <x:c r="E140" s="30" t="n">
        <x:v>17</x:v>
      </x:c>
      <x:c r="F140" s="31" t="n">
        <x:v>210475</x:v>
      </x:c>
      <x:c r="G140" s="31" t="n">
        <x:v>46304.5</x:v>
      </x:c>
      <x:c r="H140" s="31" t="n">
        <x:v>256779.5</x:v>
      </x:c>
      <x:c r="I140" s="30"/>
      <x:c r="J140" s="30"/>
      <x:c r="K140" s="30"/>
      <x:c r="L140" s="30"/>
    </x:row>
    <x:row r="141">
      <x:c r="A141" s="32" t="n">
        <x:v>45748</x:v>
      </x:c>
      <x:c r="B141" s="30" t="str">
        <x:v>Sales</x:v>
      </x:c>
      <x:c r="C141" s="30" t="n">
        <x:v>9</x:v>
      </x:c>
      <x:c r="D141" s="30" t="n">
        <x:v>9</x:v>
      </x:c>
      <x:c r="E141" s="30" t="n">
        <x:v>9</x:v>
      </x:c>
      <x:c r="F141" s="31" t="n">
        <x:v>85308.33333333333</x:v>
      </x:c>
      <x:c r="G141" s="31" t="n">
        <x:v>18767.833333333332</x:v>
      </x:c>
      <x:c r="H141" s="31" t="n">
        <x:v>104076.16666666666</x:v>
      </x:c>
      <x:c r="I141" s="30"/>
      <x:c r="J141" s="30"/>
      <x:c r="K141" s="30"/>
      <x:c r="L141" s="30"/>
    </x:row>
    <x:row r="142">
      <x:c r="A142" s="32" t="n">
        <x:v>45748</x:v>
      </x:c>
      <x:c r="B142" s="30" t="str">
        <x:v>Marketing</x:v>
      </x:c>
      <x:c r="C142" s="30" t="n">
        <x:v>3</x:v>
      </x:c>
      <x:c r="D142" s="30" t="n">
        <x:v>3</x:v>
      </x:c>
      <x:c r="E142" s="30" t="n">
        <x:v>3</x:v>
      </x:c>
      <x:c r="F142" s="31" t="n">
        <x:v>26991.666666666668</x:v>
      </x:c>
      <x:c r="G142" s="31" t="n">
        <x:v>5938.166666666667</x:v>
      </x:c>
      <x:c r="H142" s="31" t="n">
        <x:v>32929.833333333336</x:v>
      </x:c>
      <x:c r="I142" s="30"/>
      <x:c r="J142" s="30"/>
      <x:c r="K142" s="30"/>
      <x:c r="L142" s="30"/>
    </x:row>
    <x:row r="143">
      <x:c r="A143" s="32" t="n">
        <x:v>45748</x:v>
      </x:c>
      <x:c r="B143" s="30" t="str">
        <x:v>Customer Success</x:v>
      </x:c>
      <x:c r="C143" s="30" t="n">
        <x:v>6</x:v>
      </x:c>
      <x:c r="D143" s="30" t="n">
        <x:v>6</x:v>
      </x:c>
      <x:c r="E143" s="30" t="n">
        <x:v>6</x:v>
      </x:c>
      <x:c r="F143" s="31" t="n">
        <x:v>49975</x:v>
      </x:c>
      <x:c r="G143" s="31" t="n">
        <x:v>10994.5</x:v>
      </x:c>
      <x:c r="H143" s="31" t="n">
        <x:v>60969.5</x:v>
      </x:c>
      <x:c r="I143" s="30"/>
      <x:c r="J143" s="30"/>
      <x:c r="K143" s="30"/>
      <x:c r="L143" s="30"/>
    </x:row>
    <x:row r="144">
      <x:c r="A144" s="32" t="n">
        <x:v>45748</x:v>
      </x:c>
      <x:c r="B144" s="30" t="str">
        <x:v>G&amp;A</x:v>
      </x:c>
      <x:c r="C144" s="30" t="n">
        <x:v>4</x:v>
      </x:c>
      <x:c r="D144" s="30" t="n">
        <x:v>4</x:v>
      </x:c>
      <x:c r="E144" s="30" t="n">
        <x:v>4</x:v>
      </x:c>
      <x:c r="F144" s="31" t="n">
        <x:v>42900</x:v>
      </x:c>
      <x:c r="G144" s="31" t="n">
        <x:v>9438</x:v>
      </x:c>
      <x:c r="H144" s="31" t="n">
        <x:v>52338</x:v>
      </x:c>
      <x:c r="I144" s="30"/>
      <x:c r="J144" s="30"/>
      <x:c r="K144" s="30"/>
      <x:c r="L144" s="30"/>
    </x:row>
    <x:row r="145">
      <x:c r="A145" s="32" t="n">
        <x:v>45778</x:v>
      </x:c>
      <x:c r="B145" s="30" t="str">
        <x:v>Engineering</x:v>
      </x:c>
      <x:c r="C145" s="30" t="n">
        <x:v>17</x:v>
      </x:c>
      <x:c r="D145" s="30" t="n">
        <x:v>17</x:v>
      </x:c>
      <x:c r="E145" s="30" t="n">
        <x:v>17</x:v>
      </x:c>
      <x:c r="F145" s="31" t="n">
        <x:v>210475</x:v>
      </x:c>
      <x:c r="G145" s="31" t="n">
        <x:v>46304.5</x:v>
      </x:c>
      <x:c r="H145" s="31" t="n">
        <x:v>256779.5</x:v>
      </x:c>
      <x:c r="I145" s="30"/>
      <x:c r="J145" s="30"/>
      <x:c r="K145" s="30"/>
      <x:c r="L145" s="30"/>
    </x:row>
    <x:row r="146">
      <x:c r="A146" s="32" t="n">
        <x:v>45778</x:v>
      </x:c>
      <x:c r="B146" s="30" t="str">
        <x:v>Sales</x:v>
      </x:c>
      <x:c r="C146" s="30" t="n">
        <x:v>9</x:v>
      </x:c>
      <x:c r="D146" s="30" t="n">
        <x:v>9</x:v>
      </x:c>
      <x:c r="E146" s="30" t="n">
        <x:v>9</x:v>
      </x:c>
      <x:c r="F146" s="31" t="n">
        <x:v>85308.33333333333</x:v>
      </x:c>
      <x:c r="G146" s="31" t="n">
        <x:v>18767.833333333332</x:v>
      </x:c>
      <x:c r="H146" s="31" t="n">
        <x:v>104076.16666666666</x:v>
      </x:c>
      <x:c r="I146" s="30"/>
      <x:c r="J146" s="30"/>
      <x:c r="K146" s="30"/>
      <x:c r="L146" s="30"/>
    </x:row>
    <x:row r="147">
      <x:c r="A147" s="32" t="n">
        <x:v>45778</x:v>
      </x:c>
      <x:c r="B147" s="30" t="str">
        <x:v>Marketing</x:v>
      </x:c>
      <x:c r="C147" s="30" t="n">
        <x:v>3</x:v>
      </x:c>
      <x:c r="D147" s="30" t="n">
        <x:v>3</x:v>
      </x:c>
      <x:c r="E147" s="30" t="n">
        <x:v>3</x:v>
      </x:c>
      <x:c r="F147" s="31" t="n">
        <x:v>26991.666666666668</x:v>
      </x:c>
      <x:c r="G147" s="31" t="n">
        <x:v>5938.166666666667</x:v>
      </x:c>
      <x:c r="H147" s="31" t="n">
        <x:v>32929.833333333336</x:v>
      </x:c>
      <x:c r="I147" s="30"/>
      <x:c r="J147" s="30"/>
      <x:c r="K147" s="30"/>
      <x:c r="L147" s="30"/>
    </x:row>
    <x:row r="148">
      <x:c r="A148" s="32" t="n">
        <x:v>45778</x:v>
      </x:c>
      <x:c r="B148" s="30" t="str">
        <x:v>Customer Success</x:v>
      </x:c>
      <x:c r="C148" s="30" t="n">
        <x:v>6</x:v>
      </x:c>
      <x:c r="D148" s="30" t="n">
        <x:v>6</x:v>
      </x:c>
      <x:c r="E148" s="30" t="n">
        <x:v>6</x:v>
      </x:c>
      <x:c r="F148" s="31" t="n">
        <x:v>49975</x:v>
      </x:c>
      <x:c r="G148" s="31" t="n">
        <x:v>10994.5</x:v>
      </x:c>
      <x:c r="H148" s="31" t="n">
        <x:v>60969.5</x:v>
      </x:c>
      <x:c r="I148" s="30"/>
      <x:c r="J148" s="30"/>
      <x:c r="K148" s="30"/>
      <x:c r="L148" s="30"/>
    </x:row>
    <x:row r="149">
      <x:c r="A149" s="32" t="n">
        <x:v>45778</x:v>
      </x:c>
      <x:c r="B149" s="30" t="str">
        <x:v>G&amp;A</x:v>
      </x:c>
      <x:c r="C149" s="30" t="n">
        <x:v>4</x:v>
      </x:c>
      <x:c r="D149" s="30" t="n">
        <x:v>4</x:v>
      </x:c>
      <x:c r="E149" s="30" t="n">
        <x:v>4</x:v>
      </x:c>
      <x:c r="F149" s="31" t="n">
        <x:v>42900</x:v>
      </x:c>
      <x:c r="G149" s="31" t="n">
        <x:v>9438</x:v>
      </x:c>
      <x:c r="H149" s="31" t="n">
        <x:v>52338</x:v>
      </x:c>
      <x:c r="I149" s="30"/>
      <x:c r="J149" s="30"/>
      <x:c r="K149" s="30"/>
      <x:c r="L149" s="30"/>
    </x:row>
    <x:row r="150">
      <x:c r="A150" s="32" t="n">
        <x:v>45809</x:v>
      </x:c>
      <x:c r="B150" s="30" t="str">
        <x:v>Engineering</x:v>
      </x:c>
      <x:c r="C150" s="30" t="n">
        <x:v>17</x:v>
      </x:c>
      <x:c r="D150" s="30" t="n">
        <x:v>17</x:v>
      </x:c>
      <x:c r="E150" s="30" t="n">
        <x:v>17</x:v>
      </x:c>
      <x:c r="F150" s="31" t="n">
        <x:v>210475</x:v>
      </x:c>
      <x:c r="G150" s="31" t="n">
        <x:v>46304.5</x:v>
      </x:c>
      <x:c r="H150" s="31" t="n">
        <x:v>256779.5</x:v>
      </x:c>
      <x:c r="I150" s="30"/>
      <x:c r="J150" s="30"/>
      <x:c r="K150" s="30"/>
      <x:c r="L150" s="30"/>
    </x:row>
    <x:row r="151">
      <x:c r="A151" s="32" t="n">
        <x:v>45809</x:v>
      </x:c>
      <x:c r="B151" s="30" t="str">
        <x:v>Sales</x:v>
      </x:c>
      <x:c r="C151" s="30" t="n">
        <x:v>9</x:v>
      </x:c>
      <x:c r="D151" s="30" t="n">
        <x:v>9</x:v>
      </x:c>
      <x:c r="E151" s="30" t="n">
        <x:v>9</x:v>
      </x:c>
      <x:c r="F151" s="31" t="n">
        <x:v>85308.33333333333</x:v>
      </x:c>
      <x:c r="G151" s="31" t="n">
        <x:v>18767.833333333332</x:v>
      </x:c>
      <x:c r="H151" s="31" t="n">
        <x:v>104076.16666666666</x:v>
      </x:c>
      <x:c r="I151" s="30"/>
      <x:c r="J151" s="30"/>
      <x:c r="K151" s="30"/>
      <x:c r="L151" s="30"/>
    </x:row>
    <x:row r="152">
      <x:c r="A152" s="32" t="n">
        <x:v>45809</x:v>
      </x:c>
      <x:c r="B152" s="30" t="str">
        <x:v>Marketing</x:v>
      </x:c>
      <x:c r="C152" s="30" t="n">
        <x:v>3</x:v>
      </x:c>
      <x:c r="D152" s="30" t="n">
        <x:v>3</x:v>
      </x:c>
      <x:c r="E152" s="30" t="n">
        <x:v>3</x:v>
      </x:c>
      <x:c r="F152" s="31" t="n">
        <x:v>26991.666666666668</x:v>
      </x:c>
      <x:c r="G152" s="31" t="n">
        <x:v>5938.166666666667</x:v>
      </x:c>
      <x:c r="H152" s="31" t="n">
        <x:v>32929.833333333336</x:v>
      </x:c>
      <x:c r="I152" s="30"/>
      <x:c r="J152" s="30"/>
      <x:c r="K152" s="30"/>
      <x:c r="L152" s="30"/>
    </x:row>
    <x:row r="153">
      <x:c r="A153" s="32" t="n">
        <x:v>45809</x:v>
      </x:c>
      <x:c r="B153" s="30" t="str">
        <x:v>Customer Success</x:v>
      </x:c>
      <x:c r="C153" s="30" t="n">
        <x:v>6</x:v>
      </x:c>
      <x:c r="D153" s="30" t="n">
        <x:v>6</x:v>
      </x:c>
      <x:c r="E153" s="30" t="n">
        <x:v>6</x:v>
      </x:c>
      <x:c r="F153" s="31" t="n">
        <x:v>49975</x:v>
      </x:c>
      <x:c r="G153" s="31" t="n">
        <x:v>10994.5</x:v>
      </x:c>
      <x:c r="H153" s="31" t="n">
        <x:v>60969.5</x:v>
      </x:c>
      <x:c r="I153" s="30"/>
      <x:c r="J153" s="30"/>
      <x:c r="K153" s="30"/>
      <x:c r="L153" s="30"/>
    </x:row>
    <x:row r="154">
      <x:c r="A154" s="32" t="n">
        <x:v>45809</x:v>
      </x:c>
      <x:c r="B154" s="30" t="str">
        <x:v>G&amp;A</x:v>
      </x:c>
      <x:c r="C154" s="30" t="n">
        <x:v>4</x:v>
      </x:c>
      <x:c r="D154" s="30" t="n">
        <x:v>4</x:v>
      </x:c>
      <x:c r="E154" s="30" t="n">
        <x:v>4</x:v>
      </x:c>
      <x:c r="F154" s="31" t="n">
        <x:v>42900</x:v>
      </x:c>
      <x:c r="G154" s="31" t="n">
        <x:v>9438</x:v>
      </x:c>
      <x:c r="H154" s="31" t="n">
        <x:v>52338</x:v>
      </x:c>
      <x:c r="I154" s="30"/>
      <x:c r="J154" s="30"/>
      <x:c r="K154" s="30"/>
      <x:c r="L154" s="30"/>
    </x:row>
    <x:row r="155">
      <x:c r="A155" s="32" t="n">
        <x:v>45839</x:v>
      </x:c>
      <x:c r="B155" s="30" t="str">
        <x:v>Engineering</x:v>
      </x:c>
      <x:c r="C155" s="30" t="n">
        <x:v>17</x:v>
      </x:c>
      <x:c r="D155" s="30" t="n">
        <x:v>17</x:v>
      </x:c>
      <x:c r="E155" s="30" t="n">
        <x:v>17</x:v>
      </x:c>
      <x:c r="F155" s="31" t="n">
        <x:v>210475</x:v>
      </x:c>
      <x:c r="G155" s="31" t="n">
        <x:v>46304.5</x:v>
      </x:c>
      <x:c r="H155" s="31" t="n">
        <x:v>256779.5</x:v>
      </x:c>
      <x:c r="I155" s="30"/>
      <x:c r="J155" s="30"/>
      <x:c r="K155" s="30"/>
      <x:c r="L155" s="30"/>
    </x:row>
    <x:row r="156">
      <x:c r="A156" s="32" t="n">
        <x:v>45839</x:v>
      </x:c>
      <x:c r="B156" s="30" t="str">
        <x:v>Sales</x:v>
      </x:c>
      <x:c r="C156" s="30" t="n">
        <x:v>9</x:v>
      </x:c>
      <x:c r="D156" s="30" t="n">
        <x:v>9</x:v>
      </x:c>
      <x:c r="E156" s="30" t="n">
        <x:v>9</x:v>
      </x:c>
      <x:c r="F156" s="31" t="n">
        <x:v>85308.33333333333</x:v>
      </x:c>
      <x:c r="G156" s="31" t="n">
        <x:v>18767.833333333332</x:v>
      </x:c>
      <x:c r="H156" s="31" t="n">
        <x:v>104076.16666666666</x:v>
      </x:c>
      <x:c r="I156" s="30"/>
      <x:c r="J156" s="30"/>
      <x:c r="K156" s="30"/>
      <x:c r="L156" s="30"/>
    </x:row>
    <x:row r="157">
      <x:c r="A157" s="32" t="n">
        <x:v>45839</x:v>
      </x:c>
      <x:c r="B157" s="30" t="str">
        <x:v>Marketing</x:v>
      </x:c>
      <x:c r="C157" s="30" t="n">
        <x:v>3</x:v>
      </x:c>
      <x:c r="D157" s="30" t="n">
        <x:v>3</x:v>
      </x:c>
      <x:c r="E157" s="30" t="n">
        <x:v>3</x:v>
      </x:c>
      <x:c r="F157" s="31" t="n">
        <x:v>26991.666666666668</x:v>
      </x:c>
      <x:c r="G157" s="31" t="n">
        <x:v>5938.166666666667</x:v>
      </x:c>
      <x:c r="H157" s="31" t="n">
        <x:v>32929.833333333336</x:v>
      </x:c>
      <x:c r="I157" s="30"/>
      <x:c r="J157" s="30"/>
      <x:c r="K157" s="30"/>
      <x:c r="L157" s="30"/>
    </x:row>
    <x:row r="158">
      <x:c r="A158" s="32" t="n">
        <x:v>45839</x:v>
      </x:c>
      <x:c r="B158" s="30" t="str">
        <x:v>Customer Success</x:v>
      </x:c>
      <x:c r="C158" s="30" t="n">
        <x:v>6</x:v>
      </x:c>
      <x:c r="D158" s="30" t="n">
        <x:v>6</x:v>
      </x:c>
      <x:c r="E158" s="30" t="n">
        <x:v>6</x:v>
      </x:c>
      <x:c r="F158" s="31" t="n">
        <x:v>49975</x:v>
      </x:c>
      <x:c r="G158" s="31" t="n">
        <x:v>10994.5</x:v>
      </x:c>
      <x:c r="H158" s="31" t="n">
        <x:v>60969.5</x:v>
      </x:c>
      <x:c r="I158" s="30"/>
      <x:c r="J158" s="30"/>
      <x:c r="K158" s="30"/>
      <x:c r="L158" s="30"/>
    </x:row>
    <x:row r="159">
      <x:c r="A159" s="32" t="n">
        <x:v>45839</x:v>
      </x:c>
      <x:c r="B159" s="30" t="str">
        <x:v>G&amp;A</x:v>
      </x:c>
      <x:c r="C159" s="30" t="n">
        <x:v>4</x:v>
      </x:c>
      <x:c r="D159" s="30" t="n">
        <x:v>4</x:v>
      </x:c>
      <x:c r="E159" s="30" t="n">
        <x:v>4</x:v>
      </x:c>
      <x:c r="F159" s="31" t="n">
        <x:v>42900</x:v>
      </x:c>
      <x:c r="G159" s="31" t="n">
        <x:v>9438</x:v>
      </x:c>
      <x:c r="H159" s="31" t="n">
        <x:v>52338</x:v>
      </x:c>
      <x:c r="I159" s="30"/>
      <x:c r="J159" s="30"/>
      <x:c r="K159" s="30"/>
      <x:c r="L159" s="30"/>
    </x:row>
    <x:row r="160">
      <x:c r="A160" s="32" t="n">
        <x:v>45870</x:v>
      </x:c>
      <x:c r="B160" s="30" t="str">
        <x:v>Engineering</x:v>
      </x:c>
      <x:c r="C160" s="30" t="n">
        <x:v>17</x:v>
      </x:c>
      <x:c r="D160" s="30" t="n">
        <x:v>17</x:v>
      </x:c>
      <x:c r="E160" s="30" t="n">
        <x:v>17</x:v>
      </x:c>
      <x:c r="F160" s="31" t="n">
        <x:v>210475</x:v>
      </x:c>
      <x:c r="G160" s="31" t="n">
        <x:v>46304.5</x:v>
      </x:c>
      <x:c r="H160" s="31" t="n">
        <x:v>256779.5</x:v>
      </x:c>
      <x:c r="I160" s="30"/>
      <x:c r="J160" s="30"/>
      <x:c r="K160" s="30"/>
      <x:c r="L160" s="30"/>
    </x:row>
    <x:row r="161">
      <x:c r="A161" s="32" t="n">
        <x:v>45870</x:v>
      </x:c>
      <x:c r="B161" s="30" t="str">
        <x:v>Sales</x:v>
      </x:c>
      <x:c r="C161" s="30" t="n">
        <x:v>9</x:v>
      </x:c>
      <x:c r="D161" s="30" t="n">
        <x:v>9</x:v>
      </x:c>
      <x:c r="E161" s="30" t="n">
        <x:v>9</x:v>
      </x:c>
      <x:c r="F161" s="31" t="n">
        <x:v>85308.33333333333</x:v>
      </x:c>
      <x:c r="G161" s="31" t="n">
        <x:v>18767.833333333332</x:v>
      </x:c>
      <x:c r="H161" s="31" t="n">
        <x:v>104076.16666666666</x:v>
      </x:c>
      <x:c r="I161" s="30"/>
      <x:c r="J161" s="30"/>
      <x:c r="K161" s="30"/>
      <x:c r="L161" s="30"/>
    </x:row>
    <x:row r="162">
      <x:c r="A162" s="32" t="n">
        <x:v>45870</x:v>
      </x:c>
      <x:c r="B162" s="30" t="str">
        <x:v>Marketing</x:v>
      </x:c>
      <x:c r="C162" s="30" t="n">
        <x:v>3</x:v>
      </x:c>
      <x:c r="D162" s="30" t="n">
        <x:v>3</x:v>
      </x:c>
      <x:c r="E162" s="30" t="n">
        <x:v>3</x:v>
      </x:c>
      <x:c r="F162" s="31" t="n">
        <x:v>26991.666666666668</x:v>
      </x:c>
      <x:c r="G162" s="31" t="n">
        <x:v>5938.166666666667</x:v>
      </x:c>
      <x:c r="H162" s="31" t="n">
        <x:v>32929.833333333336</x:v>
      </x:c>
      <x:c r="I162" s="30"/>
      <x:c r="J162" s="30"/>
      <x:c r="K162" s="30"/>
      <x:c r="L162" s="30"/>
    </x:row>
    <x:row r="163">
      <x:c r="A163" s="32" t="n">
        <x:v>45870</x:v>
      </x:c>
      <x:c r="B163" s="30" t="str">
        <x:v>Customer Success</x:v>
      </x:c>
      <x:c r="C163" s="30" t="n">
        <x:v>6</x:v>
      </x:c>
      <x:c r="D163" s="30" t="n">
        <x:v>6</x:v>
      </x:c>
      <x:c r="E163" s="30" t="n">
        <x:v>6</x:v>
      </x:c>
      <x:c r="F163" s="31" t="n">
        <x:v>49975</x:v>
      </x:c>
      <x:c r="G163" s="31" t="n">
        <x:v>10994.5</x:v>
      </x:c>
      <x:c r="H163" s="31" t="n">
        <x:v>60969.5</x:v>
      </x:c>
      <x:c r="I163" s="30"/>
      <x:c r="J163" s="30"/>
      <x:c r="K163" s="30"/>
      <x:c r="L163" s="30"/>
    </x:row>
    <x:row r="164">
      <x:c r="A164" s="32" t="n">
        <x:v>45870</x:v>
      </x:c>
      <x:c r="B164" s="30" t="str">
        <x:v>G&amp;A</x:v>
      </x:c>
      <x:c r="C164" s="30" t="n">
        <x:v>4</x:v>
      </x:c>
      <x:c r="D164" s="30" t="n">
        <x:v>4</x:v>
      </x:c>
      <x:c r="E164" s="30" t="n">
        <x:v>4</x:v>
      </x:c>
      <x:c r="F164" s="31" t="n">
        <x:v>42900</x:v>
      </x:c>
      <x:c r="G164" s="31" t="n">
        <x:v>9438</x:v>
      </x:c>
      <x:c r="H164" s="31" t="n">
        <x:v>52338</x:v>
      </x:c>
      <x:c r="I164" s="30"/>
      <x:c r="J164" s="30"/>
      <x:c r="K164" s="30"/>
      <x:c r="L164" s="30"/>
    </x:row>
    <x:row r="165">
      <x:c r="A165" s="32" t="n">
        <x:v>45901</x:v>
      </x:c>
      <x:c r="B165" s="30" t="str">
        <x:v>Engineering</x:v>
      </x:c>
      <x:c r="C165" s="30" t="n">
        <x:v>17</x:v>
      </x:c>
      <x:c r="D165" s="30" t="n">
        <x:v>17</x:v>
      </x:c>
      <x:c r="E165" s="30" t="n">
        <x:v>17</x:v>
      </x:c>
      <x:c r="F165" s="31" t="n">
        <x:v>210475</x:v>
      </x:c>
      <x:c r="G165" s="31" t="n">
        <x:v>46304.5</x:v>
      </x:c>
      <x:c r="H165" s="31" t="n">
        <x:v>256779.5</x:v>
      </x:c>
      <x:c r="I165" s="30"/>
      <x:c r="J165" s="30"/>
      <x:c r="K165" s="30"/>
      <x:c r="L165" s="30"/>
    </x:row>
    <x:row r="166">
      <x:c r="A166" s="32" t="n">
        <x:v>45901</x:v>
      </x:c>
      <x:c r="B166" s="30" t="str">
        <x:v>Sales</x:v>
      </x:c>
      <x:c r="C166" s="30" t="n">
        <x:v>9</x:v>
      </x:c>
      <x:c r="D166" s="30" t="n">
        <x:v>9</x:v>
      </x:c>
      <x:c r="E166" s="30" t="n">
        <x:v>9</x:v>
      </x:c>
      <x:c r="F166" s="31" t="n">
        <x:v>85308.33333333333</x:v>
      </x:c>
      <x:c r="G166" s="31" t="n">
        <x:v>18767.833333333332</x:v>
      </x:c>
      <x:c r="H166" s="31" t="n">
        <x:v>104076.16666666666</x:v>
      </x:c>
      <x:c r="I166" s="30"/>
      <x:c r="J166" s="30"/>
      <x:c r="K166" s="30"/>
      <x:c r="L166" s="30"/>
    </x:row>
    <x:row r="167">
      <x:c r="A167" s="32" t="n">
        <x:v>45901</x:v>
      </x:c>
      <x:c r="B167" s="30" t="str">
        <x:v>Marketing</x:v>
      </x:c>
      <x:c r="C167" s="30" t="n">
        <x:v>4</x:v>
      </x:c>
      <x:c r="D167" s="30" t="n">
        <x:v>5</x:v>
      </x:c>
      <x:c r="E167" s="30" t="n">
        <x:v>5</x:v>
      </x:c>
      <x:c r="F167" s="31" t="n">
        <x:v>46208.333333333336</x:v>
      </x:c>
      <x:c r="G167" s="31" t="n">
        <x:v>10165.833333333334</x:v>
      </x:c>
      <x:c r="H167" s="31" t="n">
        <x:v>56374.16666666667</x:v>
      </x:c>
      <x:c r="I167" s="30"/>
      <x:c r="J167" s="30"/>
      <x:c r="K167" s="30"/>
      <x:c r="L167" s="30"/>
    </x:row>
    <x:row r="168">
      <x:c r="A168" s="32" t="n">
        <x:v>45901</x:v>
      </x:c>
      <x:c r="B168" s="30" t="str">
        <x:v>Customer Success</x:v>
      </x:c>
      <x:c r="C168" s="30" t="n">
        <x:v>6</x:v>
      </x:c>
      <x:c r="D168" s="30" t="n">
        <x:v>6</x:v>
      </x:c>
      <x:c r="E168" s="30" t="n">
        <x:v>6</x:v>
      </x:c>
      <x:c r="F168" s="31" t="n">
        <x:v>49975</x:v>
      </x:c>
      <x:c r="G168" s="31" t="n">
        <x:v>10994.5</x:v>
      </x:c>
      <x:c r="H168" s="31" t="n">
        <x:v>60969.5</x:v>
      </x:c>
      <x:c r="I168" s="30"/>
      <x:c r="J168" s="30"/>
      <x:c r="K168" s="30"/>
      <x:c r="L168" s="30"/>
    </x:row>
    <x:row r="169">
      <x:c r="A169" s="32" t="n">
        <x:v>45901</x:v>
      </x:c>
      <x:c r="B169" s="30" t="str">
        <x:v>G&amp;A</x:v>
      </x:c>
      <x:c r="C169" s="30" t="n">
        <x:v>4</x:v>
      </x:c>
      <x:c r="D169" s="30" t="n">
        <x:v>4</x:v>
      </x:c>
      <x:c r="E169" s="30" t="n">
        <x:v>4</x:v>
      </x:c>
      <x:c r="F169" s="31" t="n">
        <x:v>42900</x:v>
      </x:c>
      <x:c r="G169" s="31" t="n">
        <x:v>9438</x:v>
      </x:c>
      <x:c r="H169" s="31" t="n">
        <x:v>52338</x:v>
      </x:c>
      <x:c r="I169" s="30"/>
      <x:c r="J169" s="30"/>
      <x:c r="K169" s="30"/>
      <x:c r="L169" s="30"/>
    </x:row>
    <x:row r="170">
      <x:c r="A170" s="32" t="n">
        <x:v>45931</x:v>
      </x:c>
      <x:c r="B170" s="30" t="str">
        <x:v>Engineering</x:v>
      </x:c>
      <x:c r="C170" s="30" t="n">
        <x:v>17</x:v>
      </x:c>
      <x:c r="D170" s="30" t="n">
        <x:v>17</x:v>
      </x:c>
      <x:c r="E170" s="30" t="n">
        <x:v>17</x:v>
      </x:c>
      <x:c r="F170" s="31" t="n">
        <x:v>210475</x:v>
      </x:c>
      <x:c r="G170" s="31" t="n">
        <x:v>46304.5</x:v>
      </x:c>
      <x:c r="H170" s="31" t="n">
        <x:v>256779.5</x:v>
      </x:c>
      <x:c r="I170" s="30"/>
      <x:c r="J170" s="30"/>
      <x:c r="K170" s="30"/>
      <x:c r="L170" s="30"/>
    </x:row>
    <x:row r="171">
      <x:c r="A171" s="32" t="n">
        <x:v>45931</x:v>
      </x:c>
      <x:c r="B171" s="30" t="str">
        <x:v>Sales</x:v>
      </x:c>
      <x:c r="C171" s="30" t="n">
        <x:v>9</x:v>
      </x:c>
      <x:c r="D171" s="30" t="n">
        <x:v>9</x:v>
      </x:c>
      <x:c r="E171" s="30" t="n">
        <x:v>9</x:v>
      </x:c>
      <x:c r="F171" s="31" t="n">
        <x:v>85308.33333333333</x:v>
      </x:c>
      <x:c r="G171" s="31" t="n">
        <x:v>18767.833333333332</x:v>
      </x:c>
      <x:c r="H171" s="31" t="n">
        <x:v>104076.16666666666</x:v>
      </x:c>
      <x:c r="I171" s="30"/>
      <x:c r="J171" s="30"/>
      <x:c r="K171" s="30"/>
      <x:c r="L171" s="30"/>
    </x:row>
    <x:row r="172">
      <x:c r="A172" s="32" t="n">
        <x:v>45931</x:v>
      </x:c>
      <x:c r="B172" s="30" t="str">
        <x:v>Marketing</x:v>
      </x:c>
      <x:c r="C172" s="30" t="n">
        <x:v>5</x:v>
      </x:c>
      <x:c r="D172" s="30" t="n">
        <x:v>5</x:v>
      </x:c>
      <x:c r="E172" s="30" t="n">
        <x:v>5</x:v>
      </x:c>
      <x:c r="F172" s="31" t="n">
        <x:v>46208.333333333336</x:v>
      </x:c>
      <x:c r="G172" s="31" t="n">
        <x:v>10165.833333333334</x:v>
      </x:c>
      <x:c r="H172" s="31" t="n">
        <x:v>56374.16666666667</x:v>
      </x:c>
      <x:c r="I172" s="30"/>
      <x:c r="J172" s="30"/>
      <x:c r="K172" s="30"/>
      <x:c r="L172" s="30"/>
    </x:row>
    <x:row r="173">
      <x:c r="A173" s="32" t="n">
        <x:v>45931</x:v>
      </x:c>
      <x:c r="B173" s="30" t="str">
        <x:v>Customer Success</x:v>
      </x:c>
      <x:c r="C173" s="30" t="n">
        <x:v>6</x:v>
      </x:c>
      <x:c r="D173" s="30" t="n">
        <x:v>6</x:v>
      </x:c>
      <x:c r="E173" s="30" t="n">
        <x:v>6</x:v>
      </x:c>
      <x:c r="F173" s="31" t="n">
        <x:v>49975</x:v>
      </x:c>
      <x:c r="G173" s="31" t="n">
        <x:v>10994.5</x:v>
      </x:c>
      <x:c r="H173" s="31" t="n">
        <x:v>60969.5</x:v>
      </x:c>
      <x:c r="I173" s="30"/>
      <x:c r="J173" s="30"/>
      <x:c r="K173" s="30"/>
      <x:c r="L173" s="30"/>
    </x:row>
    <x:row r="174">
      <x:c r="A174" s="32" t="n">
        <x:v>45931</x:v>
      </x:c>
      <x:c r="B174" s="30" t="str">
        <x:v>G&amp;A</x:v>
      </x:c>
      <x:c r="C174" s="30" t="n">
        <x:v>4</x:v>
      </x:c>
      <x:c r="D174" s="30" t="n">
        <x:v>4</x:v>
      </x:c>
      <x:c r="E174" s="30" t="n">
        <x:v>4</x:v>
      </x:c>
      <x:c r="F174" s="31" t="n">
        <x:v>42900</x:v>
      </x:c>
      <x:c r="G174" s="31" t="n">
        <x:v>9438</x:v>
      </x:c>
      <x:c r="H174" s="31" t="n">
        <x:v>52338</x:v>
      </x:c>
      <x:c r="I174" s="30"/>
      <x:c r="J174" s="30"/>
      <x:c r="K174" s="30"/>
      <x:c r="L174" s="30"/>
    </x:row>
    <x:row r="175">
      <x:c r="A175" s="32" t="n">
        <x:v>45962</x:v>
      </x:c>
      <x:c r="B175" s="30" t="str">
        <x:v>Engineering</x:v>
      </x:c>
      <x:c r="C175" s="30" t="n">
        <x:v>18</x:v>
      </x:c>
      <x:c r="D175" s="30" t="n">
        <x:v>17</x:v>
      </x:c>
      <x:c r="E175" s="30" t="n">
        <x:v>17</x:v>
      </x:c>
      <x:c r="F175" s="31" t="n">
        <x:v>210475</x:v>
      </x:c>
      <x:c r="G175" s="31" t="n">
        <x:v>46304.5</x:v>
      </x:c>
      <x:c r="H175" s="31" t="n">
        <x:v>256779.5</x:v>
      </x:c>
      <x:c r="I175" s="30"/>
      <x:c r="J175" s="30"/>
      <x:c r="K175" s="30"/>
      <x:c r="L175" s="30"/>
    </x:row>
    <x:row r="176">
      <x:c r="A176" s="32" t="n">
        <x:v>45962</x:v>
      </x:c>
      <x:c r="B176" s="30" t="str">
        <x:v>Sales</x:v>
      </x:c>
      <x:c r="C176" s="30" t="n">
        <x:v>9</x:v>
      </x:c>
      <x:c r="D176" s="30" t="n">
        <x:v>9</x:v>
      </x:c>
      <x:c r="E176" s="30" t="n">
        <x:v>9</x:v>
      </x:c>
      <x:c r="F176" s="31" t="n">
        <x:v>85308.33333333333</x:v>
      </x:c>
      <x:c r="G176" s="31" t="n">
        <x:v>18767.833333333332</x:v>
      </x:c>
      <x:c r="H176" s="31" t="n">
        <x:v>104076.16666666666</x:v>
      </x:c>
      <x:c r="I176" s="30"/>
      <x:c r="J176" s="30"/>
      <x:c r="K176" s="30"/>
      <x:c r="L176" s="30"/>
    </x:row>
    <x:row r="177">
      <x:c r="A177" s="32" t="n">
        <x:v>45962</x:v>
      </x:c>
      <x:c r="B177" s="30" t="str">
        <x:v>Marketing</x:v>
      </x:c>
      <x:c r="C177" s="30" t="n">
        <x:v>5</x:v>
      </x:c>
      <x:c r="D177" s="30" t="n">
        <x:v>5</x:v>
      </x:c>
      <x:c r="E177" s="30" t="n">
        <x:v>5</x:v>
      </x:c>
      <x:c r="F177" s="31" t="n">
        <x:v>46208.333333333336</x:v>
      </x:c>
      <x:c r="G177" s="31" t="n">
        <x:v>10165.833333333334</x:v>
      </x:c>
      <x:c r="H177" s="31" t="n">
        <x:v>56374.16666666667</x:v>
      </x:c>
      <x:c r="I177" s="30"/>
      <x:c r="J177" s="30"/>
      <x:c r="K177" s="30"/>
      <x:c r="L177" s="30"/>
    </x:row>
    <x:row r="178">
      <x:c r="A178" s="32" t="n">
        <x:v>45962</x:v>
      </x:c>
      <x:c r="B178" s="30" t="str">
        <x:v>Customer Success</x:v>
      </x:c>
      <x:c r="C178" s="30" t="n">
        <x:v>6</x:v>
      </x:c>
      <x:c r="D178" s="30" t="n">
        <x:v>6</x:v>
      </x:c>
      <x:c r="E178" s="30" t="n">
        <x:v>6</x:v>
      </x:c>
      <x:c r="F178" s="31" t="n">
        <x:v>49975</x:v>
      </x:c>
      <x:c r="G178" s="31" t="n">
        <x:v>10994.5</x:v>
      </x:c>
      <x:c r="H178" s="31" t="n">
        <x:v>60969.5</x:v>
      </x:c>
      <x:c r="I178" s="30"/>
      <x:c r="J178" s="30"/>
      <x:c r="K178" s="30"/>
      <x:c r="L178" s="30"/>
    </x:row>
    <x:row r="179">
      <x:c r="A179" s="32" t="n">
        <x:v>45962</x:v>
      </x:c>
      <x:c r="B179" s="30" t="str">
        <x:v>G&amp;A</x:v>
      </x:c>
      <x:c r="C179" s="30" t="n">
        <x:v>4</x:v>
      </x:c>
      <x:c r="D179" s="30" t="n">
        <x:v>4</x:v>
      </x:c>
      <x:c r="E179" s="30" t="n">
        <x:v>4</x:v>
      </x:c>
      <x:c r="F179" s="31" t="n">
        <x:v>42900</x:v>
      </x:c>
      <x:c r="G179" s="31" t="n">
        <x:v>9438</x:v>
      </x:c>
      <x:c r="H179" s="31" t="n">
        <x:v>52338</x:v>
      </x:c>
      <x:c r="I179" s="30"/>
      <x:c r="J179" s="30"/>
      <x:c r="K179" s="30"/>
      <x:c r="L179" s="30"/>
    </x:row>
    <x:row r="180">
      <x:c r="A180" s="32" t="n">
        <x:v>45992</x:v>
      </x:c>
      <x:c r="B180" s="30" t="str">
        <x:v>Engineering</x:v>
      </x:c>
      <x:c r="C180" s="30" t="n">
        <x:v>18</x:v>
      </x:c>
      <x:c r="D180" s="30" t="n">
        <x:v>18</x:v>
      </x:c>
      <x:c r="E180" s="30" t="n">
        <x:v>18</x:v>
      </x:c>
      <x:c r="F180" s="31" t="n">
        <x:v>225083.33333333334</x:v>
      </x:c>
      <x:c r="G180" s="31" t="n">
        <x:v>49518.333333333336</x:v>
      </x:c>
      <x:c r="H180" s="31" t="n">
        <x:v>274601.6666666667</x:v>
      </x:c>
      <x:c r="I180" s="30"/>
      <x:c r="J180" s="30"/>
      <x:c r="K180" s="30"/>
      <x:c r="L180" s="30"/>
    </x:row>
    <x:row r="181">
      <x:c r="A181" s="32" t="n">
        <x:v>45992</x:v>
      </x:c>
      <x:c r="B181" s="30" t="str">
        <x:v>Sales</x:v>
      </x:c>
      <x:c r="C181" s="30" t="n">
        <x:v>9</x:v>
      </x:c>
      <x:c r="D181" s="30" t="n">
        <x:v>9</x:v>
      </x:c>
      <x:c r="E181" s="30" t="n">
        <x:v>9</x:v>
      </x:c>
      <x:c r="F181" s="31" t="n">
        <x:v>85308.33333333333</x:v>
      </x:c>
      <x:c r="G181" s="31" t="n">
        <x:v>18767.833333333332</x:v>
      </x:c>
      <x:c r="H181" s="31" t="n">
        <x:v>104076.16666666666</x:v>
      </x:c>
      <x:c r="I181" s="30"/>
      <x:c r="J181" s="30"/>
      <x:c r="K181" s="30"/>
      <x:c r="L181" s="30"/>
    </x:row>
    <x:row r="182">
      <x:c r="A182" s="32" t="n">
        <x:v>45992</x:v>
      </x:c>
      <x:c r="B182" s="30" t="str">
        <x:v>Marketing</x:v>
      </x:c>
      <x:c r="C182" s="30" t="n">
        <x:v>5</x:v>
      </x:c>
      <x:c r="D182" s="30" t="n">
        <x:v>5</x:v>
      </x:c>
      <x:c r="E182" s="30" t="n">
        <x:v>5</x:v>
      </x:c>
      <x:c r="F182" s="31" t="n">
        <x:v>46208.333333333336</x:v>
      </x:c>
      <x:c r="G182" s="31" t="n">
        <x:v>10165.833333333334</x:v>
      </x:c>
      <x:c r="H182" s="31" t="n">
        <x:v>56374.16666666667</x:v>
      </x:c>
      <x:c r="I182" s="30"/>
      <x:c r="J182" s="30"/>
      <x:c r="K182" s="30"/>
      <x:c r="L182" s="30"/>
    </x:row>
    <x:row r="183">
      <x:c r="A183" s="32" t="n">
        <x:v>45992</x:v>
      </x:c>
      <x:c r="B183" s="30" t="str">
        <x:v>Customer Success</x:v>
      </x:c>
      <x:c r="C183" s="30" t="n">
        <x:v>6</x:v>
      </x:c>
      <x:c r="D183" s="30" t="n">
        <x:v>6</x:v>
      </x:c>
      <x:c r="E183" s="30" t="n">
        <x:v>6</x:v>
      </x:c>
      <x:c r="F183" s="31" t="n">
        <x:v>49975</x:v>
      </x:c>
      <x:c r="G183" s="31" t="n">
        <x:v>10994.5</x:v>
      </x:c>
      <x:c r="H183" s="31" t="n">
        <x:v>60969.5</x:v>
      </x:c>
      <x:c r="I183" s="30"/>
      <x:c r="J183" s="30"/>
      <x:c r="K183" s="30"/>
      <x:c r="L183" s="30"/>
    </x:row>
    <x:row r="184">
      <x:c r="A184" s="32" t="n">
        <x:v>45992</x:v>
      </x:c>
      <x:c r="B184" s="30" t="str">
        <x:v>G&amp;A</x:v>
      </x:c>
      <x:c r="C184" s="30" t="n">
        <x:v>4</x:v>
      </x:c>
      <x:c r="D184" s="30" t="n">
        <x:v>4</x:v>
      </x:c>
      <x:c r="E184" s="30" t="n">
        <x:v>4</x:v>
      </x:c>
      <x:c r="F184" s="31" t="n">
        <x:v>42900</x:v>
      </x:c>
      <x:c r="G184" s="31" t="n">
        <x:v>9438</x:v>
      </x:c>
      <x:c r="H184" s="31" t="n">
        <x:v>52338</x:v>
      </x:c>
      <x:c r="I184" s="30"/>
      <x:c r="J184" s="30"/>
      <x:c r="K184" s="30"/>
      <x:c r="L184" s="30"/>
    </x:row>
    <x:row r="185">
      <x:c r="A185" s="32" t="n">
        <x:v>46023</x:v>
      </x:c>
      <x:c r="B185" s="30" t="str">
        <x:v>Engineering</x:v>
      </x:c>
      <x:c r="C185" s="30" t="n">
        <x:v>18</x:v>
      </x:c>
      <x:c r="D185" s="30" t="n">
        <x:v>18</x:v>
      </x:c>
      <x:c r="E185" s="30" t="n">
        <x:v>18</x:v>
      </x:c>
      <x:c r="F185" s="31" t="n">
        <x:v>225083.33333333334</x:v>
      </x:c>
      <x:c r="G185" s="31" t="n">
        <x:v>49518.333333333336</x:v>
      </x:c>
      <x:c r="H185" s="31" t="n">
        <x:v>274601.6666666667</x:v>
      </x:c>
      <x:c r="I185" s="30"/>
      <x:c r="J185" s="30"/>
      <x:c r="K185" s="30"/>
      <x:c r="L185" s="30"/>
    </x:row>
    <x:row r="186">
      <x:c r="A186" s="32" t="n">
        <x:v>46023</x:v>
      </x:c>
      <x:c r="B186" s="30" t="str">
        <x:v>Sales</x:v>
      </x:c>
      <x:c r="C186" s="30" t="n">
        <x:v>9</x:v>
      </x:c>
      <x:c r="D186" s="30" t="n">
        <x:v>9</x:v>
      </x:c>
      <x:c r="E186" s="30" t="n">
        <x:v>9</x:v>
      </x:c>
      <x:c r="F186" s="31" t="n">
        <x:v>85308.33333333333</x:v>
      </x:c>
      <x:c r="G186" s="31" t="n">
        <x:v>18767.833333333332</x:v>
      </x:c>
      <x:c r="H186" s="31" t="n">
        <x:v>104076.16666666666</x:v>
      </x:c>
      <x:c r="I186" s="30"/>
      <x:c r="J186" s="30"/>
      <x:c r="K186" s="30"/>
      <x:c r="L186" s="30"/>
    </x:row>
    <x:row r="187">
      <x:c r="A187" s="32" t="n">
        <x:v>46023</x:v>
      </x:c>
      <x:c r="B187" s="30" t="str">
        <x:v>Marketing</x:v>
      </x:c>
      <x:c r="C187" s="30" t="n">
        <x:v>6</x:v>
      </x:c>
      <x:c r="D187" s="30" t="n">
        <x:v>6</x:v>
      </x:c>
      <x:c r="E187" s="30" t="n">
        <x:v>6</x:v>
      </x:c>
      <x:c r="F187" s="31" t="n">
        <x:v>54850</x:v>
      </x:c>
      <x:c r="G187" s="31" t="n">
        <x:v>12067</x:v>
      </x:c>
      <x:c r="H187" s="31" t="n">
        <x:v>66917</x:v>
      </x:c>
      <x:c r="I187" s="30"/>
      <x:c r="J187" s="30"/>
      <x:c r="K187" s="30"/>
      <x:c r="L187" s="30"/>
    </x:row>
    <x:row r="188">
      <x:c r="A188" s="32" t="n">
        <x:v>46023</x:v>
      </x:c>
      <x:c r="B188" s="30" t="str">
        <x:v>Customer Success</x:v>
      </x:c>
      <x:c r="C188" s="30" t="n">
        <x:v>7</x:v>
      </x:c>
      <x:c r="D188" s="30" t="n">
        <x:v>7</x:v>
      </x:c>
      <x:c r="E188" s="30" t="n">
        <x:v>7</x:v>
      </x:c>
      <x:c r="F188" s="31" t="n">
        <x:v>58650</x:v>
      </x:c>
      <x:c r="G188" s="31" t="n">
        <x:v>12903</x:v>
      </x:c>
      <x:c r="H188" s="31" t="n">
        <x:v>71553</x:v>
      </x:c>
      <x:c r="I188" s="30"/>
      <x:c r="J188" s="30"/>
      <x:c r="K188" s="30"/>
      <x:c r="L188" s="30"/>
    </x:row>
    <x:row r="189">
      <x:c r="A189" s="32" t="n">
        <x:v>46023</x:v>
      </x:c>
      <x:c r="B189" s="30" t="str">
        <x:v>G&amp;A</x:v>
      </x:c>
      <x:c r="C189" s="30" t="n">
        <x:v>5</x:v>
      </x:c>
      <x:c r="D189" s="30" t="n">
        <x:v>4</x:v>
      </x:c>
      <x:c r="E189" s="30" t="n">
        <x:v>4</x:v>
      </x:c>
      <x:c r="F189" s="31" t="n">
        <x:v>42900</x:v>
      </x:c>
      <x:c r="G189" s="31" t="n">
        <x:v>9438</x:v>
      </x:c>
      <x:c r="H189" s="31" t="n">
        <x:v>52338</x:v>
      </x:c>
      <x:c r="I189" s="30"/>
      <x:c r="J189" s="30"/>
      <x:c r="K189" s="30"/>
      <x:c r="L189" s="30"/>
    </x:row>
    <x:row r="190">
      <x:c r="A190" s="32" t="n">
        <x:v>46054</x:v>
      </x:c>
      <x:c r="B190" s="30" t="str">
        <x:v>Engineering</x:v>
      </x:c>
      <x:c r="C190" s="30" t="n">
        <x:v>19</x:v>
      </x:c>
      <x:c r="D190" s="30" t="n">
        <x:v>19</x:v>
      </x:c>
      <x:c r="E190" s="30" t="n">
        <x:v>19</x:v>
      </x:c>
      <x:c r="F190" s="31" t="n">
        <x:v>239408.33333333334</x:v>
      </x:c>
      <x:c r="G190" s="31" t="n">
        <x:v>52669.833333333336</x:v>
      </x:c>
      <x:c r="H190" s="31" t="n">
        <x:v>292078.1666666667</x:v>
      </x:c>
      <x:c r="I190" s="30"/>
      <x:c r="J190" s="30"/>
      <x:c r="K190" s="30"/>
      <x:c r="L190" s="30"/>
    </x:row>
    <x:row r="191">
      <x:c r="A191" s="32" t="n">
        <x:v>46054</x:v>
      </x:c>
      <x:c r="B191" s="30" t="str">
        <x:v>Sales</x:v>
      </x:c>
      <x:c r="C191" s="30" t="n">
        <x:v>10</x:v>
      </x:c>
      <x:c r="D191" s="30" t="n">
        <x:v>9</x:v>
      </x:c>
      <x:c r="E191" s="30" t="n">
        <x:v>9</x:v>
      </x:c>
      <x:c r="F191" s="31" t="n">
        <x:v>85308.33333333333</x:v>
      </x:c>
      <x:c r="G191" s="31" t="n">
        <x:v>18767.833333333332</x:v>
      </x:c>
      <x:c r="H191" s="31" t="n">
        <x:v>104076.16666666666</x:v>
      </x:c>
      <x:c r="I191" s="30"/>
      <x:c r="J191" s="30"/>
      <x:c r="K191" s="30"/>
      <x:c r="L191" s="30"/>
    </x:row>
    <x:row r="192">
      <x:c r="A192" s="32" t="n">
        <x:v>46054</x:v>
      </x:c>
      <x:c r="B192" s="30" t="str">
        <x:v>Marketing</x:v>
      </x:c>
      <x:c r="C192" s="30" t="n">
        <x:v>7</x:v>
      </x:c>
      <x:c r="D192" s="30" t="n">
        <x:v>6</x:v>
      </x:c>
      <x:c r="E192" s="30" t="n">
        <x:v>6</x:v>
      </x:c>
      <x:c r="F192" s="31" t="n">
        <x:v>54850</x:v>
      </x:c>
      <x:c r="G192" s="31" t="n">
        <x:v>12067</x:v>
      </x:c>
      <x:c r="H192" s="31" t="n">
        <x:v>66917</x:v>
      </x:c>
      <x:c r="I192" s="30"/>
      <x:c r="J192" s="30"/>
      <x:c r="K192" s="30"/>
      <x:c r="L192" s="30"/>
    </x:row>
    <x:row r="193">
      <x:c r="A193" s="32" t="n">
        <x:v>46054</x:v>
      </x:c>
      <x:c r="B193" s="30" t="str">
        <x:v>Customer Success</x:v>
      </x:c>
      <x:c r="C193" s="30" t="n">
        <x:v>7</x:v>
      </x:c>
      <x:c r="D193" s="30" t="n">
        <x:v>7</x:v>
      </x:c>
      <x:c r="E193" s="30" t="n">
        <x:v>7</x:v>
      </x:c>
      <x:c r="F193" s="31" t="n">
        <x:v>58650</x:v>
      </x:c>
      <x:c r="G193" s="31" t="n">
        <x:v>12903</x:v>
      </x:c>
      <x:c r="H193" s="31" t="n">
        <x:v>71553</x:v>
      </x:c>
      <x:c r="I193" s="30"/>
      <x:c r="J193" s="30"/>
      <x:c r="K193" s="30"/>
      <x:c r="L193" s="30"/>
    </x:row>
    <x:row r="194">
      <x:c r="A194" s="32" t="n">
        <x:v>46054</x:v>
      </x:c>
      <x:c r="B194" s="30" t="str">
        <x:v>G&amp;A</x:v>
      </x:c>
      <x:c r="C194" s="30" t="n">
        <x:v>5</x:v>
      </x:c>
      <x:c r="D194" s="30" t="n">
        <x:v>5</x:v>
      </x:c>
      <x:c r="E194" s="30" t="n">
        <x:v>5</x:v>
      </x:c>
      <x:c r="F194" s="31" t="n">
        <x:v>51333.333333333336</x:v>
      </x:c>
      <x:c r="G194" s="31" t="n">
        <x:v>11293.333333333334</x:v>
      </x:c>
      <x:c r="H194" s="31" t="n">
        <x:v>62626.66666666667</x:v>
      </x:c>
      <x:c r="I194" s="30"/>
      <x:c r="J194" s="30"/>
      <x:c r="K194" s="30"/>
      <x:c r="L194" s="30"/>
    </x:row>
    <x:row r="195">
      <x:c r="A195" s="32" t="n">
        <x:v>46082</x:v>
      </x:c>
      <x:c r="B195" s="30" t="str">
        <x:v>Engineering</x:v>
      </x:c>
      <x:c r="C195" s="30" t="n">
        <x:v>19</x:v>
      </x:c>
      <x:c r="D195" s="30" t="n">
        <x:v>19</x:v>
      </x:c>
      <x:c r="E195" s="30" t="n">
        <x:v>19</x:v>
      </x:c>
      <x:c r="F195" s="31" t="n">
        <x:v>239408.33333333334</x:v>
      </x:c>
      <x:c r="G195" s="31" t="n">
        <x:v>52669.833333333336</x:v>
      </x:c>
      <x:c r="H195" s="31" t="n">
        <x:v>292078.1666666667</x:v>
      </x:c>
      <x:c r="I195" s="30"/>
      <x:c r="J195" s="30"/>
      <x:c r="K195" s="30"/>
      <x:c r="L195" s="30"/>
    </x:row>
    <x:row r="196">
      <x:c r="A196" s="32" t="n">
        <x:v>46082</x:v>
      </x:c>
      <x:c r="B196" s="30" t="str">
        <x:v>Sales</x:v>
      </x:c>
      <x:c r="C196" s="30" t="n">
        <x:v>10</x:v>
      </x:c>
      <x:c r="D196" s="30" t="n">
        <x:v>10</x:v>
      </x:c>
      <x:c r="E196" s="30" t="n">
        <x:v>10</x:v>
      </x:c>
      <x:c r="F196" s="31" t="n">
        <x:v>95633.33333333333</x:v>
      </x:c>
      <x:c r="G196" s="31" t="n">
        <x:v>21039.333333333332</x:v>
      </x:c>
      <x:c r="H196" s="31" t="n">
        <x:v>116672.66666666666</x:v>
      </x:c>
      <x:c r="I196" s="30"/>
      <x:c r="J196" s="30"/>
      <x:c r="K196" s="30"/>
      <x:c r="L196" s="30"/>
    </x:row>
    <x:row r="197">
      <x:c r="A197" s="32" t="n">
        <x:v>46082</x:v>
      </x:c>
      <x:c r="B197" s="30" t="str">
        <x:v>Marketing</x:v>
      </x:c>
      <x:c r="C197" s="30" t="n">
        <x:v>7</x:v>
      </x:c>
      <x:c r="D197" s="30" t="n">
        <x:v>7</x:v>
      </x:c>
      <x:c r="E197" s="30" t="n">
        <x:v>7</x:v>
      </x:c>
      <x:c r="F197" s="31" t="n">
        <x:v>62550</x:v>
      </x:c>
      <x:c r="G197" s="31" t="n">
        <x:v>13761</x:v>
      </x:c>
      <x:c r="H197" s="31" t="n">
        <x:v>76311</x:v>
      </x:c>
      <x:c r="I197" s="30"/>
      <x:c r="J197" s="30"/>
      <x:c r="K197" s="30"/>
      <x:c r="L197" s="30"/>
    </x:row>
    <x:row r="198">
      <x:c r="A198" s="32" t="n">
        <x:v>46082</x:v>
      </x:c>
      <x:c r="B198" s="30" t="str">
        <x:v>Customer Success</x:v>
      </x:c>
      <x:c r="C198" s="30" t="n">
        <x:v>7</x:v>
      </x:c>
      <x:c r="D198" s="30" t="n">
        <x:v>7</x:v>
      </x:c>
      <x:c r="E198" s="30" t="n">
        <x:v>7</x:v>
      </x:c>
      <x:c r="F198" s="31" t="n">
        <x:v>58650</x:v>
      </x:c>
      <x:c r="G198" s="31" t="n">
        <x:v>12903</x:v>
      </x:c>
      <x:c r="H198" s="31" t="n">
        <x:v>71553</x:v>
      </x:c>
      <x:c r="I198" s="30"/>
      <x:c r="J198" s="30"/>
      <x:c r="K198" s="30"/>
      <x:c r="L198" s="30"/>
    </x:row>
    <x:row r="199">
      <x:c r="A199" s="32" t="n">
        <x:v>46082</x:v>
      </x:c>
      <x:c r="B199" s="30" t="str">
        <x:v>G&amp;A</x:v>
      </x:c>
      <x:c r="C199" s="30" t="n">
        <x:v>5</x:v>
      </x:c>
      <x:c r="D199" s="30" t="n">
        <x:v>5</x:v>
      </x:c>
      <x:c r="E199" s="30" t="n">
        <x:v>5</x:v>
      </x:c>
      <x:c r="F199" s="31" t="n">
        <x:v>51333.333333333336</x:v>
      </x:c>
      <x:c r="G199" s="31" t="n">
        <x:v>11293.333333333334</x:v>
      </x:c>
      <x:c r="H199" s="31" t="n">
        <x:v>62626.66666666667</x:v>
      </x:c>
      <x:c r="I199" s="30"/>
      <x:c r="J199" s="30"/>
      <x:c r="K199" s="30"/>
      <x:c r="L199" s="30"/>
    </x:row>
    <x:row r="200">
      <x:c r="A200" s="32" t="n">
        <x:v>46113</x:v>
      </x:c>
      <x:c r="B200" s="30" t="str">
        <x:v>Engineering</x:v>
      </x:c>
      <x:c r="C200" s="30" t="n">
        <x:v>19</x:v>
      </x:c>
      <x:c r="D200" s="30" t="n">
        <x:v>19</x:v>
      </x:c>
      <x:c r="E200" s="30" t="n">
        <x:v>19</x:v>
      </x:c>
      <x:c r="F200" s="31" t="n">
        <x:v>239408.33333333334</x:v>
      </x:c>
      <x:c r="G200" s="31" t="n">
        <x:v>52669.833333333336</x:v>
      </x:c>
      <x:c r="H200" s="31" t="n">
        <x:v>292078.1666666667</x:v>
      </x:c>
      <x:c r="I200" s="30"/>
      <x:c r="J200" s="30"/>
      <x:c r="K200" s="30"/>
      <x:c r="L200" s="30"/>
    </x:row>
    <x:row r="201">
      <x:c r="A201" s="32" t="n">
        <x:v>46113</x:v>
      </x:c>
      <x:c r="B201" s="30" t="str">
        <x:v>Sales</x:v>
      </x:c>
      <x:c r="C201" s="30" t="n">
        <x:v>11</x:v>
      </x:c>
      <x:c r="D201" s="30" t="n">
        <x:v>11</x:v>
      </x:c>
      <x:c r="E201" s="30" t="n">
        <x:v>11</x:v>
      </x:c>
      <x:c r="F201" s="31" t="n">
        <x:v>103833.33333333333</x:v>
      </x:c>
      <x:c r="G201" s="31" t="n">
        <x:v>22843.333333333332</x:v>
      </x:c>
      <x:c r="H201" s="31" t="n">
        <x:v>126676.66666666666</x:v>
      </x:c>
      <x:c r="I201" s="30"/>
      <x:c r="J201" s="30"/>
      <x:c r="K201" s="30"/>
      <x:c r="L201" s="30"/>
    </x:row>
    <x:row r="202">
      <x:c r="A202" s="32" t="n">
        <x:v>46113</x:v>
      </x:c>
      <x:c r="B202" s="30" t="str">
        <x:v>Marketing</x:v>
      </x:c>
      <x:c r="C202" s="30" t="n">
        <x:v>7</x:v>
      </x:c>
      <x:c r="D202" s="30" t="n">
        <x:v>7</x:v>
      </x:c>
      <x:c r="E202" s="30" t="n">
        <x:v>7</x:v>
      </x:c>
      <x:c r="F202" s="31" t="n">
        <x:v>62550</x:v>
      </x:c>
      <x:c r="G202" s="31" t="n">
        <x:v>13761</x:v>
      </x:c>
      <x:c r="H202" s="31" t="n">
        <x:v>76311</x:v>
      </x:c>
      <x:c r="I202" s="30"/>
      <x:c r="J202" s="30"/>
      <x:c r="K202" s="30"/>
      <x:c r="L202" s="30"/>
    </x:row>
    <x:row r="203">
      <x:c r="A203" s="32" t="n">
        <x:v>46113</x:v>
      </x:c>
      <x:c r="B203" s="30" t="str">
        <x:v>Customer Success</x:v>
      </x:c>
      <x:c r="C203" s="30" t="n">
        <x:v>8</x:v>
      </x:c>
      <x:c r="D203" s="30" t="n">
        <x:v>7</x:v>
      </x:c>
      <x:c r="E203" s="30" t="n">
        <x:v>7</x:v>
      </x:c>
      <x:c r="F203" s="31" t="n">
        <x:v>58650</x:v>
      </x:c>
      <x:c r="G203" s="31" t="n">
        <x:v>12903</x:v>
      </x:c>
      <x:c r="H203" s="31" t="n">
        <x:v>71553</x:v>
      </x:c>
      <x:c r="I203" s="30"/>
      <x:c r="J203" s="30"/>
      <x:c r="K203" s="30"/>
      <x:c r="L203" s="30"/>
    </x:row>
    <x:row r="204">
      <x:c r="A204" s="32" t="n">
        <x:v>46113</x:v>
      </x:c>
      <x:c r="B204" s="30" t="str">
        <x:v>G&amp;A</x:v>
      </x:c>
      <x:c r="C204" s="30" t="n">
        <x:v>6</x:v>
      </x:c>
      <x:c r="D204" s="30" t="n">
        <x:v>5</x:v>
      </x:c>
      <x:c r="E204" s="30" t="n">
        <x:v>5</x:v>
      </x:c>
      <x:c r="F204" s="31" t="n">
        <x:v>51333.333333333336</x:v>
      </x:c>
      <x:c r="G204" s="31" t="n">
        <x:v>11293.333333333334</x:v>
      </x:c>
      <x:c r="H204" s="31" t="n">
        <x:v>62626.66666666667</x:v>
      </x:c>
      <x:c r="I204" s="30"/>
      <x:c r="J204" s="30"/>
      <x:c r="K204" s="30"/>
      <x:c r="L204" s="30"/>
    </x:row>
    <x:row r="205">
      <x:c r="A205" s="32" t="n">
        <x:v>46143</x:v>
      </x:c>
      <x:c r="B205" s="30" t="str">
        <x:v>Engineering</x:v>
      </x:c>
      <x:c r="C205" s="30" t="n">
        <x:v>19</x:v>
      </x:c>
      <x:c r="D205" s="30" t="n">
        <x:v>19</x:v>
      </x:c>
      <x:c r="E205" s="30" t="n">
        <x:v>19</x:v>
      </x:c>
      <x:c r="F205" s="31" t="n">
        <x:v>239408.33333333334</x:v>
      </x:c>
      <x:c r="G205" s="31" t="n">
        <x:v>52669.833333333336</x:v>
      </x:c>
      <x:c r="H205" s="31" t="n">
        <x:v>292078.1666666667</x:v>
      </x:c>
      <x:c r="I205" s="30"/>
      <x:c r="J205" s="30"/>
      <x:c r="K205" s="30"/>
      <x:c r="L205" s="30"/>
    </x:row>
    <x:row r="206">
      <x:c r="A206" s="32" t="n">
        <x:v>46143</x:v>
      </x:c>
      <x:c r="B206" s="30" t="str">
        <x:v>Sales</x:v>
      </x:c>
      <x:c r="C206" s="30" t="n">
        <x:v>12</x:v>
      </x:c>
      <x:c r="D206" s="30" t="n">
        <x:v>11</x:v>
      </x:c>
      <x:c r="E206" s="30" t="n">
        <x:v>11</x:v>
      </x:c>
      <x:c r="F206" s="31" t="n">
        <x:v>103833.33333333333</x:v>
      </x:c>
      <x:c r="G206" s="31" t="n">
        <x:v>22843.333333333332</x:v>
      </x:c>
      <x:c r="H206" s="31" t="n">
        <x:v>126676.66666666666</x:v>
      </x:c>
      <x:c r="I206" s="30"/>
      <x:c r="J206" s="30"/>
      <x:c r="K206" s="30"/>
      <x:c r="L206" s="30"/>
    </x:row>
    <x:row r="207">
      <x:c r="A207" s="32" t="n">
        <x:v>46143</x:v>
      </x:c>
      <x:c r="B207" s="30" t="str">
        <x:v>Marketing</x:v>
      </x:c>
      <x:c r="C207" s="30" t="n">
        <x:v>7</x:v>
      </x:c>
      <x:c r="D207" s="30" t="n">
        <x:v>7</x:v>
      </x:c>
      <x:c r="E207" s="30" t="n">
        <x:v>7</x:v>
      </x:c>
      <x:c r="F207" s="31" t="n">
        <x:v>62550</x:v>
      </x:c>
      <x:c r="G207" s="31" t="n">
        <x:v>13761</x:v>
      </x:c>
      <x:c r="H207" s="31" t="n">
        <x:v>76311</x:v>
      </x:c>
      <x:c r="I207" s="30"/>
      <x:c r="J207" s="30"/>
      <x:c r="K207" s="30"/>
      <x:c r="L207" s="30"/>
    </x:row>
    <x:row r="208">
      <x:c r="A208" s="32" t="n">
        <x:v>46143</x:v>
      </x:c>
      <x:c r="B208" s="30" t="str">
        <x:v>Customer Success</x:v>
      </x:c>
      <x:c r="C208" s="30" t="n">
        <x:v>8</x:v>
      </x:c>
      <x:c r="D208" s="30" t="n">
        <x:v>8</x:v>
      </x:c>
      <x:c r="E208" s="30" t="n">
        <x:v>8</x:v>
      </x:c>
      <x:c r="F208" s="31" t="n">
        <x:v>67108.33333333333</x:v>
      </x:c>
      <x:c r="G208" s="31" t="n">
        <x:v>14763.833333333332</x:v>
      </x:c>
      <x:c r="H208" s="31" t="n">
        <x:v>81872.16666666666</x:v>
      </x:c>
      <x:c r="I208" s="30"/>
      <x:c r="J208" s="30"/>
      <x:c r="K208" s="30"/>
      <x:c r="L208" s="30"/>
    </x:row>
    <x:row r="209">
      <x:c r="A209" s="32" t="n">
        <x:v>46143</x:v>
      </x:c>
      <x:c r="B209" s="30" t="str">
        <x:v>G&amp;A</x:v>
      </x:c>
      <x:c r="C209" s="30" t="n">
        <x:v>6</x:v>
      </x:c>
      <x:c r="D209" s="30" t="n">
        <x:v>6</x:v>
      </x:c>
      <x:c r="E209" s="30" t="n">
        <x:v>6</x:v>
      </x:c>
      <x:c r="F209" s="31" t="n">
        <x:v>61716.666666666664</x:v>
      </x:c>
      <x:c r="G209" s="31" t="n">
        <x:v>13577.666666666666</x:v>
      </x:c>
      <x:c r="H209" s="31" t="n">
        <x:v>75294.33333333333</x:v>
      </x:c>
      <x:c r="I209" s="30"/>
      <x:c r="J209" s="30"/>
      <x:c r="K209" s="30"/>
      <x:c r="L209" s="30"/>
    </x:row>
    <x:row r="210">
      <x:c r="A210" s="32" t="n">
        <x:v>46174</x:v>
      </x:c>
      <x:c r="B210" s="30" t="str">
        <x:v>Engineering</x:v>
      </x:c>
      <x:c r="C210" s="30" t="n">
        <x:v>19</x:v>
      </x:c>
      <x:c r="D210" s="30" t="n">
        <x:v>19</x:v>
      </x:c>
      <x:c r="E210" s="30" t="n">
        <x:v>19</x:v>
      </x:c>
      <x:c r="F210" s="31" t="n">
        <x:v>239408.33333333334</x:v>
      </x:c>
      <x:c r="G210" s="31" t="n">
        <x:v>52669.833333333336</x:v>
      </x:c>
      <x:c r="H210" s="31" t="n">
        <x:v>292078.1666666667</x:v>
      </x:c>
      <x:c r="I210" s="30"/>
      <x:c r="J210" s="30"/>
      <x:c r="K210" s="30"/>
      <x:c r="L210" s="30"/>
    </x:row>
    <x:row r="211">
      <x:c r="A211" s="32" t="n">
        <x:v>46174</x:v>
      </x:c>
      <x:c r="B211" s="30" t="str">
        <x:v>Sales</x:v>
      </x:c>
      <x:c r="C211" s="30" t="n">
        <x:v>12</x:v>
      </x:c>
      <x:c r="D211" s="30" t="n">
        <x:v>12</x:v>
      </x:c>
      <x:c r="E211" s="30" t="n">
        <x:v>12</x:v>
      </x:c>
      <x:c r="F211" s="31" t="n">
        <x:v>115225</x:v>
      </x:c>
      <x:c r="G211" s="31" t="n">
        <x:v>25349.5</x:v>
      </x:c>
      <x:c r="H211" s="31" t="n">
        <x:v>140574.5</x:v>
      </x:c>
      <x:c r="I211" s="30"/>
      <x:c r="J211" s="30"/>
      <x:c r="K211" s="30"/>
      <x:c r="L211" s="30"/>
    </x:row>
    <x:row r="212">
      <x:c r="A212" s="32" t="n">
        <x:v>46174</x:v>
      </x:c>
      <x:c r="B212" s="30" t="str">
        <x:v>Marketing</x:v>
      </x:c>
      <x:c r="C212" s="30" t="n">
        <x:v>7</x:v>
      </x:c>
      <x:c r="D212" s="30" t="n">
        <x:v>7</x:v>
      </x:c>
      <x:c r="E212" s="30" t="n">
        <x:v>7</x:v>
      </x:c>
      <x:c r="F212" s="31" t="n">
        <x:v>62550</x:v>
      </x:c>
      <x:c r="G212" s="31" t="n">
        <x:v>13761</x:v>
      </x:c>
      <x:c r="H212" s="31" t="n">
        <x:v>76311</x:v>
      </x:c>
      <x:c r="I212" s="30"/>
      <x:c r="J212" s="30"/>
      <x:c r="K212" s="30"/>
      <x:c r="L212" s="30"/>
    </x:row>
    <x:row r="213">
      <x:c r="A213" s="32" t="n">
        <x:v>46174</x:v>
      </x:c>
      <x:c r="B213" s="30" t="str">
        <x:v>Customer Success</x:v>
      </x:c>
      <x:c r="C213" s="30" t="n">
        <x:v>8</x:v>
      </x:c>
      <x:c r="D213" s="30" t="n">
        <x:v>8</x:v>
      </x:c>
      <x:c r="E213" s="30" t="n">
        <x:v>8</x:v>
      </x:c>
      <x:c r="F213" s="31" t="n">
        <x:v>67108.33333333333</x:v>
      </x:c>
      <x:c r="G213" s="31" t="n">
        <x:v>14763.833333333332</x:v>
      </x:c>
      <x:c r="H213" s="31" t="n">
        <x:v>81872.16666666666</x:v>
      </x:c>
      <x:c r="I213" s="30"/>
      <x:c r="J213" s="30"/>
      <x:c r="K213" s="30"/>
      <x:c r="L213" s="30"/>
    </x:row>
    <x:row r="214">
      <x:c r="A214" s="32" t="n">
        <x:v>46174</x:v>
      </x:c>
      <x:c r="B214" s="30" t="str">
        <x:v>G&amp;A</x:v>
      </x:c>
      <x:c r="C214" s="30" t="n">
        <x:v>6</x:v>
      </x:c>
      <x:c r="D214" s="30" t="n">
        <x:v>6</x:v>
      </x:c>
      <x:c r="E214" s="30" t="n">
        <x:v>6</x:v>
      </x:c>
      <x:c r="F214" s="31" t="n">
        <x:v>61716.666666666664</x:v>
      </x:c>
      <x:c r="G214" s="31" t="n">
        <x:v>13577.666666666666</x:v>
      </x:c>
      <x:c r="H214" s="31" t="n">
        <x:v>75294.33333333333</x:v>
      </x:c>
      <x:c r="I214" s="30"/>
      <x:c r="J214" s="30"/>
      <x:c r="K214" s="30"/>
      <x:c r="L214" s="30"/>
    </x:row>
    <x:row r="215">
      <x:c r="A215" s="32" t="n">
        <x:v>46204</x:v>
      </x:c>
      <x:c r="B215" s="30" t="str">
        <x:v>Engineering</x:v>
      </x:c>
      <x:c r="C215" s="30" t="n">
        <x:v>19</x:v>
      </x:c>
      <x:c r="D215" s="30" t="n">
        <x:v>19</x:v>
      </x:c>
      <x:c r="E215" s="30" t="n">
        <x:v>19</x:v>
      </x:c>
      <x:c r="F215" s="31" t="n">
        <x:v>239408.33333333334</x:v>
      </x:c>
      <x:c r="G215" s="31" t="n">
        <x:v>52669.833333333336</x:v>
      </x:c>
      <x:c r="H215" s="31" t="n">
        <x:v>292078.1666666667</x:v>
      </x:c>
      <x:c r="I215" s="30"/>
      <x:c r="J215" s="30"/>
      <x:c r="K215" s="30"/>
      <x:c r="L215" s="30"/>
    </x:row>
    <x:row r="216">
      <x:c r="A216" s="32" t="n">
        <x:v>46204</x:v>
      </x:c>
      <x:c r="B216" s="30" t="str">
        <x:v>Sales</x:v>
      </x:c>
      <x:c r="C216" s="30" t="n">
        <x:v>12</x:v>
      </x:c>
      <x:c r="D216" s="30" t="n">
        <x:v>12</x:v>
      </x:c>
      <x:c r="E216" s="30" t="n">
        <x:v>12</x:v>
      </x:c>
      <x:c r="F216" s="31" t="n">
        <x:v>115225</x:v>
      </x:c>
      <x:c r="G216" s="31" t="n">
        <x:v>25349.5</x:v>
      </x:c>
      <x:c r="H216" s="31" t="n">
        <x:v>140574.5</x:v>
      </x:c>
      <x:c r="I216" s="30"/>
      <x:c r="J216" s="30"/>
      <x:c r="K216" s="30"/>
      <x:c r="L216" s="30"/>
    </x:row>
    <x:row r="217">
      <x:c r="A217" s="32" t="n">
        <x:v>46204</x:v>
      </x:c>
      <x:c r="B217" s="30" t="str">
        <x:v>Marketing</x:v>
      </x:c>
      <x:c r="C217" s="30" t="n">
        <x:v>7</x:v>
      </x:c>
      <x:c r="D217" s="30" t="n">
        <x:v>7</x:v>
      </x:c>
      <x:c r="E217" s="30" t="n">
        <x:v>7</x:v>
      </x:c>
      <x:c r="F217" s="31" t="n">
        <x:v>62550</x:v>
      </x:c>
      <x:c r="G217" s="31" t="n">
        <x:v>13761</x:v>
      </x:c>
      <x:c r="H217" s="31" t="n">
        <x:v>76311</x:v>
      </x:c>
      <x:c r="I217" s="30"/>
      <x:c r="J217" s="30"/>
      <x:c r="K217" s="30"/>
      <x:c r="L217" s="30"/>
    </x:row>
    <x:row r="218">
      <x:c r="A218" s="32" t="n">
        <x:v>46204</x:v>
      </x:c>
      <x:c r="B218" s="30" t="str">
        <x:v>Customer Success</x:v>
      </x:c>
      <x:c r="C218" s="30" t="n">
        <x:v>8</x:v>
      </x:c>
      <x:c r="D218" s="30" t="n">
        <x:v>8</x:v>
      </x:c>
      <x:c r="E218" s="30" t="n">
        <x:v>8</x:v>
      </x:c>
      <x:c r="F218" s="31" t="n">
        <x:v>67108.33333333333</x:v>
      </x:c>
      <x:c r="G218" s="31" t="n">
        <x:v>14763.833333333332</x:v>
      </x:c>
      <x:c r="H218" s="31" t="n">
        <x:v>81872.16666666666</x:v>
      </x:c>
      <x:c r="I218" s="30"/>
      <x:c r="J218" s="30"/>
      <x:c r="K218" s="30"/>
      <x:c r="L218" s="30"/>
    </x:row>
    <x:row r="219">
      <x:c r="A219" s="32" t="n">
        <x:v>46204</x:v>
      </x:c>
      <x:c r="B219" s="30" t="str">
        <x:v>G&amp;A</x:v>
      </x:c>
      <x:c r="C219" s="30" t="n">
        <x:v>6</x:v>
      </x:c>
      <x:c r="D219" s="30" t="n">
        <x:v>6</x:v>
      </x:c>
      <x:c r="E219" s="30" t="n">
        <x:v>6</x:v>
      </x:c>
      <x:c r="F219" s="31" t="n">
        <x:v>61716.666666666664</x:v>
      </x:c>
      <x:c r="G219" s="31" t="n">
        <x:v>13577.666666666666</x:v>
      </x:c>
      <x:c r="H219" s="31" t="n">
        <x:v>75294.33333333333</x:v>
      </x:c>
      <x:c r="I219" s="30"/>
      <x:c r="J219" s="30"/>
      <x:c r="K219" s="30"/>
      <x:c r="L219" s="30"/>
    </x:row>
    <x:row r="220">
      <x:c r="A220" s="32" t="n">
        <x:v>46235</x:v>
      </x:c>
      <x:c r="B220" s="30" t="str">
        <x:v>Engineering</x:v>
      </x:c>
      <x:c r="C220" s="30" t="n">
        <x:v>19</x:v>
      </x:c>
      <x:c r="D220" s="30" t="n">
        <x:v>19</x:v>
      </x:c>
      <x:c r="E220" s="30" t="n">
        <x:v>19</x:v>
      </x:c>
      <x:c r="F220" s="31" t="n">
        <x:v>239408.33333333334</x:v>
      </x:c>
      <x:c r="G220" s="31" t="n">
        <x:v>52669.833333333336</x:v>
      </x:c>
      <x:c r="H220" s="31" t="n">
        <x:v>292078.1666666667</x:v>
      </x:c>
      <x:c r="I220" s="30"/>
      <x:c r="J220" s="30"/>
      <x:c r="K220" s="30"/>
      <x:c r="L220" s="30"/>
    </x:row>
    <x:row r="221">
      <x:c r="A221" s="32" t="n">
        <x:v>46235</x:v>
      </x:c>
      <x:c r="B221" s="30" t="str">
        <x:v>Sales</x:v>
      </x:c>
      <x:c r="C221" s="30" t="n">
        <x:v>12</x:v>
      </x:c>
      <x:c r="D221" s="30" t="n">
        <x:v>12</x:v>
      </x:c>
      <x:c r="E221" s="30" t="n">
        <x:v>12</x:v>
      </x:c>
      <x:c r="F221" s="31" t="n">
        <x:v>115225</x:v>
      </x:c>
      <x:c r="G221" s="31" t="n">
        <x:v>25349.5</x:v>
      </x:c>
      <x:c r="H221" s="31" t="n">
        <x:v>140574.5</x:v>
      </x:c>
      <x:c r="I221" s="30"/>
      <x:c r="J221" s="30"/>
      <x:c r="K221" s="30"/>
      <x:c r="L221" s="30"/>
    </x:row>
    <x:row r="222">
      <x:c r="A222" s="32" t="n">
        <x:v>46235</x:v>
      </x:c>
      <x:c r="B222" s="30" t="str">
        <x:v>Marketing</x:v>
      </x:c>
      <x:c r="C222" s="30" t="n">
        <x:v>7</x:v>
      </x:c>
      <x:c r="D222" s="30" t="n">
        <x:v>7</x:v>
      </x:c>
      <x:c r="E222" s="30" t="n">
        <x:v>7</x:v>
      </x:c>
      <x:c r="F222" s="31" t="n">
        <x:v>62550</x:v>
      </x:c>
      <x:c r="G222" s="31" t="n">
        <x:v>13761</x:v>
      </x:c>
      <x:c r="H222" s="31" t="n">
        <x:v>76311</x:v>
      </x:c>
      <x:c r="I222" s="30"/>
      <x:c r="J222" s="30"/>
      <x:c r="K222" s="30"/>
      <x:c r="L222" s="30"/>
    </x:row>
    <x:row r="223">
      <x:c r="A223" s="32" t="n">
        <x:v>46235</x:v>
      </x:c>
      <x:c r="B223" s="30" t="str">
        <x:v>Customer Success</x:v>
      </x:c>
      <x:c r="C223" s="30" t="n">
        <x:v>8</x:v>
      </x:c>
      <x:c r="D223" s="30" t="n">
        <x:v>8</x:v>
      </x:c>
      <x:c r="E223" s="30" t="n">
        <x:v>8</x:v>
      </x:c>
      <x:c r="F223" s="31" t="n">
        <x:v>67108.33333333333</x:v>
      </x:c>
      <x:c r="G223" s="31" t="n">
        <x:v>14763.833333333332</x:v>
      </x:c>
      <x:c r="H223" s="31" t="n">
        <x:v>81872.16666666666</x:v>
      </x:c>
      <x:c r="I223" s="30"/>
      <x:c r="J223" s="30"/>
      <x:c r="K223" s="30"/>
      <x:c r="L223" s="30"/>
    </x:row>
    <x:row r="224">
      <x:c r="A224" s="32" t="n">
        <x:v>46235</x:v>
      </x:c>
      <x:c r="B224" s="30" t="str">
        <x:v>G&amp;A</x:v>
      </x:c>
      <x:c r="C224" s="30" t="n">
        <x:v>6</x:v>
      </x:c>
      <x:c r="D224" s="30" t="n">
        <x:v>6</x:v>
      </x:c>
      <x:c r="E224" s="30" t="n">
        <x:v>6</x:v>
      </x:c>
      <x:c r="F224" s="31" t="n">
        <x:v>61716.666666666664</x:v>
      </x:c>
      <x:c r="G224" s="31" t="n">
        <x:v>13577.666666666666</x:v>
      </x:c>
      <x:c r="H224" s="31" t="n">
        <x:v>75294.33333333333</x:v>
      </x:c>
      <x:c r="I224" s="30"/>
      <x:c r="J224" s="30"/>
      <x:c r="K224" s="30"/>
      <x:c r="L224" s="30"/>
    </x:row>
    <x:row r="225">
      <x:c r="A225" s="32" t="n">
        <x:v>46266</x:v>
      </x:c>
      <x:c r="B225" s="30" t="str">
        <x:v>Engineering</x:v>
      </x:c>
      <x:c r="C225" s="30" t="n">
        <x:v>19</x:v>
      </x:c>
      <x:c r="D225" s="30" t="n">
        <x:v>19</x:v>
      </x:c>
      <x:c r="E225" s="30" t="n">
        <x:v>19</x:v>
      </x:c>
      <x:c r="F225" s="31" t="n">
        <x:v>239408.33333333334</x:v>
      </x:c>
      <x:c r="G225" s="31" t="n">
        <x:v>52669.833333333336</x:v>
      </x:c>
      <x:c r="H225" s="31" t="n">
        <x:v>292078.1666666667</x:v>
      </x:c>
      <x:c r="I225" s="30"/>
      <x:c r="J225" s="30"/>
      <x:c r="K225" s="30"/>
      <x:c r="L225" s="30"/>
    </x:row>
    <x:row r="226">
      <x:c r="A226" s="32" t="n">
        <x:v>46266</x:v>
      </x:c>
      <x:c r="B226" s="30" t="str">
        <x:v>Sales</x:v>
      </x:c>
      <x:c r="C226" s="30" t="n">
        <x:v>12</x:v>
      </x:c>
      <x:c r="D226" s="30" t="n">
        <x:v>12</x:v>
      </x:c>
      <x:c r="E226" s="30" t="n">
        <x:v>12</x:v>
      </x:c>
      <x:c r="F226" s="31" t="n">
        <x:v>115225</x:v>
      </x:c>
      <x:c r="G226" s="31" t="n">
        <x:v>25349.5</x:v>
      </x:c>
      <x:c r="H226" s="31" t="n">
        <x:v>140574.5</x:v>
      </x:c>
      <x:c r="I226" s="30"/>
      <x:c r="J226" s="30"/>
      <x:c r="K226" s="30"/>
      <x:c r="L226" s="30"/>
    </x:row>
    <x:row r="227">
      <x:c r="A227" s="32" t="n">
        <x:v>46266</x:v>
      </x:c>
      <x:c r="B227" s="30" t="str">
        <x:v>Marketing</x:v>
      </x:c>
      <x:c r="C227" s="30" t="n">
        <x:v>7</x:v>
      </x:c>
      <x:c r="D227" s="30" t="n">
        <x:v>7</x:v>
      </x:c>
      <x:c r="E227" s="30" t="n">
        <x:v>7</x:v>
      </x:c>
      <x:c r="F227" s="31" t="n">
        <x:v>62550</x:v>
      </x:c>
      <x:c r="G227" s="31" t="n">
        <x:v>13761</x:v>
      </x:c>
      <x:c r="H227" s="31" t="n">
        <x:v>76311</x:v>
      </x:c>
      <x:c r="I227" s="30"/>
      <x:c r="J227" s="30"/>
      <x:c r="K227" s="30"/>
      <x:c r="L227" s="30"/>
    </x:row>
    <x:row r="228">
      <x:c r="A228" s="32" t="n">
        <x:v>46266</x:v>
      </x:c>
      <x:c r="B228" s="30" t="str">
        <x:v>Customer Success</x:v>
      </x:c>
      <x:c r="C228" s="30" t="n">
        <x:v>8</x:v>
      </x:c>
      <x:c r="D228" s="30" t="n">
        <x:v>8</x:v>
      </x:c>
      <x:c r="E228" s="30" t="n">
        <x:v>8</x:v>
      </x:c>
      <x:c r="F228" s="31" t="n">
        <x:v>67108.33333333333</x:v>
      </x:c>
      <x:c r="G228" s="31" t="n">
        <x:v>14763.833333333332</x:v>
      </x:c>
      <x:c r="H228" s="31" t="n">
        <x:v>81872.16666666666</x:v>
      </x:c>
      <x:c r="I228" s="30"/>
      <x:c r="J228" s="30"/>
      <x:c r="K228" s="30"/>
      <x:c r="L228" s="30"/>
    </x:row>
    <x:row r="229">
      <x:c r="A229" s="32" t="n">
        <x:v>46266</x:v>
      </x:c>
      <x:c r="B229" s="30" t="str">
        <x:v>G&amp;A</x:v>
      </x:c>
      <x:c r="C229" s="30" t="n">
        <x:v>6</x:v>
      </x:c>
      <x:c r="D229" s="30" t="n">
        <x:v>6</x:v>
      </x:c>
      <x:c r="E229" s="30" t="n">
        <x:v>6</x:v>
      </x:c>
      <x:c r="F229" s="31" t="n">
        <x:v>61716.666666666664</x:v>
      </x:c>
      <x:c r="G229" s="31" t="n">
        <x:v>13577.666666666666</x:v>
      </x:c>
      <x:c r="H229" s="31" t="n">
        <x:v>75294.33333333333</x:v>
      </x:c>
      <x:c r="I229" s="30"/>
      <x:c r="J229" s="30"/>
      <x:c r="K229" s="30"/>
      <x:c r="L229" s="30"/>
    </x:row>
    <x:row r="230">
      <x:c r="A230" s="32" t="n">
        <x:v>46296</x:v>
      </x:c>
      <x:c r="B230" s="30" t="str">
        <x:v>Engineering</x:v>
      </x:c>
      <x:c r="C230" s="30" t="n">
        <x:v>19</x:v>
      </x:c>
      <x:c r="D230" s="30" t="n">
        <x:v>19</x:v>
      </x:c>
      <x:c r="E230" s="30" t="n">
        <x:v>19</x:v>
      </x:c>
      <x:c r="F230" s="31" t="n">
        <x:v>239408.33333333334</x:v>
      </x:c>
      <x:c r="G230" s="31" t="n">
        <x:v>52669.833333333336</x:v>
      </x:c>
      <x:c r="H230" s="31" t="n">
        <x:v>292078.1666666667</x:v>
      </x:c>
      <x:c r="I230" s="30"/>
      <x:c r="J230" s="30"/>
      <x:c r="K230" s="30"/>
      <x:c r="L230" s="30"/>
    </x:row>
    <x:row r="231">
      <x:c r="A231" s="32" t="n">
        <x:v>46296</x:v>
      </x:c>
      <x:c r="B231" s="30" t="str">
        <x:v>Sales</x:v>
      </x:c>
      <x:c r="C231" s="30" t="n">
        <x:v>12</x:v>
      </x:c>
      <x:c r="D231" s="30" t="n">
        <x:v>12</x:v>
      </x:c>
      <x:c r="E231" s="30" t="n">
        <x:v>12</x:v>
      </x:c>
      <x:c r="F231" s="31" t="n">
        <x:v>115225</x:v>
      </x:c>
      <x:c r="G231" s="31" t="n">
        <x:v>25349.5</x:v>
      </x:c>
      <x:c r="H231" s="31" t="n">
        <x:v>140574.5</x:v>
      </x:c>
      <x:c r="I231" s="30"/>
      <x:c r="J231" s="30"/>
      <x:c r="K231" s="30"/>
      <x:c r="L231" s="30"/>
    </x:row>
    <x:row r="232">
      <x:c r="A232" s="32" t="n">
        <x:v>46296</x:v>
      </x:c>
      <x:c r="B232" s="30" t="str">
        <x:v>Marketing</x:v>
      </x:c>
      <x:c r="C232" s="30" t="n">
        <x:v>7</x:v>
      </x:c>
      <x:c r="D232" s="30" t="n">
        <x:v>7</x:v>
      </x:c>
      <x:c r="E232" s="30" t="n">
        <x:v>7</x:v>
      </x:c>
      <x:c r="F232" s="31" t="n">
        <x:v>62550</x:v>
      </x:c>
      <x:c r="G232" s="31" t="n">
        <x:v>13761</x:v>
      </x:c>
      <x:c r="H232" s="31" t="n">
        <x:v>76311</x:v>
      </x:c>
      <x:c r="I232" s="30"/>
      <x:c r="J232" s="30"/>
      <x:c r="K232" s="30"/>
      <x:c r="L232" s="30"/>
    </x:row>
    <x:row r="233">
      <x:c r="A233" s="32" t="n">
        <x:v>46296</x:v>
      </x:c>
      <x:c r="B233" s="30" t="str">
        <x:v>Customer Success</x:v>
      </x:c>
      <x:c r="C233" s="30" t="n">
        <x:v>8</x:v>
      </x:c>
      <x:c r="D233" s="30" t="n">
        <x:v>8</x:v>
      </x:c>
      <x:c r="E233" s="30" t="n">
        <x:v>8</x:v>
      </x:c>
      <x:c r="F233" s="31" t="n">
        <x:v>67108.33333333333</x:v>
      </x:c>
      <x:c r="G233" s="31" t="n">
        <x:v>14763.833333333332</x:v>
      </x:c>
      <x:c r="H233" s="31" t="n">
        <x:v>81872.16666666666</x:v>
      </x:c>
      <x:c r="I233" s="30"/>
      <x:c r="J233" s="30"/>
      <x:c r="K233" s="30"/>
      <x:c r="L233" s="30"/>
    </x:row>
    <x:row r="234">
      <x:c r="A234" s="32" t="n">
        <x:v>46296</x:v>
      </x:c>
      <x:c r="B234" s="30" t="str">
        <x:v>G&amp;A</x:v>
      </x:c>
      <x:c r="C234" s="30" t="n">
        <x:v>6</x:v>
      </x:c>
      <x:c r="D234" s="30" t="n">
        <x:v>6</x:v>
      </x:c>
      <x:c r="E234" s="30" t="n">
        <x:v>6</x:v>
      </x:c>
      <x:c r="F234" s="31" t="n">
        <x:v>61716.666666666664</x:v>
      </x:c>
      <x:c r="G234" s="31" t="n">
        <x:v>13577.666666666666</x:v>
      </x:c>
      <x:c r="H234" s="31" t="n">
        <x:v>75294.33333333333</x:v>
      </x:c>
      <x:c r="I234" s="30"/>
      <x:c r="J234" s="30"/>
      <x:c r="K234" s="30"/>
      <x:c r="L234" s="30"/>
    </x:row>
    <x:row r="235">
      <x:c r="A235" s="32" t="n">
        <x:v>46327</x:v>
      </x:c>
      <x:c r="B235" s="30" t="str">
        <x:v>Engineering</x:v>
      </x:c>
      <x:c r="C235" s="30" t="n">
        <x:v>19</x:v>
      </x:c>
      <x:c r="D235" s="30" t="n">
        <x:v>19</x:v>
      </x:c>
      <x:c r="E235" s="30" t="n">
        <x:v>19</x:v>
      </x:c>
      <x:c r="F235" s="31" t="n">
        <x:v>239408.33333333334</x:v>
      </x:c>
      <x:c r="G235" s="31" t="n">
        <x:v>52669.833333333336</x:v>
      </x:c>
      <x:c r="H235" s="31" t="n">
        <x:v>292078.1666666667</x:v>
      </x:c>
      <x:c r="I235" s="30"/>
      <x:c r="J235" s="30"/>
      <x:c r="K235" s="30"/>
      <x:c r="L235" s="30"/>
    </x:row>
    <x:row r="236">
      <x:c r="A236" s="32" t="n">
        <x:v>46327</x:v>
      </x:c>
      <x:c r="B236" s="30" t="str">
        <x:v>Sales</x:v>
      </x:c>
      <x:c r="C236" s="30" t="n">
        <x:v>12</x:v>
      </x:c>
      <x:c r="D236" s="30" t="n">
        <x:v>12</x:v>
      </x:c>
      <x:c r="E236" s="30" t="n">
        <x:v>12</x:v>
      </x:c>
      <x:c r="F236" s="31" t="n">
        <x:v>115225</x:v>
      </x:c>
      <x:c r="G236" s="31" t="n">
        <x:v>25349.5</x:v>
      </x:c>
      <x:c r="H236" s="31" t="n">
        <x:v>140574.5</x:v>
      </x:c>
      <x:c r="I236" s="30"/>
      <x:c r="J236" s="30"/>
      <x:c r="K236" s="30"/>
      <x:c r="L236" s="30"/>
    </x:row>
    <x:row r="237">
      <x:c r="A237" s="32" t="n">
        <x:v>46327</x:v>
      </x:c>
      <x:c r="B237" s="30" t="str">
        <x:v>Marketing</x:v>
      </x:c>
      <x:c r="C237" s="30" t="n">
        <x:v>7</x:v>
      </x:c>
      <x:c r="D237" s="30" t="n">
        <x:v>7</x:v>
      </x:c>
      <x:c r="E237" s="30" t="n">
        <x:v>7</x:v>
      </x:c>
      <x:c r="F237" s="31" t="n">
        <x:v>62550</x:v>
      </x:c>
      <x:c r="G237" s="31" t="n">
        <x:v>13761</x:v>
      </x:c>
      <x:c r="H237" s="31" t="n">
        <x:v>76311</x:v>
      </x:c>
      <x:c r="I237" s="30"/>
      <x:c r="J237" s="30"/>
      <x:c r="K237" s="30"/>
      <x:c r="L237" s="30"/>
    </x:row>
    <x:row r="238">
      <x:c r="A238" s="32" t="n">
        <x:v>46327</x:v>
      </x:c>
      <x:c r="B238" s="30" t="str">
        <x:v>Customer Success</x:v>
      </x:c>
      <x:c r="C238" s="30" t="n">
        <x:v>8</x:v>
      </x:c>
      <x:c r="D238" s="30" t="n">
        <x:v>8</x:v>
      </x:c>
      <x:c r="E238" s="30" t="n">
        <x:v>8</x:v>
      </x:c>
      <x:c r="F238" s="31" t="n">
        <x:v>67108.33333333333</x:v>
      </x:c>
      <x:c r="G238" s="31" t="n">
        <x:v>14763.833333333332</x:v>
      </x:c>
      <x:c r="H238" s="31" t="n">
        <x:v>81872.16666666666</x:v>
      </x:c>
      <x:c r="I238" s="30"/>
      <x:c r="J238" s="30"/>
      <x:c r="K238" s="30"/>
      <x:c r="L238" s="30"/>
    </x:row>
    <x:row r="239">
      <x:c r="A239" s="32" t="n">
        <x:v>46327</x:v>
      </x:c>
      <x:c r="B239" s="30" t="str">
        <x:v>G&amp;A</x:v>
      </x:c>
      <x:c r="C239" s="30" t="n">
        <x:v>6</x:v>
      </x:c>
      <x:c r="D239" s="30" t="n">
        <x:v>6</x:v>
      </x:c>
      <x:c r="E239" s="30" t="n">
        <x:v>6</x:v>
      </x:c>
      <x:c r="F239" s="31" t="n">
        <x:v>61716.666666666664</x:v>
      </x:c>
      <x:c r="G239" s="31" t="n">
        <x:v>13577.666666666666</x:v>
      </x:c>
      <x:c r="H239" s="31" t="n">
        <x:v>75294.33333333333</x:v>
      </x:c>
      <x:c r="I239" s="30"/>
      <x:c r="J239" s="30"/>
      <x:c r="K239" s="30"/>
      <x:c r="L239" s="30"/>
    </x:row>
    <x:row r="240">
      <x:c r="A240" s="32" t="n">
        <x:v>46357</x:v>
      </x:c>
      <x:c r="B240" s="30" t="str">
        <x:v>Engineering</x:v>
      </x:c>
      <x:c r="C240" s="30" t="n">
        <x:v>19</x:v>
      </x:c>
      <x:c r="D240" s="30" t="n">
        <x:v>19</x:v>
      </x:c>
      <x:c r="E240" s="30" t="n">
        <x:v>19</x:v>
      </x:c>
      <x:c r="F240" s="31" t="n">
        <x:v>239408.33333333334</x:v>
      </x:c>
      <x:c r="G240" s="31" t="n">
        <x:v>52669.833333333336</x:v>
      </x:c>
      <x:c r="H240" s="31" t="n">
        <x:v>292078.1666666667</x:v>
      </x:c>
      <x:c r="I240" s="30"/>
      <x:c r="J240" s="30"/>
      <x:c r="K240" s="30"/>
      <x:c r="L240" s="30"/>
    </x:row>
    <x:row r="241">
      <x:c r="A241" s="32" t="n">
        <x:v>46357</x:v>
      </x:c>
      <x:c r="B241" s="30" t="str">
        <x:v>Sales</x:v>
      </x:c>
      <x:c r="C241" s="30" t="n">
        <x:v>12</x:v>
      </x:c>
      <x:c r="D241" s="30" t="n">
        <x:v>12</x:v>
      </x:c>
      <x:c r="E241" s="30" t="n">
        <x:v>12</x:v>
      </x:c>
      <x:c r="F241" s="31" t="n">
        <x:v>115225</x:v>
      </x:c>
      <x:c r="G241" s="31" t="n">
        <x:v>25349.5</x:v>
      </x:c>
      <x:c r="H241" s="31" t="n">
        <x:v>140574.5</x:v>
      </x:c>
      <x:c r="I241" s="30"/>
      <x:c r="J241" s="30"/>
      <x:c r="K241" s="30"/>
      <x:c r="L241" s="30"/>
    </x:row>
    <x:row r="242">
      <x:c r="A242" s="32" t="n">
        <x:v>46357</x:v>
      </x:c>
      <x:c r="B242" s="30" t="str">
        <x:v>Marketing</x:v>
      </x:c>
      <x:c r="C242" s="30" t="n">
        <x:v>7</x:v>
      </x:c>
      <x:c r="D242" s="30" t="n">
        <x:v>7</x:v>
      </x:c>
      <x:c r="E242" s="30" t="n">
        <x:v>7</x:v>
      </x:c>
      <x:c r="F242" s="31" t="n">
        <x:v>62550</x:v>
      </x:c>
      <x:c r="G242" s="31" t="n">
        <x:v>13761</x:v>
      </x:c>
      <x:c r="H242" s="31" t="n">
        <x:v>76311</x:v>
      </x:c>
      <x:c r="I242" s="30"/>
      <x:c r="J242" s="30"/>
      <x:c r="K242" s="30"/>
      <x:c r="L242" s="30"/>
    </x:row>
    <x:row r="243">
      <x:c r="A243" s="32" t="n">
        <x:v>46357</x:v>
      </x:c>
      <x:c r="B243" s="30" t="str">
        <x:v>Customer Success</x:v>
      </x:c>
      <x:c r="C243" s="30" t="n">
        <x:v>8</x:v>
      </x:c>
      <x:c r="D243" s="30" t="n">
        <x:v>8</x:v>
      </x:c>
      <x:c r="E243" s="30" t="n">
        <x:v>8</x:v>
      </x:c>
      <x:c r="F243" s="31" t="n">
        <x:v>67108.33333333333</x:v>
      </x:c>
      <x:c r="G243" s="31" t="n">
        <x:v>14763.833333333332</x:v>
      </x:c>
      <x:c r="H243" s="31" t="n">
        <x:v>81872.16666666666</x:v>
      </x:c>
      <x:c r="I243" s="30"/>
      <x:c r="J243" s="30"/>
      <x:c r="K243" s="30"/>
      <x:c r="L243" s="30"/>
    </x:row>
    <x:row r="244">
      <x:c r="A244" s="32" t="n">
        <x:v>46357</x:v>
      </x:c>
      <x:c r="B244" s="30" t="str">
        <x:v>G&amp;A</x:v>
      </x:c>
      <x:c r="C244" s="30" t="n">
        <x:v>6</x:v>
      </x:c>
      <x:c r="D244" s="30" t="n">
        <x:v>6</x:v>
      </x:c>
      <x:c r="E244" s="30" t="n">
        <x:v>6</x:v>
      </x:c>
      <x:c r="F244" s="31" t="n">
        <x:v>61716.666666666664</x:v>
      </x:c>
      <x:c r="G244" s="31" t="n">
        <x:v>13577.666666666666</x:v>
      </x:c>
      <x:c r="H244" s="31" t="n">
        <x:v>75294.33333333333</x:v>
      </x:c>
      <x:c r="I244" s="30"/>
      <x:c r="J244" s="30"/>
      <x:c r="K244" s="30"/>
      <x:c r="L244" s="30"/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23" t="str">
        <x:v>Budget versus actuals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30"/>
      <x:c r="N1" s="30"/>
    </x:row>
    <x:row r="2" ht="22" customHeight="1">
      <x:c r="A2" s="29" t="str">
        <x:v>Favorable variance is positive for revenue and when actual expense is below budget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30"/>
      <x:c r="N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</x:row>
    <x:row r="4">
      <x:c r="A4" s="26" t="str">
        <x:v>Month</x:v>
      </x:c>
      <x:c r="B4" s="26" t="str">
        <x:v>Budget revenue</x:v>
      </x:c>
      <x:c r="C4" s="26" t="str">
        <x:v>Actual revenue</x:v>
      </x:c>
      <x:c r="D4" s="26" t="str">
        <x:v>Revenue var</x:v>
      </x:c>
      <x:c r="E4" s="26" t="str">
        <x:v>Budget COGS</x:v>
      </x:c>
      <x:c r="F4" s="26" t="str">
        <x:v>Actual COGS</x:v>
      </x:c>
      <x:c r="G4" s="26" t="str">
        <x:v>COGS var</x:v>
      </x:c>
      <x:c r="H4" s="26" t="str">
        <x:v>Budget payroll</x:v>
      </x:c>
      <x:c r="I4" s="26" t="str">
        <x:v>Actual payroll</x:v>
      </x:c>
      <x:c r="J4" s="26" t="str">
        <x:v>Payroll var</x:v>
      </x:c>
      <x:c r="K4" s="26" t="str">
        <x:v>Budget other opex</x:v>
      </x:c>
      <x:c r="L4" s="26" t="str">
        <x:v>Actual other opex</x:v>
      </x:c>
      <x:c r="M4" s="26" t="str">
        <x:v>Opex var</x:v>
      </x:c>
      <x:c r="N4" s="26" t="str">
        <x:v>Operating variance</x:v>
      </x:c>
    </x:row>
    <x:row r="5">
      <x:c r="A5" s="32" t="n">
        <x:f>'Actuals Data'!A2</x:f>
        <x:v>44927</x:v>
      </x:c>
      <x:c r="B5" s="31" t="n">
        <x:f>'Actuals Data'!B2</x:f>
        <x:v>126075.48682926831</x:v>
      </x:c>
      <x:c r="C5" s="31" t="n">
        <x:f>'Actuals Data'!F2</x:f>
        <x:v>129227.37400000001</x:v>
      </x:c>
      <x:c r="D5" s="31" t="n">
        <x:f>C5-B5</x:f>
        <x:v>3151.887170731701</x:v>
      </x:c>
      <x:c r="E5" s="31" t="n">
        <x:f>'Actuals Data'!C2</x:f>
        <x:v>23954.342497560978</x:v>
      </x:c>
      <x:c r="F5" s="31" t="n">
        <x:f>'Actuals Data'!G2</x:f>
        <x:v>25139.068437545437</x:v>
      </x:c>
      <x:c r="G5" s="31" t="n">
        <x:f>E5-F5</x:f>
        <x:v>-1184.7259399844588</x:v>
      </x:c>
      <x:c r="H5" s="31" t="n">
        <x:f>'Actuals Data'!D2</x:f>
        <x:v>26049.440000000002</x:v>
      </x:c>
      <x:c r="I5" s="31" t="n">
        <x:f>'Actuals Data'!H2</x:f>
        <x:v>25538.666666666668</x:v>
      </x:c>
      <x:c r="J5" s="31" t="n">
        <x:f>H5-I5</x:f>
        <x:v>510.77333333333445</x:v>
      </x:c>
      <x:c r="K5" s="31" t="n">
        <x:f>'Actuals Data'!E2</x:f>
        <x:v>179861.15</x:v>
      </x:c>
      <x:c r="L5" s="31" t="n">
        <x:f>'Actuals Data'!I2</x:f>
        <x:v>192394.77</x:v>
      </x:c>
      <x:c r="M5" s="31" t="n">
        <x:f>K5-L5</x:f>
        <x:v>-12533.619999999995</x:v>
      </x:c>
      <x:c r="N5" s="31" t="n">
        <x:f>D5+G5+J5+M5</x:f>
        <x:v>-10055.685435919419</x:v>
      </x:c>
    </x:row>
    <x:row r="6">
      <x:c r="A6" s="32" t="n">
        <x:f>'Actuals Data'!A3</x:f>
        <x:v>44958</x:v>
      </x:c>
      <x:c r="B6" s="31" t="n">
        <x:f>'Actuals Data'!B3</x:f>
        <x:v>129969.06536585366</x:v>
      </x:c>
      <x:c r="C6" s="31" t="n">
        <x:f>'Actuals Data'!F3</x:f>
        <x:v>133218.292</x:v>
      </x:c>
      <x:c r="D6" s="31" t="n">
        <x:f>C6-B6</x:f>
        <x:v>3249.2266341463255</x:v>
      </x:c>
      <x:c r="E6" s="31" t="n">
        <x:f>'Actuals Data'!C3</x:f>
        <x:v>24694.122419512198</x:v>
      </x:c>
      <x:c r="F6" s="31" t="n">
        <x:f>'Actuals Data'!G3</x:f>
        <x:v>26235.80744369323</x:v>
      </x:c>
      <x:c r="G6" s="31" t="n">
        <x:f>E6-F6</x:f>
        <x:v>-1541.6850241810316</x:v>
      </x:c>
      <x:c r="H6" s="31" t="n">
        <x:f>'Actuals Data'!D3</x:f>
        <x:v>26049.440000000002</x:v>
      </x:c>
      <x:c r="I6" s="31" t="n">
        <x:f>'Actuals Data'!H3</x:f>
        <x:v>25538.666666666668</x:v>
      </x:c>
      <x:c r="J6" s="31" t="n">
        <x:f>H6-I6</x:f>
        <x:v>510.77333333333445</x:v>
      </x:c>
      <x:c r="K6" s="31" t="n">
        <x:f>'Actuals Data'!E3</x:f>
        <x:v>182300.1</x:v>
      </x:c>
      <x:c r="L6" s="31" t="n">
        <x:f>'Actuals Data'!I3</x:f>
        <x:v>189729.39</x:v>
      </x:c>
      <x:c r="M6" s="31" t="n">
        <x:f>K6-L6</x:f>
        <x:v>-7429.290000000008</x:v>
      </x:c>
      <x:c r="N6" s="31" t="n">
        <x:f>D6+G6+J6+M6</x:f>
        <x:v>-5210.97505670138</x:v>
      </x:c>
    </x:row>
    <x:row r="7">
      <x:c r="A7" s="32" t="n">
        <x:f>'Actuals Data'!A4</x:f>
        <x:v>44986</x:v>
      </x:c>
      <x:c r="B7" s="31" t="n">
        <x:f>'Actuals Data'!B4</x:f>
        <x:v>134014.04682926828</x:v>
      </x:c>
      <x:c r="C7" s="31" t="n">
        <x:f>'Actuals Data'!F4</x:f>
        <x:v>137364.398</x:v>
      </x:c>
      <x:c r="D7" s="31" t="n">
        <x:f>C7-B7</x:f>
        <x:v>3350.3511707317084</x:v>
      </x:c>
      <x:c r="E7" s="31" t="n">
        <x:f>'Actuals Data'!C4</x:f>
        <x:v>25462.668897560972</x:v>
      </x:c>
      <x:c r="F7" s="31" t="n">
        <x:f>'Actuals Data'!G4</x:f>
        <x:v>26942.87426197609</x:v>
      </x:c>
      <x:c r="G7" s="31" t="n">
        <x:f>E7-F7</x:f>
        <x:v>-1480.2053644151165</x:v>
      </x:c>
      <x:c r="H7" s="31" t="n">
        <x:f>'Actuals Data'!D4</x:f>
        <x:v>51808.52</x:v>
      </x:c>
      <x:c r="I7" s="31" t="n">
        <x:f>'Actuals Data'!H4</x:f>
        <x:v>50792.666666666664</x:v>
      </x:c>
      <x:c r="J7" s="31" t="n">
        <x:f>H7-I7</x:f>
        <x:v>1015.8533333333326</x:v>
      </x:c>
      <x:c r="K7" s="31" t="n">
        <x:f>'Actuals Data'!E4</x:f>
        <x:v>184756.91</x:v>
      </x:c>
      <x:c r="L7" s="31" t="n">
        <x:f>'Actuals Data'!I4</x:f>
        <x:v>202374.15000000002</x:v>
      </x:c>
      <x:c r="M7" s="31" t="n">
        <x:f>K7-L7</x:f>
        <x:v>-17617.24000000002</x:v>
      </x:c>
      <x:c r="N7" s="31" t="n">
        <x:f>D7+G7+J7+M7</x:f>
        <x:v>-14731.240860350095</x:v>
      </x:c>
    </x:row>
    <x:row r="8">
      <x:c r="A8" s="32" t="n">
        <x:f>'Actuals Data'!A5</x:f>
        <x:v>45017</x:v>
      </x:c>
      <x:c r="B8" s="31" t="n">
        <x:f>'Actuals Data'!B5</x:f>
        <x:v>138500.1873170732</x:v>
      </x:c>
      <x:c r="C8" s="31" t="n">
        <x:f>'Actuals Data'!F5</x:f>
        <x:v>141962.692</x:v>
      </x:c>
      <x:c r="D8" s="31" t="n">
        <x:f>C8-B8</x:f>
        <x:v>3462.5046829268103</x:v>
      </x:c>
      <x:c r="E8" s="31" t="n">
        <x:f>'Actuals Data'!C5</x:f>
        <x:v>26315.035590243908</x:v>
      </x:c>
      <x:c r="F8" s="31" t="n">
        <x:f>'Actuals Data'!G5</x:f>
        <x:v>27766.614897090363</x:v>
      </x:c>
      <x:c r="G8" s="31" t="n">
        <x:f>E8-F8</x:f>
        <x:v>-1451.5793068464554</x:v>
      </x:c>
      <x:c r="H8" s="31" t="n">
        <x:f>'Actuals Data'!D5</x:f>
        <x:v>78355.72</x:v>
      </x:c>
      <x:c r="I8" s="31" t="n">
        <x:f>'Actuals Data'!H5</x:f>
        <x:v>76819.33333333333</x:v>
      </x:c>
      <x:c r="J8" s="31" t="n">
        <x:f>H8-I8</x:f>
        <x:v>1536.3866666666727</x:v>
      </x:c>
      <x:c r="K8" s="31" t="n">
        <x:f>'Actuals Data'!E5</x:f>
        <x:v>187265.71</x:v>
      </x:c>
      <x:c r="L8" s="31" t="n">
        <x:f>'Actuals Data'!I5</x:f>
        <x:v>195793.90999999997</x:v>
      </x:c>
      <x:c r="M8" s="31" t="n">
        <x:f>K8-L8</x:f>
        <x:v>-8528.199999999983</x:v>
      </x:c>
      <x:c r="N8" s="31" t="n">
        <x:f>D8+G8+J8+M8</x:f>
        <x:v>-4980.887957252955</x:v>
      </x:c>
    </x:row>
    <x:row r="9">
      <x:c r="A9" s="32" t="n">
        <x:f>'Actuals Data'!A6</x:f>
        <x:v>45047</x:v>
      </x:c>
      <x:c r="B9" s="31" t="n">
        <x:f>'Actuals Data'!B6</x:f>
        <x:v>143082.9131707317</x:v>
      </x:c>
      <x:c r="C9" s="31" t="n">
        <x:f>'Actuals Data'!F6</x:f>
        <x:v>146659.986</x:v>
      </x:c>
      <x:c r="D9" s="31" t="n">
        <x:f>C9-B9</x:f>
        <x:v>3577.0728292682907</x:v>
      </x:c>
      <x:c r="E9" s="31" t="n">
        <x:f>'Actuals Data'!C6</x:f>
        <x:v>27185.753502439027</x:v>
      </x:c>
      <x:c r="F9" s="31" t="n">
        <x:f>'Actuals Data'!G6</x:f>
        <x:v>28226.834987727336</x:v>
      </x:c>
      <x:c r="G9" s="31" t="n">
        <x:f>E9-F9</x:f>
        <x:v>-1041.0814852883086</x:v>
      </x:c>
      <x:c r="H9" s="31" t="n">
        <x:f>'Actuals Data'!D6</x:f>
        <x:v>86952.44999999998</x:v>
      </x:c>
      <x:c r="I9" s="31" t="n">
        <x:f>'Actuals Data'!H6</x:f>
        <x:v>85247.49999999999</x:v>
      </x:c>
      <x:c r="J9" s="31" t="n">
        <x:f>H9-I9</x:f>
        <x:v>1704.949999999997</x:v>
      </x:c>
      <x:c r="K9" s="31" t="n">
        <x:f>'Actuals Data'!E6</x:f>
        <x:v>189785.9</x:v>
      </x:c>
      <x:c r="L9" s="31" t="n">
        <x:f>'Actuals Data'!I6</x:f>
        <x:v>194423.65</x:v>
      </x:c>
      <x:c r="M9" s="31" t="n">
        <x:f>K9-L9</x:f>
        <x:v>-4637.75</x:v>
      </x:c>
      <x:c r="N9" s="31" t="n">
        <x:f>D9+G9+J9+M9</x:f>
        <x:v>-396.80865602002086</x:v>
      </x:c>
    </x:row>
    <x:row r="10">
      <x:c r="A10" s="32" t="n">
        <x:f>'Actuals Data'!A7</x:f>
        <x:v>45078</x:v>
      </x:c>
      <x:c r="B10" s="31" t="n">
        <x:f>'Actuals Data'!B7</x:f>
        <x:v>146438.7473170732</x:v>
      </x:c>
      <x:c r="C10" s="31" t="n">
        <x:f>'Actuals Data'!F7</x:f>
        <x:v>150099.71600000001</x:v>
      </x:c>
      <x:c r="D10" s="31" t="n">
        <x:f>C10-B10</x:f>
        <x:v>3660.9686829268176</x:v>
      </x:c>
      <x:c r="E10" s="31" t="n">
        <x:f>'Actuals Data'!C7</x:f>
        <x:v>27823.36199024391</x:v>
      </x:c>
      <x:c r="F10" s="31" t="n">
        <x:f>'Actuals Data'!G7</x:f>
        <x:v>28137.588811688594</x:v>
      </x:c>
      <x:c r="G10" s="31" t="n">
        <x:f>E10-F10</x:f>
        <x:v>-314.2268214446849</x:v>
      </x:c>
      <x:c r="H10" s="31" t="n">
        <x:f>'Actuals Data'!D7</x:f>
        <x:v>95943.23999999999</x:v>
      </x:c>
      <x:c r="I10" s="31" t="n">
        <x:f>'Actuals Data'!H7</x:f>
        <x:v>94061.99999999999</x:v>
      </x:c>
      <x:c r="J10" s="31" t="n">
        <x:f>H10-I10</x:f>
        <x:v>1881.2400000000052</x:v>
      </x:c>
      <x:c r="K10" s="31" t="n">
        <x:f>'Actuals Data'!E7</x:f>
        <x:v>192161.47</x:v>
      </x:c>
      <x:c r="L10" s="31" t="n">
        <x:f>'Actuals Data'!I7</x:f>
        <x:v>197565.34999999998</x:v>
      </x:c>
      <x:c r="M10" s="31" t="n">
        <x:f>K10-L10</x:f>
        <x:v>-5403.879999999976</x:v>
      </x:c>
      <x:c r="N10" s="31" t="n">
        <x:f>D10+G10+J10+M10</x:f>
        <x:v>-175.89813851783765</x:v>
      </x:c>
    </x:row>
    <x:row r="11">
      <x:c r="A11" s="32" t="n">
        <x:f>'Actuals Data'!A8</x:f>
        <x:v>45108</x:v>
      </x:c>
      <x:c r="B11" s="31" t="n">
        <x:f>'Actuals Data'!B8</x:f>
        <x:v>151366.0468292683</x:v>
      </x:c>
      <x:c r="C11" s="31" t="n">
        <x:f>'Actuals Data'!F8</x:f>
        <x:v>155150.198</x:v>
      </x:c>
      <x:c r="D11" s="31" t="n">
        <x:f>C11-B11</x:f>
        <x:v>3784.1511707316968</x:v>
      </x:c>
      <x:c r="E11" s="31" t="n">
        <x:f>'Actuals Data'!C8</x:f>
        <x:v>28759.548897560977</x:v>
      </x:c>
      <x:c r="F11" s="31" t="n">
        <x:f>'Actuals Data'!G8</x:f>
        <x:v>28697.49768090802</x:v>
      </x:c>
      <x:c r="G11" s="31" t="n">
        <x:f>E11-F11</x:f>
        <x:v>62.05121665295519</x:v>
      </x:c>
      <x:c r="H11" s="31" t="n">
        <x:f>'Actuals Data'!D8</x:f>
        <x:v>107028.77</x:v>
      </x:c>
      <x:c r="I11" s="31" t="n">
        <x:f>'Actuals Data'!H8</x:f>
        <x:v>104930.16666666667</x:v>
      </x:c>
      <x:c r="J11" s="31" t="n">
        <x:f>H11-I11</x:f>
        <x:v>2098.6033333333326</x:v>
      </x:c>
      <x:c r="K11" s="31" t="n">
        <x:f>'Actuals Data'!E8</x:f>
        <x:v>194722.27000000002</x:v>
      </x:c>
      <x:c r="L11" s="31" t="n">
        <x:f>'Actuals Data'!I8</x:f>
        <x:v>206306.94</x:v>
      </x:c>
      <x:c r="M11" s="31" t="n">
        <x:f>K11-L11</x:f>
        <x:v>-11584.669999999984</x:v>
      </x:c>
      <x:c r="N11" s="31" t="n">
        <x:f>D11+G11+J11+M11</x:f>
        <x:v>-5639.864279281999</x:v>
      </x:c>
    </x:row>
    <x:row r="12">
      <x:c r="A12" s="32" t="n">
        <x:f>'Actuals Data'!A9</x:f>
        <x:v>45139</x:v>
      </x:c>
      <x:c r="B12" s="31" t="n">
        <x:f>'Actuals Data'!B9</x:f>
        <x:v>155507.6136585366</x:v>
      </x:c>
      <x:c r="C12" s="31" t="n">
        <x:f>'Actuals Data'!F9</x:f>
        <x:v>159395.304</x:v>
      </x:c>
      <x:c r="D12" s="31" t="n">
        <x:f>C12-B12</x:f>
        <x:v>3887.6903414634</x:v>
      </x:c>
      <x:c r="E12" s="31" t="n">
        <x:f>'Actuals Data'!C9</x:f>
        <x:v>29546.446595121954</x:v>
      </x:c>
      <x:c r="F12" s="31" t="n">
        <x:f>'Actuals Data'!G9</x:f>
        <x:v>29096.198872689623</x:v>
      </x:c>
      <x:c r="G12" s="31" t="n">
        <x:f>E12-F12</x:f>
        <x:v>450.2477224323302</x:v>
      </x:c>
      <x:c r="H12" s="31" t="n">
        <x:f>'Actuals Data'!D9</x:f>
        <x:v>134260.39</x:v>
      </x:c>
      <x:c r="I12" s="31" t="n">
        <x:f>'Actuals Data'!H9</x:f>
        <x:v>131627.83333333334</x:v>
      </x:c>
      <x:c r="J12" s="31" t="n">
        <x:f>H12-I12</x:f>
        <x:v>2632.556666666671</x:v>
      </x:c>
      <x:c r="K12" s="31" t="n">
        <x:f>'Actuals Data'!E9</x:f>
        <x:v>197190.46</x:v>
      </x:c>
      <x:c r="L12" s="31" t="n">
        <x:f>'Actuals Data'!I9</x:f>
        <x:v>202968.04</x:v>
      </x:c>
      <x:c r="M12" s="31" t="n">
        <x:f>K12-L12</x:f>
        <x:v>-5777.580000000016</x:v>
      </x:c>
      <x:c r="N12" s="31" t="n">
        <x:f>D12+G12+J12+M12</x:f>
        <x:v>1192.9147305623846</x:v>
      </x:c>
    </x:row>
    <x:row r="13">
      <x:c r="A13" s="32" t="n">
        <x:f>'Actuals Data'!A10</x:f>
        <x:v>45170</x:v>
      </x:c>
      <x:c r="B13" s="31" t="n">
        <x:f>'Actuals Data'!B10</x:f>
        <x:v>158573.69170731708</x:v>
      </x:c>
      <x:c r="C13" s="31" t="n">
        <x:f>'Actuals Data'!F10</x:f>
        <x:v>162538.03399999999</x:v>
      </x:c>
      <x:c r="D13" s="31" t="n">
        <x:f>C13-B13</x:f>
        <x:v>3964.342292682908</x:v>
      </x:c>
      <x:c r="E13" s="31" t="n">
        <x:f>'Actuals Data'!C10</x:f>
        <x:v>30129.001424390244</x:v>
      </x:c>
      <x:c r="F13" s="31" t="n">
        <x:f>'Actuals Data'!G10</x:f>
        <x:v>28745.25795203866</x:v>
      </x:c>
      <x:c r="G13" s="31" t="n">
        <x:f>E13-F13</x:f>
        <x:v>1383.7434723515835</x:v>
      </x:c>
      <x:c r="H13" s="31" t="n">
        <x:f>'Actuals Data'!D10</x:f>
        <x:v>191637.6</x:v>
      </x:c>
      <x:c r="I13" s="31" t="n">
        <x:f>'Actuals Data'!H10</x:f>
        <x:v>187880</x:v>
      </x:c>
      <x:c r="J13" s="31" t="n">
        <x:f>H13-I13</x:f>
        <x:v>3757.600000000006</x:v>
      </x:c>
      <x:c r="K13" s="31" t="n">
        <x:f>'Actuals Data'!E10</x:f>
        <x:v>199531.87</x:v>
      </x:c>
      <x:c r="L13" s="31" t="n">
        <x:f>'Actuals Data'!I10</x:f>
        <x:v>201065.87</x:v>
      </x:c>
      <x:c r="M13" s="31" t="n">
        <x:f>K13-L13</x:f>
        <x:v>-1534</x:v>
      </x:c>
      <x:c r="N13" s="31" t="n">
        <x:f>D13+G13+J13+M13</x:f>
        <x:v>7571.685765034497</x:v>
      </x:c>
    </x:row>
    <x:row r="14">
      <x:c r="A14" s="32" t="n">
        <x:f>'Actuals Data'!A11</x:f>
        <x:v>45200</x:v>
      </x:c>
      <x:c r="B14" s="31" t="n">
        <x:f>'Actuals Data'!B11</x:f>
        <x:v>161984.34341463415</x:v>
      </x:c>
      <x:c r="C14" s="31" t="n">
        <x:f>'Actuals Data'!F11</x:f>
        <x:v>166033.952</x:v>
      </x:c>
      <x:c r="D14" s="31" t="n">
        <x:f>C14-B14</x:f>
        <x:v>4049.608585365844</x:v>
      </x:c>
      <x:c r="E14" s="31" t="n">
        <x:f>'Actuals Data'!C11</x:f>
        <x:v>30777.025248780486</x:v>
      </x:c>
      <x:c r="F14" s="31" t="n">
        <x:f>'Actuals Data'!G11</x:f>
        <x:v>30817.35790032903</x:v>
      </x:c>
      <x:c r="G14" s="31" t="n">
        <x:f>E14-F14</x:f>
        <x:v>-40.332651548542344</x:v>
      </x:c>
      <x:c r="H14" s="31" t="n">
        <x:f>'Actuals Data'!D11</x:f>
        <x:v>205958.57000000004</x:v>
      </x:c>
      <x:c r="I14" s="31" t="n">
        <x:f>'Actuals Data'!H11</x:f>
        <x:v>201920.1666666667</x:v>
      </x:c>
      <x:c r="J14" s="31" t="n">
        <x:f>H14-I14</x:f>
        <x:v>4038.40333333335</x:v>
      </x:c>
      <x:c r="K14" s="31" t="n">
        <x:f>'Actuals Data'!E11</x:f>
        <x:v>201913.9</x:v>
      </x:c>
      <x:c r="L14" s="31" t="n">
        <x:f>'Actuals Data'!I11</x:f>
        <x:v>211603.28000000003</x:v>
      </x:c>
      <x:c r="M14" s="31" t="n">
        <x:f>K14-L14</x:f>
        <x:v>-9689.380000000034</x:v>
      </x:c>
      <x:c r="N14" s="31" t="n">
        <x:f>D14+G14+J14+M14</x:f>
        <x:v>-1641.700732849382</x:v>
      </x:c>
    </x:row>
    <x:row r="15">
      <x:c r="A15" s="32" t="n">
        <x:f>'Actuals Data'!A12</x:f>
        <x:v>45231</x:v>
      </x:c>
      <x:c r="B15" s="31" t="n">
        <x:f>'Actuals Data'!B12</x:f>
        <x:v>166277.31317073174</x:v>
      </x:c>
      <x:c r="C15" s="31" t="n">
        <x:f>'Actuals Data'!F12</x:f>
        <x:v>170434.246</x:v>
      </x:c>
      <x:c r="D15" s="31" t="n">
        <x:f>C15-B15</x:f>
        <x:v>4156.932829268277</x:v>
      </x:c>
      <x:c r="E15" s="31" t="n">
        <x:f>'Actuals Data'!C12</x:f>
        <x:v>31592.68950243903</x:v>
      </x:c>
      <x:c r="F15" s="31" t="n">
        <x:f>'Actuals Data'!G12</x:f>
        <x:v>31873.22627343761</x:v>
      </x:c>
      <x:c r="G15" s="31" t="n">
        <x:f>E15-F15</x:f>
        <x:v>-280.5367709985803</x:v>
      </x:c>
      <x:c r="H15" s="31" t="n">
        <x:f>'Actuals Data'!D12</x:f>
        <x:v>219408.46000000002</x:v>
      </x:c>
      <x:c r="I15" s="31" t="n">
        <x:f>'Actuals Data'!H12</x:f>
        <x:v>215106.33333333334</x:v>
      </x:c>
      <x:c r="J15" s="31" t="n">
        <x:f>H15-I15</x:f>
        <x:v>4302.126666666678</x:v>
      </x:c>
      <x:c r="K15" s="31" t="n">
        <x:f>'Actuals Data'!E12</x:f>
        <x:v>204399.94</x:v>
      </x:c>
      <x:c r="L15" s="31" t="n">
        <x:f>'Actuals Data'!I12</x:f>
        <x:v>215453.89</x:v>
      </x:c>
      <x:c r="M15" s="31" t="n">
        <x:f>K15-L15</x:f>
        <x:v>-11053.950000000012</x:v>
      </x:c>
      <x:c r="N15" s="31" t="n">
        <x:f>D15+G15+J15+M15</x:f>
        <x:v>-2875.4272750636374</x:v>
      </x:c>
    </x:row>
    <x:row r="16">
      <x:c r="A16" s="32" t="n">
        <x:f>'Actuals Data'!A13</x:f>
        <x:v>45261</x:v>
      </x:c>
      <x:c r="B16" s="31" t="n">
        <x:f>'Actuals Data'!B13</x:f>
        <x:v>170860.03902439028</x:v>
      </x:c>
      <x:c r="C16" s="31" t="n">
        <x:f>'Actuals Data'!F13</x:f>
        <x:v>175131.54</x:v>
      </x:c>
      <x:c r="D16" s="31" t="n">
        <x:f>C16-B16</x:f>
        <x:v>4271.500975609728</x:v>
      </x:c>
      <x:c r="E16" s="31" t="n">
        <x:f>'Actuals Data'!C13</x:f>
        <x:v>32463.407414634155</x:v>
      </x:c>
      <x:c r="F16" s="31" t="n">
        <x:f>'Actuals Data'!G13</x:f>
        <x:v>32882.099569894155</x:v>
      </x:c>
      <x:c r="G16" s="31" t="n">
        <x:f>E16-F16</x:f>
        <x:v>-418.6921552599997</x:v>
      </x:c>
      <x:c r="H16" s="31" t="n">
        <x:f>'Actuals Data'!D13</x:f>
        <x:v>219408.46000000002</x:v>
      </x:c>
      <x:c r="I16" s="31" t="n">
        <x:f>'Actuals Data'!H13</x:f>
        <x:v>215106.33333333334</x:v>
      </x:c>
      <x:c r="J16" s="31" t="n">
        <x:f>H16-I16</x:f>
        <x:v>4302.126666666678</x:v>
      </x:c>
      <x:c r="K16" s="31" t="n">
        <x:f>'Actuals Data'!E13</x:f>
        <x:v>206920.13</x:v>
      </x:c>
      <x:c r="L16" s="31" t="n">
        <x:f>'Actuals Data'!I13</x:f>
        <x:v>218920.39</x:v>
      </x:c>
      <x:c r="M16" s="31" t="n">
        <x:f>K16-L16</x:f>
        <x:v>-12000.26000000001</x:v>
      </x:c>
      <x:c r="N16" s="31" t="n">
        <x:f>D16+G16+J16+M16</x:f>
        <x:v>-3845.324512983603</x:v>
      </x:c>
    </x:row>
    <x:row r="17">
      <x:c r="A17" s="32" t="n">
        <x:f>'Actuals Data'!A14</x:f>
        <x:v>45292</x:v>
      </x:c>
      <x:c r="B17" s="31" t="n">
        <x:f>'Actuals Data'!B14</x:f>
        <x:v>181026.69620487807</x:v>
      </x:c>
      <x:c r="C17" s="31" t="n">
        <x:f>'Actuals Data'!F14</x:f>
        <x:v>185552.36361</x:v>
      </x:c>
      <x:c r="D17" s="31" t="n">
        <x:f>C17-B17</x:f>
        <x:v>4525.667405121931</x:v>
      </x:c>
      <x:c r="E17" s="31" t="n">
        <x:f>'Actuals Data'!C14</x:f>
        <x:v>34395.07227892683</x:v>
      </x:c>
      <x:c r="F17" s="31" t="n">
        <x:f>'Actuals Data'!G14</x:f>
        <x:v>35674.36360349156</x:v>
      </x:c>
      <x:c r="G17" s="31" t="n">
        <x:f>E17-F17</x:f>
        <x:v>-1279.2913245647287</x:v>
      </x:c>
      <x:c r="H17" s="31" t="n">
        <x:f>'Actuals Data'!D14</x:f>
        <x:v>233967.94</x:v>
      </x:c>
      <x:c r="I17" s="31" t="n">
        <x:f>'Actuals Data'!H14</x:f>
        <x:v>229380.33333333334</x:v>
      </x:c>
      <x:c r="J17" s="31" t="n">
        <x:f>H17-I17</x:f>
        <x:v>4587.606666666659</x:v>
      </x:c>
      <x:c r="K17" s="31" t="n">
        <x:f>'Actuals Data'!E14</x:f>
        <x:v>210098.52000000002</x:v>
      </x:c>
      <x:c r="L17" s="31" t="n">
        <x:f>'Actuals Data'!I14</x:f>
        <x:v>227149.54000000004</x:v>
      </x:c>
      <x:c r="M17" s="31" t="n">
        <x:f>K17-L17</x:f>
        <x:v>-17051.02000000002</x:v>
      </x:c>
      <x:c r="N17" s="31" t="n">
        <x:f>D17+G17+J17+M17</x:f>
        <x:v>-9217.037252776157</x:v>
      </x:c>
    </x:row>
    <x:row r="18">
      <x:c r="A18" s="32" t="n">
        <x:f>'Actuals Data'!A15</x:f>
        <x:v>45323</x:v>
      </x:c>
      <x:c r="B18" s="31" t="n">
        <x:f>'Actuals Data'!B15</x:f>
        <x:v>185669.8516097561</x:v>
      </x:c>
      <x:c r="C18" s="31" t="n">
        <x:f>'Actuals Data'!F15</x:f>
        <x:v>190311.5979</x:v>
      </x:c>
      <x:c r="D18" s="31" t="n">
        <x:f>C18-B18</x:f>
        <x:v>4641.7462902439</x:v>
      </x:c>
      <x:c r="E18" s="31" t="n">
        <x:f>'Actuals Data'!C15</x:f>
        <x:v>35277.271805853656</x:v>
      </x:c>
      <x:c r="F18" s="31" t="n">
        <x:f>'Actuals Data'!G15</x:f>
        <x:v>37214.34935992303</x:v>
      </x:c>
      <x:c r="G18" s="31" t="n">
        <x:f>E18-F18</x:f>
        <x:v>-1937.0775540693721</x:v>
      </x:c>
      <x:c r="H18" s="31" t="n">
        <x:f>'Actuals Data'!D15</x:f>
        <x:v>255340.51</x:v>
      </x:c>
      <x:c r="I18" s="31" t="n">
        <x:f>'Actuals Data'!H15</x:f>
        <x:v>250333.83333333334</x:v>
      </x:c>
      <x:c r="J18" s="31" t="n">
        <x:f>H18-I18</x:f>
        <x:v>5006.676666666666</x:v>
      </x:c>
      <x:c r="K18" s="31" t="n">
        <x:f>'Actuals Data'!E15</x:f>
        <x:v>212625.83000000002</x:v>
      </x:c>
      <x:c r="L18" s="31" t="n">
        <x:f>'Actuals Data'!I15</x:f>
        <x:v>231262.74</x:v>
      </x:c>
      <x:c r="M18" s="31" t="n">
        <x:f>K18-L18</x:f>
        <x:v>-18636.909999999974</x:v>
      </x:c>
      <x:c r="N18" s="31" t="n">
        <x:f>D18+G18+J18+M18</x:f>
        <x:v>-10925.56459715878</x:v>
      </x:c>
    </x:row>
    <x:row r="19">
      <x:c r="A19" s="32" t="n">
        <x:f>'Actuals Data'!A16</x:f>
        <x:v>45352</x:v>
      </x:c>
      <x:c r="B19" s="31" t="n">
        <x:f>'Actuals Data'!B16</x:f>
        <x:v>191426.137902439</x:v>
      </x:c>
      <x:c r="C19" s="31" t="n">
        <x:f>'Actuals Data'!F16</x:f>
        <x:v>196211.79134999996</x:v>
      </x:c>
      <x:c r="D19" s="31" t="n">
        <x:f>C19-B19</x:f>
        <x:v>4785.653447560966</x:v>
      </x:c>
      <x:c r="E19" s="31" t="n">
        <x:f>'Actuals Data'!C16</x:f>
        <x:v>36370.96620146341</x:v>
      </x:c>
      <x:c r="F19" s="31" t="n">
        <x:f>'Actuals Data'!G16</x:f>
        <x:v>39598.54746943632</x:v>
      </x:c>
      <x:c r="G19" s="31" t="n">
        <x:f>E19-F19</x:f>
        <x:v>-3227.5812679729133</x:v>
      </x:c>
      <x:c r="H19" s="31" t="n">
        <x:f>'Actuals Data'!D16</x:f>
        <x:v>282520.27999999997</x:v>
      </x:c>
      <x:c r="I19" s="31" t="n">
        <x:f>'Actuals Data'!H16</x:f>
        <x:v>276980.6666666666</x:v>
      </x:c>
      <x:c r="J19" s="31" t="n">
        <x:f>H19-I19</x:f>
        <x:v>5539.613333333342</x:v>
      </x:c>
      <x:c r="K19" s="31" t="n">
        <x:f>'Actuals Data'!E16</x:f>
        <x:v>215284.36</x:v>
      </x:c>
      <x:c r="L19" s="31" t="n">
        <x:f>'Actuals Data'!I16</x:f>
        <x:v>226317.15</x:v>
      </x:c>
      <x:c r="M19" s="31" t="n">
        <x:f>K19-L19</x:f>
        <x:v>-11032.790000000008</x:v>
      </x:c>
      <x:c r="N19" s="31" t="n">
        <x:f>D19+G19+J19+M19</x:f>
        <x:v>-3935.1044870786136</x:v>
      </x:c>
    </x:row>
    <x:row r="20">
      <x:c r="A20" s="32" t="n">
        <x:f>'Actuals Data'!A17</x:f>
        <x:v>45383</x:v>
      </x:c>
      <x:c r="B20" s="31" t="n">
        <x:f>'Actuals Data'!B17</x:f>
        <x:v>198372.71458536587</x:v>
      </x:c>
      <x:c r="C20" s="31" t="n">
        <x:f>'Actuals Data'!F17</x:f>
        <x:v>203332.03245</x:v>
      </x:c>
      <x:c r="D20" s="31" t="n">
        <x:f>C20-B20</x:f>
        <x:v>4959.317864634126</x:v>
      </x:c>
      <x:c r="E20" s="31" t="n">
        <x:f>'Actuals Data'!C17</x:f>
        <x:v>37690.81577121952</x:v>
      </x:c>
      <x:c r="F20" s="31" t="n">
        <x:f>'Actuals Data'!G17</x:f>
        <x:v>40863.809971661925</x:v>
      </x:c>
      <x:c r="G20" s="31" t="n">
        <x:f>E20-F20</x:f>
        <x:v>-3172.9942004424083</x:v>
      </x:c>
      <x:c r="H20" s="31" t="n">
        <x:f>'Actuals Data'!D17</x:f>
        <x:v>321428.51999999996</x:v>
      </x:c>
      <x:c r="I20" s="31" t="n">
        <x:f>'Actuals Data'!H17</x:f>
        <x:v>315125.99999999994</x:v>
      </x:c>
      <x:c r="J20" s="31" t="n">
        <x:f>H20-I20</x:f>
        <x:v>6302.520000000019</x:v>
      </x:c>
      <x:c r="K20" s="31" t="n">
        <x:f>'Actuals Data'!E17</x:f>
        <x:v>218083.18</x:v>
      </x:c>
      <x:c r="L20" s="31" t="n">
        <x:f>'Actuals Data'!I17</x:f>
        <x:v>232065.56999999998</x:v>
      </x:c>
      <x:c r="M20" s="31" t="n">
        <x:f>K20-L20</x:f>
        <x:v>-13982.389999999985</x:v>
      </x:c>
      <x:c r="N20" s="31" t="n">
        <x:f>D20+G20+J20+M20</x:f>
        <x:v>-5893.546335808249</x:v>
      </x:c>
    </x:row>
    <x:row r="21">
      <x:c r="A21" s="32" t="n">
        <x:f>'Actuals Data'!A18</x:f>
        <x:v>45413</x:v>
      </x:c>
      <x:c r="B21" s="31" t="n">
        <x:f>'Actuals Data'!B18</x:f>
        <x:v>204562.7941170732</x:v>
      </x:c>
      <x:c r="C21" s="31" t="n">
        <x:f>'Actuals Data'!F18</x:f>
        <x:v>209676.86397</x:v>
      </x:c>
      <x:c r="D21" s="31" t="n">
        <x:f>C21-B21</x:f>
        <x:v>5114.0698529267975</x:v>
      </x:c>
      <x:c r="E21" s="31" t="n">
        <x:f>'Actuals Data'!C18</x:f>
        <x:v>38866.93088224391</x:v>
      </x:c>
      <x:c r="F21" s="31" t="n">
        <x:f>'Actuals Data'!G18</x:f>
        <x:v>41465.41311844422</x:v>
      </x:c>
      <x:c r="G21" s="31" t="n">
        <x:f>E21-F21</x:f>
        <x:v>-2598.4822362003106</x:v>
      </x:c>
      <x:c r="H21" s="31" t="n">
        <x:f>'Actuals Data'!D18</x:f>
        <x:v>333706.6</x:v>
      </x:c>
      <x:c r="I21" s="31" t="n">
        <x:f>'Actuals Data'!H18</x:f>
        <x:v>327163.3333333333</x:v>
      </x:c>
      <x:c r="J21" s="31" t="n">
        <x:f>H21-I21</x:f>
        <x:v>6543.266666666663</x:v>
      </x:c>
      <x:c r="K21" s="31" t="n">
        <x:f>'Actuals Data'!E18</x:f>
        <x:v>220792.84</x:v>
      </x:c>
      <x:c r="L21" s="31" t="n">
        <x:f>'Actuals Data'!I18</x:f>
        <x:v>232938.48000000004</x:v>
      </x:c>
      <x:c r="M21" s="31" t="n">
        <x:f>K21-L21</x:f>
        <x:v>-12145.640000000043</x:v>
      </x:c>
      <x:c r="N21" s="31" t="n">
        <x:f>D21+G21+J21+M21</x:f>
        <x:v>-3086.7857166068934</x:v>
      </x:c>
    </x:row>
    <x:row r="22">
      <x:c r="A22" s="32" t="n">
        <x:f>'Actuals Data'!A19</x:f>
        <x:v>45444</x:v>
      </x:c>
      <x:c r="B22" s="31" t="n">
        <x:f>'Actuals Data'!B19</x:f>
        <x:v>211722.80900487804</x:v>
      </x:c>
      <x:c r="C22" s="31" t="n">
        <x:f>'Actuals Data'!F19</x:f>
        <x:v>217015.87922999996</x:v>
      </x:c>
      <x:c r="D22" s="31" t="n">
        <x:f>C22-B22</x:f>
        <x:v>5293.070225121919</x:v>
      </x:c>
      <x:c r="E22" s="31" t="n">
        <x:f>'Actuals Data'!C19</x:f>
        <x:v>40227.33371092683</x:v>
      </x:c>
      <x:c r="F22" s="31" t="n">
        <x:f>'Actuals Data'!G19</x:f>
        <x:v>41958.839938419434</x:v>
      </x:c>
      <x:c r="G22" s="31" t="n">
        <x:f>E22-F22</x:f>
        <x:v>-1731.5062274926022</x:v>
      </x:c>
      <x:c r="H22" s="31" t="n">
        <x:f>'Actuals Data'!D19</x:f>
        <x:v>344024.75</x:v>
      </x:c>
      <x:c r="I22" s="31" t="n">
        <x:f>'Actuals Data'!H19</x:f>
        <x:v>337279.1666666667</x:v>
      </x:c>
      <x:c r="J22" s="31" t="n">
        <x:f>H22-I22</x:f>
        <x:v>6745.583333333314</x:v>
      </x:c>
      <x:c r="K22" s="31" t="n">
        <x:f>'Actuals Data'!E19</x:f>
        <x:v>223616.83000000002</x:v>
      </x:c>
      <x:c r="L22" s="31" t="n">
        <x:f>'Actuals Data'!I19</x:f>
        <x:v>229814.69</x:v>
      </x:c>
      <x:c r="M22" s="31" t="n">
        <x:f>K22-L22</x:f>
        <x:v>-6197.859999999986</x:v>
      </x:c>
      <x:c r="N22" s="31" t="n">
        <x:f>D22+G22+J22+M22</x:f>
        <x:v>4109.287330962645</x:v>
      </x:c>
    </x:row>
    <x:row r="23">
      <x:c r="A23" s="32" t="n">
        <x:f>'Actuals Data'!A20</x:f>
        <x:v>45474</x:v>
      </x:c>
      <x:c r="B23" s="31" t="n">
        <x:f>'Actuals Data'!B20</x:f>
        <x:v>218312.75195121954</x:v>
      </x:c>
      <x:c r="C23" s="31" t="n">
        <x:f>'Actuals Data'!F20</x:f>
        <x:v>223770.57075</x:v>
      </x:c>
      <x:c r="D23" s="31" t="n">
        <x:f>C23-B23</x:f>
        <x:v>5457.81879878047</x:v>
      </x:c>
      <x:c r="E23" s="31" t="n">
        <x:f>'Actuals Data'!C20</x:f>
        <x:v>41479.422870731716</x:v>
      </x:c>
      <x:c r="F23" s="31" t="n">
        <x:f>'Actuals Data'!G20</x:f>
        <x:v>41667.033940117464</x:v>
      </x:c>
      <x:c r="G23" s="31" t="n">
        <x:f>E23-F23</x:f>
        <x:v>-187.61106938574812</x:v>
      </x:c>
      <x:c r="H23" s="31" t="n">
        <x:f>'Actuals Data'!D20</x:f>
        <x:v>344024.75</x:v>
      </x:c>
      <x:c r="I23" s="31" t="n">
        <x:f>'Actuals Data'!H20</x:f>
        <x:v>337279.1666666667</x:v>
      </x:c>
      <x:c r="J23" s="31" t="n">
        <x:f>H23-I23</x:f>
        <x:v>6745.583333333314</x:v>
      </x:c>
      <x:c r="K23" s="31" t="n">
        <x:f>'Actuals Data'!E20</x:f>
        <x:v>226373.62</x:v>
      </x:c>
      <x:c r="L23" s="31" t="n">
        <x:f>'Actuals Data'!I20</x:f>
        <x:v>239949.09999999998</x:v>
      </x:c>
      <x:c r="M23" s="31" t="n">
        <x:f>K23-L23</x:f>
        <x:v>-13575.479999999981</x:v>
      </x:c>
      <x:c r="N23" s="31" t="n">
        <x:f>D23+G23+J23+M23</x:f>
        <x:v>-1559.6889372719452</x:v>
      </x:c>
    </x:row>
    <x:row r="24">
      <x:c r="A24" s="32" t="n">
        <x:f>'Actuals Data'!A21</x:f>
        <x:v>45505</x:v>
      </x:c>
      <x:c r="B24" s="31" t="n">
        <x:f>'Actuals Data'!B21</x:f>
        <x:v>224859.46521951223</x:v>
      </x:c>
      <x:c r="C24" s="31" t="n">
        <x:f>'Actuals Data'!F21</x:f>
        <x:v>230480.95185</x:v>
      </x:c>
      <x:c r="D24" s="31" t="n">
        <x:f>C24-B24</x:f>
        <x:v>5621.48663048778</x:v>
      </x:c>
      <x:c r="E24" s="31" t="n">
        <x:f>'Actuals Data'!C21</x:f>
        <x:v>42723.29839170732</x:v>
      </x:c>
      <x:c r="F24" s="31" t="n">
        <x:f>'Actuals Data'!G21</x:f>
        <x:v>42213.58835608775</x:v>
      </x:c>
      <x:c r="G24" s="31" t="n">
        <x:f>E24-F24</x:f>
        <x:v>509.7100356195733</x:v>
      </x:c>
      <x:c r="H24" s="31" t="n">
        <x:f>'Actuals Data'!D21</x:f>
        <x:v>367958.7099999999</x:v>
      </x:c>
      <x:c r="I24" s="31" t="n">
        <x:f>'Actuals Data'!H21</x:f>
        <x:v>360743.83333333326</x:v>
      </x:c>
      <x:c r="J24" s="31" t="n">
        <x:f>H24-I24</x:f>
        <x:v>7214.876666666649</x:v>
      </x:c>
      <x:c r="K24" s="31" t="n">
        <x:f>'Actuals Data'!E21</x:f>
        <x:v>229125.31</x:v>
      </x:c>
      <x:c r="L24" s="31" t="n">
        <x:f>'Actuals Data'!I21</x:f>
        <x:v>241409.99000000002</x:v>
      </x:c>
      <x:c r="M24" s="31" t="n">
        <x:f>K24-L24</x:f>
        <x:v>-12284.680000000022</x:v>
      </x:c>
      <x:c r="N24" s="31" t="n">
        <x:f>D24+G24+J24+M24</x:f>
        <x:v>1061.3933327739796</x:v>
      </x:c>
    </x:row>
    <x:row r="25">
      <x:c r="A25" s="32" t="n">
        <x:f>'Actuals Data'!A22</x:f>
        <x:v>45536</x:v>
      </x:c>
      <x:c r="B25" s="31" t="n">
        <x:f>'Actuals Data'!B22</x:f>
        <x:v>230115.92224390246</x:v>
      </x:c>
      <x:c r="C25" s="31" t="n">
        <x:f>'Actuals Data'!F22</x:f>
        <x:v>235868.8203</x:v>
      </x:c>
      <x:c r="D25" s="31" t="n">
        <x:f>C25-B25</x:f>
        <x:v>5752.898056097532</x:v>
      </x:c>
      <x:c r="E25" s="31" t="n">
        <x:f>'Actuals Data'!C22</x:f>
        <x:v>43722.025226341466</x:v>
      </x:c>
      <x:c r="F25" s="31" t="n">
        <x:f>'Actuals Data'!G22</x:f>
        <x:v>42288.93671903918</x:v>
      </x:c>
      <x:c r="G25" s="31" t="n">
        <x:f>E25-F25</x:f>
        <x:v>1433.0885073022873</x:v>
      </x:c>
      <x:c r="H25" s="31" t="n">
        <x:f>'Actuals Data'!D22</x:f>
        <x:v>394931.0799999999</x:v>
      </x:c>
      <x:c r="I25" s="31" t="n">
        <x:f>'Actuals Data'!H22</x:f>
        <x:v>387187.33333333326</x:v>
      </x:c>
      <x:c r="J25" s="31" t="n">
        <x:f>H25-I25</x:f>
        <x:v>7743.746666666644</x:v>
      </x:c>
      <x:c r="K25" s="31" t="n">
        <x:f>'Actuals Data'!E22</x:f>
        <x:v>231724.91</x:v>
      </x:c>
      <x:c r="L25" s="31" t="n">
        <x:f>'Actuals Data'!I22</x:f>
        <x:v>238841.78999999998</x:v>
      </x:c>
      <x:c r="M25" s="31" t="n">
        <x:f>K25-L25</x:f>
        <x:v>-7116.879999999976</x:v>
      </x:c>
      <x:c r="N25" s="31" t="n">
        <x:f>D25+G25+J25+M25</x:f>
        <x:v>7812.853230066488</x:v>
      </x:c>
    </x:row>
    <x:row r="26">
      <x:c r="A26" s="32" t="n">
        <x:f>'Actuals Data'!A23</x:f>
        <x:v>45566</x:v>
      </x:c>
      <x:c r="B26" s="31" t="n">
        <x:f>'Actuals Data'!B23</x:f>
        <x:v>235572.31097560975</x:v>
      </x:c>
      <x:c r="C26" s="31" t="n">
        <x:f>'Actuals Data'!F23</x:f>
        <x:v>241461.61874999997</x:v>
      </x:c>
      <x:c r="D26" s="31" t="n">
        <x:f>C26-B26</x:f>
        <x:v>5889.30777439021</x:v>
      </x:c>
      <x:c r="E26" s="31" t="n">
        <x:f>'Actuals Data'!C23</x:f>
        <x:v>44758.73908536585</x:v>
      </x:c>
      <x:c r="F26" s="31" t="n">
        <x:f>'Actuals Data'!G23</x:f>
        <x:v>45011.047249348034</x:v>
      </x:c>
      <x:c r="G26" s="31" t="n">
        <x:f>E26-F26</x:f>
        <x:v>-252.30816398218303</x:v>
      </x:c>
      <x:c r="H26" s="31" t="n">
        <x:f>'Actuals Data'!D23</x:f>
        <x:v>412715.62999999995</x:v>
      </x:c>
      <x:c r="I26" s="31" t="n">
        <x:f>'Actuals Data'!H23</x:f>
        <x:v>404623.1666666666</x:v>
      </x:c>
      <x:c r="J26" s="31" t="n">
        <x:f>H26-I26</x:f>
        <x:v>8092.463333333319</x:v>
      </x:c>
      <x:c r="K26" s="31" t="n">
        <x:f>'Actuals Data'!E23</x:f>
        <x:v>234348.09</x:v>
      </x:c>
      <x:c r="L26" s="31" t="n">
        <x:f>'Actuals Data'!I23</x:f>
        <x:v>250321.82999999996</x:v>
      </x:c>
      <x:c r="M26" s="31" t="n">
        <x:f>K26-L26</x:f>
        <x:v>-15973.739999999962</x:v>
      </x:c>
      <x:c r="N26" s="31" t="n">
        <x:f>D26+G26+J26+M26</x:f>
        <x:v>-2244.2770562586156</x:v>
      </x:c>
    </x:row>
    <x:row r="27">
      <x:c r="A27" s="32" t="n">
        <x:f>'Actuals Data'!A24</x:f>
        <x:v>45597</x:v>
      </x:c>
      <x:c r="B27" s="31" t="n">
        <x:f>'Actuals Data'!B24</x:f>
        <x:v>240928.73385365852</x:v>
      </x:c>
      <x:c r="C27" s="31" t="n">
        <x:f>'Actuals Data'!F24</x:f>
        <x:v>246951.95219999997</x:v>
      </x:c>
      <x:c r="D27" s="31" t="n">
        <x:f>C27-B27</x:f>
        <x:v>6023.218346341455</x:v>
      </x:c>
      <x:c r="E27" s="31" t="n">
        <x:f>'Actuals Data'!C24</x:f>
        <x:v>45776.459432195115</x:v>
      </x:c>
      <x:c r="F27" s="31" t="n">
        <x:f>'Actuals Data'!G24</x:f>
        <x:v>45863.13570836223</x:v>
      </x:c>
      <x:c r="G27" s="31" t="n">
        <x:f>E27-F27</x:f>
        <x:v>-86.67627616711252</x:v>
      </x:c>
      <x:c r="H27" s="31" t="n">
        <x:f>'Actuals Data'!D24</x:f>
        <x:v>412715.62999999995</x:v>
      </x:c>
      <x:c r="I27" s="31" t="n">
        <x:f>'Actuals Data'!H24</x:f>
        <x:v>404623.1666666666</x:v>
      </x:c>
      <x:c r="J27" s="31" t="n">
        <x:f>H27-I27</x:f>
        <x:v>8092.463333333319</x:v>
      </x:c>
      <x:c r="K27" s="31" t="n">
        <x:f>'Actuals Data'!E24</x:f>
        <x:v>236959.47</x:v>
      </x:c>
      <x:c r="L27" s="31" t="n">
        <x:f>'Actuals Data'!I24</x:f>
        <x:v>248775.41000000003</x:v>
      </x:c>
      <x:c r="M27" s="31" t="n">
        <x:f>K27-L27</x:f>
        <x:v>-11815.940000000031</x:v>
      </x:c>
      <x:c r="N27" s="31" t="n">
        <x:f>D27+G27+J27+M27</x:f>
        <x:v>2213.0654035076295</x:v>
      </x:c>
    </x:row>
    <x:row r="28">
      <x:c r="A28" s="32" t="n">
        <x:f>'Actuals Data'!A25</x:f>
        <x:v>45627</x:v>
      </x:c>
      <x:c r="B28" s="31" t="n">
        <x:f>'Actuals Data'!B25</x:f>
        <x:v>246028.48884878046</x:v>
      </x:c>
      <x:c r="C28" s="31" t="n">
        <x:f>'Actuals Data'!F25</x:f>
        <x:v>252179.20106999995</x:v>
      </x:c>
      <x:c r="D28" s="31" t="n">
        <x:f>C28-B28</x:f>
        <x:v>6150.712221219495</x:v>
      </x:c>
      <x:c r="E28" s="31" t="n">
        <x:f>'Actuals Data'!C25</x:f>
        <x:v>46745.41288126829</x:v>
      </x:c>
      <x:c r="F28" s="31" t="n">
        <x:f>'Actuals Data'!G25</x:f>
        <x:v>45893.16050926437</x:v>
      </x:c>
      <x:c r="G28" s="31" t="n">
        <x:f>E28-F28</x:f>
        <x:v>852.2523720039171</x:v>
      </x:c>
      <x:c r="H28" s="31" t="n">
        <x:f>'Actuals Data'!D25</x:f>
        <x:v>429577.24999999994</x:v>
      </x:c>
      <x:c r="I28" s="31" t="n">
        <x:f>'Actuals Data'!H25</x:f>
        <x:v>421154.1666666666</x:v>
      </x:c>
      <x:c r="J28" s="31" t="n">
        <x:f>H28-I28</x:f>
        <x:v>8423.083333333314</x:v>
      </x:c>
      <x:c r="K28" s="31" t="n">
        <x:f>'Actuals Data'!E25</x:f>
        <x:v>239540.61</x:v>
      </x:c>
      <x:c r="L28" s="31" t="n">
        <x:f>'Actuals Data'!I25</x:f>
        <x:v>259584.24000000002</x:v>
      </x:c>
      <x:c r="M28" s="31" t="n">
        <x:f>K28-L28</x:f>
        <x:v>-20043.630000000034</x:v>
      </x:c>
      <x:c r="N28" s="31" t="n">
        <x:f>D28+G28+J28+M28</x:f>
        <x:v>-4617.582073443307</x:v>
      </x:c>
    </x:row>
    <x:row r="29">
      <x:c r="A29" s="32" t="n">
        <x:f>'Actuals Data'!A26</x:f>
        <x:v>45658</x:v>
      </x:c>
      <x:c r="B29" s="31" t="n">
        <x:f>'Actuals Data'!B26</x:f>
        <x:v>261725.72816678052</x:v>
      </x:c>
      <x:c r="C29" s="31" t="n">
        <x:f>'Actuals Data'!F26</x:f>
        <x:v>268268.87137095</x:v>
      </x:c>
      <x:c r="D29" s="31" t="n">
        <x:f>C29-B29</x:f>
        <x:v>6543.143204169493</x:v>
      </x:c>
      <x:c r="E29" s="31" t="n">
        <x:f>'Actuals Data'!C26</x:f>
        <x:v>49727.8883516883</x:v>
      </x:c>
      <x:c r="F29" s="31" t="n">
        <x:f>'Actuals Data'!G26</x:f>
        <x:v>54201.75599118696</x:v>
      </x:c>
      <x:c r="G29" s="31" t="n">
        <x:f>E29-F29</x:f>
        <x:v>-4473.867639498661</x:v>
      </x:c>
      <x:c r="H29" s="31" t="n">
        <x:f>'Actuals Data'!D26</x:f>
        <x:v>444831.5199999999</x:v>
      </x:c>
      <x:c r="I29" s="31" t="n">
        <x:f>'Actuals Data'!H26</x:f>
        <x:v>436109.33333333326</x:v>
      </x:c>
      <x:c r="J29" s="31" t="n">
        <x:f>H29-I29</x:f>
        <x:v>8722.186666666646</x:v>
      </x:c>
      <x:c r="K29" s="31" t="n">
        <x:f>'Actuals Data'!E26</x:f>
        <x:v>243370.91999999998</x:v>
      </x:c>
      <x:c r="L29" s="31" t="n">
        <x:f>'Actuals Data'!I26</x:f>
        <x:v>252720.84</x:v>
      </x:c>
      <x:c r="M29" s="31" t="n">
        <x:f>K29-L29</x:f>
        <x:v>-9349.920000000013</x:v>
      </x:c>
      <x:c r="N29" s="31" t="n">
        <x:f>D29+G29+J29+M29</x:f>
        <x:v>1441.5422313374656</x:v>
      </x:c>
    </x:row>
    <x:row r="30">
      <x:c r="A30" s="32" t="n">
        <x:f>'Actuals Data'!A27</x:f>
        <x:v>45689</x:v>
      </x:c>
      <x:c r="B30" s="31" t="n">
        <x:f>'Actuals Data'!B27</x:f>
        <x:v>269608.924151561</x:v>
      </x:c>
      <x:c r="C30" s="31" t="n">
        <x:f>'Actuals Data'!F27</x:f>
        <x:v>276349.14725534996</x:v>
      </x:c>
      <x:c r="D30" s="31" t="n">
        <x:f>C30-B30</x:f>
        <x:v>6740.223103788972</x:v>
      </x:c>
      <x:c r="E30" s="31" t="n">
        <x:f>'Actuals Data'!C27</x:f>
        <x:v>51225.69558879659</x:v>
      </x:c>
      <x:c r="F30" s="31" t="n">
        <x:f>'Actuals Data'!G27</x:f>
        <x:v>53750.62645092381</x:v>
      </x:c>
      <x:c r="G30" s="31" t="n">
        <x:f>E30-F30</x:f>
        <x:v>-2524.930862127221</x:v>
      </x:c>
      <x:c r="H30" s="31" t="n">
        <x:f>'Actuals Data'!D27</x:f>
        <x:v>494140.87</x:v>
      </x:c>
      <x:c r="I30" s="31" t="n">
        <x:f>'Actuals Data'!H27</x:f>
        <x:v>484451.8333333333</x:v>
      </x:c>
      <x:c r="J30" s="31" t="n">
        <x:f>H30-I30</x:f>
        <x:v>9689.036666666681</x:v>
      </x:c>
      <x:c r="K30" s="31" t="n">
        <x:f>'Actuals Data'!E27</x:f>
        <x:v>246280.15</x:v>
      </x:c>
      <x:c r="L30" s="31" t="n">
        <x:f>'Actuals Data'!I27</x:f>
        <x:v>255015.49000000002</x:v>
      </x:c>
      <x:c r="M30" s="31" t="n">
        <x:f>K30-L30</x:f>
        <x:v>-8735.340000000026</x:v>
      </x:c>
      <x:c r="N30" s="31" t="n">
        <x:f>D30+G30+J30+M30</x:f>
        <x:v>5168.988908328407</x:v>
      </x:c>
    </x:row>
    <x:row r="31">
      <x:c r="A31" s="32" t="n">
        <x:f>'Actuals Data'!A28</x:f>
        <x:v>45717</x:v>
      </x:c>
      <x:c r="B31" s="31" t="n">
        <x:f>'Actuals Data'!B28</x:f>
        <x:v>278275.09468785365</x:v>
      </x:c>
      <x:c r="C31" s="31" t="n">
        <x:f>'Actuals Data'!F28</x:f>
        <x:v>285231.97205504996</x:v>
      </x:c>
      <x:c r="D31" s="31" t="n">
        <x:f>C31-B31</x:f>
        <x:v>6956.877367196314</x:v>
      </x:c>
      <x:c r="E31" s="31" t="n">
        <x:f>'Actuals Data'!C28</x:f>
        <x:v>52872.26799069219</x:v>
      </x:c>
      <x:c r="F31" s="31" t="n">
        <x:f>'Actuals Data'!G28</x:f>
        <x:v>57632.75825424839</x:v>
      </x:c>
      <x:c r="G31" s="31" t="n">
        <x:f>E31-F31</x:f>
        <x:v>-4760.490263556196</x:v>
      </x:c>
      <x:c r="H31" s="31" t="n">
        <x:f>'Actuals Data'!D28</x:f>
        <x:v>505744.89999999997</x:v>
      </x:c>
      <x:c r="I31" s="31" t="n">
        <x:f>'Actuals Data'!H28</x:f>
        <x:v>495828.3333333333</x:v>
      </x:c>
      <x:c r="J31" s="31" t="n">
        <x:f>H31-I31</x:f>
        <x:v>9916.566666666651</x:v>
      </x:c>
      <x:c r="K31" s="31" t="n">
        <x:f>'Actuals Data'!E28</x:f>
        <x:v>249281.68</x:v>
      </x:c>
      <x:c r="L31" s="31" t="n">
        <x:f>'Actuals Data'!I28</x:f>
        <x:v>263464.18</x:v>
      </x:c>
      <x:c r="M31" s="31" t="n">
        <x:f>K31-L31</x:f>
        <x:v>-14182.5</x:v>
      </x:c>
      <x:c r="N31" s="31" t="n">
        <x:f>D31+G31+J31+M31</x:f>
        <x:v>-2069.546229693231</x:v>
      </x:c>
    </x:row>
    <x:row r="32">
      <x:c r="A32" s="32" t="n">
        <x:f>'Actuals Data'!A29</x:f>
        <x:v>45748</x:v>
      </x:c>
      <x:c r="B32" s="31" t="n">
        <x:f>'Actuals Data'!B29</x:f>
        <x:v>285547.1280699512</x:v>
      </x:c>
      <x:c r="C32" s="31" t="n">
        <x:f>'Actuals Data'!F29</x:f>
        <x:v>292685.80627169996</x:v>
      </x:c>
      <x:c r="D32" s="31" t="n">
        <x:f>C32-B32</x:f>
        <x:v>7138.678201748757</x:v>
      </x:c>
      <x:c r="E32" s="31" t="n">
        <x:f>'Actuals Data'!C29</x:f>
        <x:v>54253.95433329073</x:v>
      </x:c>
      <x:c r="F32" s="31" t="n">
        <x:f>'Actuals Data'!G29</x:f>
        <x:v>57182.55781998742</x:v>
      </x:c>
      <x:c r="G32" s="31" t="n">
        <x:f>E32-F32</x:f>
        <x:v>-2928.6034866966947</x:v>
      </x:c>
      <x:c r="H32" s="31" t="n">
        <x:f>'Actuals Data'!D29</x:f>
        <x:v>517234.8599999999</x:v>
      </x:c>
      <x:c r="I32" s="31" t="n">
        <x:f>'Actuals Data'!H29</x:f>
        <x:v>507092.99999999994</x:v>
      </x:c>
      <x:c r="J32" s="31" t="n">
        <x:f>H32-I32</x:f>
        <x:v>10141.859999999986</x:v>
      </x:c>
      <x:c r="K32" s="31" t="n">
        <x:f>'Actuals Data'!E29</x:f>
        <x:v>252118.87</x:v>
      </x:c>
      <x:c r="L32" s="31" t="n">
        <x:f>'Actuals Data'!I29</x:f>
        <x:v>265889.16000000003</x:v>
      </x:c>
      <x:c r="M32" s="31" t="n">
        <x:f>K32-L32</x:f>
        <x:v>-13770.290000000037</x:v>
      </x:c>
      <x:c r="N32" s="31" t="n">
        <x:f>D32+G32+J32+M32</x:f>
        <x:v>581.6447150520107</x:v>
      </x:c>
    </x:row>
    <x:row r="33">
      <x:c r="A33" s="32" t="n">
        <x:f>'Actuals Data'!A30</x:f>
        <x:v>45778</x:v>
      </x:c>
      <x:c r="B33" s="31" t="n">
        <x:f>'Actuals Data'!B30</x:f>
        <x:v>295010.2523827317</x:v>
      </x:c>
      <x:c r="C33" s="31" t="n">
        <x:f>'Actuals Data'!F30</x:f>
        <x:v>302385.50869229995</x:v>
      </x:c>
      <x:c r="D33" s="31" t="n">
        <x:f>C33-B33</x:f>
        <x:v>7375.256309568242</x:v>
      </x:c>
      <x:c r="E33" s="31" t="n">
        <x:f>'Actuals Data'!C30</x:f>
        <x:v>56051.94795271903</x:v>
      </x:c>
      <x:c r="F33" s="31" t="n">
        <x:f>'Actuals Data'!G30</x:f>
        <x:v>60132.05305201214</x:v>
      </x:c>
      <x:c r="G33" s="31" t="n">
        <x:f>E33-F33</x:f>
        <x:v>-4080.1050992931123</x:v>
      </x:c>
      <x:c r="H33" s="31" t="n">
        <x:f>'Actuals Data'!D30</x:f>
        <x:v>517234.8599999999</x:v>
      </x:c>
      <x:c r="I33" s="31" t="n">
        <x:f>'Actuals Data'!H30</x:f>
        <x:v>507092.99999999994</x:v>
      </x:c>
      <x:c r="J33" s="31" t="n">
        <x:f>H33-I33</x:f>
        <x:v>10141.859999999986</x:v>
      </x:c>
      <x:c r="K33" s="31" t="n">
        <x:f>'Actuals Data'!E30</x:f>
        <x:v>255214.33000000002</x:v>
      </x:c>
      <x:c r="L33" s="31" t="n">
        <x:f>'Actuals Data'!I30</x:f>
        <x:v>272099.93</x:v>
      </x:c>
      <x:c r="M33" s="31" t="n">
        <x:f>K33-L33</x:f>
        <x:v>-16885.599999999977</x:v>
      </x:c>
      <x:c r="N33" s="31" t="n">
        <x:f>D33+G33+J33+M33</x:f>
        <x:v>-3448.5887897248613</x:v>
      </x:c>
    </x:row>
    <x:row r="34">
      <x:c r="A34" s="32" t="n">
        <x:f>'Actuals Data'!A31</x:f>
        <x:v>45809</x:v>
      </x:c>
      <x:c r="B34" s="31" t="n">
        <x:f>'Actuals Data'!B31</x:f>
        <x:v>302975.77488278045</x:v>
      </x:c>
      <x:c r="C34" s="31" t="n">
        <x:f>'Actuals Data'!F31</x:f>
        <x:v>310550.16925484996</x:v>
      </x:c>
      <x:c r="D34" s="31" t="n">
        <x:f>C34-B34</x:f>
        <x:v>7574.39437206951</x:v>
      </x:c>
      <x:c r="E34" s="31" t="n">
        <x:f>'Actuals Data'!C31</x:f>
        <x:v>57565.39722772829</x:v>
      </x:c>
      <x:c r="F34" s="31" t="n">
        <x:f>'Actuals Data'!G31</x:f>
        <x:v>57409.99841763445</x:v>
      </x:c>
      <x:c r="G34" s="31" t="n">
        <x:f>E34-F34</x:f>
        <x:v>155.3988100938368</x:v>
      </x:c>
      <x:c r="H34" s="31" t="n">
        <x:f>'Actuals Data'!D31</x:f>
        <x:v>517234.8599999999</x:v>
      </x:c>
      <x:c r="I34" s="31" t="n">
        <x:f>'Actuals Data'!H31</x:f>
        <x:v>507092.99999999994</x:v>
      </x:c>
      <x:c r="J34" s="31" t="n">
        <x:f>H34-I34</x:f>
        <x:v>10141.859999999986</x:v>
      </x:c>
      <x:c r="K34" s="31" t="n">
        <x:f>'Actuals Data'!E31</x:f>
        <x:v>258133.27</x:v>
      </x:c>
      <x:c r="L34" s="31" t="n">
        <x:f>'Actuals Data'!I31</x:f>
        <x:v>274695.89999999997</x:v>
      </x:c>
      <x:c r="M34" s="31" t="n">
        <x:f>K34-L34</x:f>
        <x:v>-16562.629999999976</x:v>
      </x:c>
      <x:c r="N34" s="31" t="n">
        <x:f>D34+G34+J34+M34</x:f>
        <x:v>1309.023182163357</x:v>
      </x:c>
    </x:row>
    <x:row r="35">
      <x:c r="A35" s="32" t="n">
        <x:f>'Actuals Data'!A32</x:f>
        <x:v>45839</x:v>
      </x:c>
      <x:c r="B35" s="31" t="n">
        <x:f>'Actuals Data'!B32</x:f>
        <x:v>311103.4839831219</x:v>
      </x:c>
      <x:c r="C35" s="31" t="n">
        <x:f>'Actuals Data'!F32</x:f>
        <x:v>318881.0710826999</x:v>
      </x:c>
      <x:c r="D35" s="31" t="n">
        <x:f>C35-B35</x:f>
        <x:v>7777.587099577999</x:v>
      </x:c>
      <x:c r="E35" s="31" t="n">
        <x:f>'Actuals Data'!C32</x:f>
        <x:v>59109.66195679317</x:v>
      </x:c>
      <x:c r="F35" s="31" t="n">
        <x:f>'Actuals Data'!G32</x:f>
        <x:v>58245.55772189688</x:v>
      </x:c>
      <x:c r="G35" s="31" t="n">
        <x:f>E35-F35</x:f>
        <x:v>864.1042348962874</x:v>
      </x:c>
      <x:c r="H35" s="31" t="n">
        <x:f>'Actuals Data'!D32</x:f>
        <x:v>517234.8599999999</x:v>
      </x:c>
      <x:c r="I35" s="31" t="n">
        <x:f>'Actuals Data'!H32</x:f>
        <x:v>507092.99999999994</x:v>
      </x:c>
      <x:c r="J35" s="31" t="n">
        <x:f>H35-I35</x:f>
        <x:v>10141.859999999986</x:v>
      </x:c>
      <x:c r="K35" s="31" t="n">
        <x:f>'Actuals Data'!E32</x:f>
        <x:v>261071.32</x:v>
      </x:c>
      <x:c r="L35" s="31" t="n">
        <x:f>'Actuals Data'!I32</x:f>
        <x:v>271421.79</x:v>
      </x:c>
      <x:c r="M35" s="31" t="n">
        <x:f>K35-L35</x:f>
        <x:v>-10350.469999999972</x:v>
      </x:c>
      <x:c r="N35" s="31" t="n">
        <x:f>D35+G35+J35+M35</x:f>
        <x:v>8433.0813344743</x:v>
      </x:c>
    </x:row>
    <x:row r="36">
      <x:c r="A36" s="32" t="n">
        <x:f>'Actuals Data'!A33</x:f>
        <x:v>45870</x:v>
      </x:c>
      <x:c r="B36" s="31" t="n">
        <x:f>'Actuals Data'!B33</x:f>
        <x:v>318765.77142585366</x:v>
      </x:c>
      <x:c r="C36" s="31" t="n">
        <x:f>'Actuals Data'!F33</x:f>
        <x:v>326734.9157115</x:v>
      </x:c>
      <x:c r="D36" s="31" t="n">
        <x:f>C36-B36</x:f>
        <x:v>7969.144285646325</x:v>
      </x:c>
      <x:c r="E36" s="31" t="n">
        <x:f>'Actuals Data'!C33</x:f>
        <x:v>60565.4965709122</x:v>
      </x:c>
      <x:c r="F36" s="31" t="n">
        <x:f>'Actuals Data'!G33</x:f>
        <x:v>61102.39245182915</x:v>
      </x:c>
      <x:c r="G36" s="31" t="n">
        <x:f>E36-F36</x:f>
        <x:v>-536.8958809169562</x:v>
      </x:c>
      <x:c r="H36" s="31" t="n">
        <x:f>'Actuals Data'!D33</x:f>
        <x:v>517234.8599999999</x:v>
      </x:c>
      <x:c r="I36" s="31" t="n">
        <x:f>'Actuals Data'!H33</x:f>
        <x:v>507092.99999999994</x:v>
      </x:c>
      <x:c r="J36" s="31" t="n">
        <x:f>H36-I36</x:f>
        <x:v>10141.859999999986</x:v>
      </x:c>
      <x:c r="K36" s="31" t="n">
        <x:f>'Actuals Data'!E33</x:f>
        <x:v>263954.52</x:v>
      </x:c>
      <x:c r="L36" s="31" t="n">
        <x:f>'Actuals Data'!I33</x:f>
        <x:v>271270.20999999996</x:v>
      </x:c>
      <x:c r="M36" s="31" t="n">
        <x:f>K36-L36</x:f>
        <x:v>-7315.689999999944</x:v>
      </x:c>
      <x:c r="N36" s="31" t="n">
        <x:f>D36+G36+J36+M36</x:f>
        <x:v>10258.418404729411</x:v>
      </x:c>
    </x:row>
    <x:row r="37">
      <x:c r="A37" s="32" t="n">
        <x:f>'Actuals Data'!A34</x:f>
        <x:v>45901</x:v>
      </x:c>
      <x:c r="B37" s="31" t="n">
        <x:f>'Actuals Data'!B34</x:f>
        <x:v>324840.9716222926</x:v>
      </x:c>
      <x:c r="C37" s="31" t="n">
        <x:f>'Actuals Data'!F34</x:f>
        <x:v>332961.9959128499</x:v>
      </x:c>
      <x:c r="D37" s="31" t="n">
        <x:f>C37-B37</x:f>
        <x:v>8121.02429055731</x:v>
      </x:c>
      <x:c r="E37" s="31" t="n">
        <x:f>'Actuals Data'!C34</x:f>
        <x:v>61719.78460823559</x:v>
      </x:c>
      <x:c r="F37" s="31" t="n">
        <x:f>'Actuals Data'!G34</x:f>
        <x:v>60328.31107432355</x:v>
      </x:c>
      <x:c r="G37" s="31" t="n">
        <x:f>E37-F37</x:f>
        <x:v>1391.473533912038</x:v>
      </x:c>
      <x:c r="H37" s="31" t="n">
        <x:f>'Actuals Data'!D34</x:f>
        <x:v>541148.08</x:v>
      </x:c>
      <x:c r="I37" s="31" t="n">
        <x:f>'Actuals Data'!H34</x:f>
        <x:v>530537.3333333333</x:v>
      </x:c>
      <x:c r="J37" s="31" t="n">
        <x:f>H37-I37</x:f>
        <x:v>10610.746666666702</x:v>
      </x:c>
      <x:c r="K37" s="31" t="n">
        <x:f>'Actuals Data'!E34</x:f>
        <x:v>266650.63</x:v>
      </x:c>
      <x:c r="L37" s="31" t="n">
        <x:f>'Actuals Data'!I34</x:f>
        <x:v>288454.13</x:v>
      </x:c>
      <x:c r="M37" s="31" t="n">
        <x:f>K37-L37</x:f>
        <x:v>-21803.5</x:v>
      </x:c>
      <x:c r="N37" s="31" t="n">
        <x:f>D37+G37+J37+M37</x:f>
        <x:v>-1680.2555088639492</x:v>
      </x:c>
    </x:row>
    <x:row r="38">
      <x:c r="A38" s="32" t="n">
        <x:f>'Actuals Data'!A35</x:f>
        <x:v>45931</x:v>
      </x:c>
      <x:c r="B38" s="31" t="n">
        <x:f>'Actuals Data'!B35</x:f>
        <x:v>331595.6817117073</x:v>
      </x:c>
      <x:c r="C38" s="31" t="n">
        <x:f>'Actuals Data'!F35</x:f>
        <x:v>339885.57375449996</x:v>
      </x:c>
      <x:c r="D38" s="31" t="n">
        <x:f>C38-B38</x:f>
        <x:v>8289.892042792635</x:v>
      </x:c>
      <x:c r="E38" s="31" t="n">
        <x:f>'Actuals Data'!C35</x:f>
        <x:v>63003.17952522439</x:v>
      </x:c>
      <x:c r="F38" s="31" t="n">
        <x:f>'Actuals Data'!G35</x:f>
        <x:v>58758.416916319715</x:v>
      </x:c>
      <x:c r="G38" s="31" t="n">
        <x:f>E38-F38</x:f>
        <x:v>4244.762608904675</x:v>
      </x:c>
      <x:c r="H38" s="31" t="n">
        <x:f>'Actuals Data'!D35</x:f>
        <x:v>541148.08</x:v>
      </x:c>
      <x:c r="I38" s="31" t="n">
        <x:f>'Actuals Data'!H35</x:f>
        <x:v>530537.3333333333</x:v>
      </x:c>
      <x:c r="J38" s="31" t="n">
        <x:f>H38-I38</x:f>
        <x:v>10610.746666666702</x:v>
      </x:c>
      <x:c r="K38" s="31" t="n">
        <x:f>'Actuals Data'!E35</x:f>
        <x:v>269426.83999999997</x:v>
      </x:c>
      <x:c r="L38" s="31" t="n">
        <x:f>'Actuals Data'!I35</x:f>
        <x:v>274239.04000000004</x:v>
      </x:c>
      <x:c r="M38" s="31" t="n">
        <x:f>K38-L38</x:f>
        <x:v>-4812.20000000007</x:v>
      </x:c>
      <x:c r="N38" s="31" t="n">
        <x:f>D38+G38+J38+M38</x:f>
        <x:v>18333.201318363943</x:v>
      </x:c>
    </x:row>
    <x:row r="39">
      <x:c r="A39" s="32" t="n">
        <x:f>'Actuals Data'!A36</x:f>
        <x:v>45962</x:v>
      </x:c>
      <x:c r="B39" s="31" t="n">
        <x:f>'Actuals Data'!B36</x:f>
        <x:v>338660.7857767317</x:v>
      </x:c>
      <x:c r="C39" s="31" t="n">
        <x:f>'Actuals Data'!F36</x:f>
        <x:v>347127.30542114994</x:v>
      </x:c>
      <x:c r="D39" s="31" t="n">
        <x:f>C39-B39</x:f>
        <x:v>8466.519644418266</x:v>
      </x:c>
      <x:c r="E39" s="31" t="n">
        <x:f>'Actuals Data'!C36</x:f>
        <x:v>64345.54929757902</x:v>
      </x:c>
      <x:c r="F39" s="31" t="n">
        <x:f>'Actuals Data'!G36</x:f>
        <x:v>64005.65341131413</x:v>
      </x:c>
      <x:c r="G39" s="31" t="n">
        <x:f>E39-F39</x:f>
        <x:v>339.89588626488694</x:v>
      </x:c>
      <x:c r="H39" s="31" t="n">
        <x:f>'Actuals Data'!D36</x:f>
        <x:v>541148.08</x:v>
      </x:c>
      <x:c r="I39" s="31" t="n">
        <x:f>'Actuals Data'!H36</x:f>
        <x:v>530537.3333333333</x:v>
      </x:c>
      <x:c r="J39" s="31" t="n">
        <x:f>H39-I39</x:f>
        <x:v>10610.746666666702</x:v>
      </x:c>
      <x:c r="K39" s="31" t="n">
        <x:f>'Actuals Data'!E36</x:f>
        <x:v>272239.64</x:v>
      </x:c>
      <x:c r="L39" s="31" t="n">
        <x:f>'Actuals Data'!I36</x:f>
        <x:v>288801.19</x:v>
      </x:c>
      <x:c r="M39" s="31" t="n">
        <x:f>K39-L39</x:f>
        <x:v>-16561.54999999999</x:v>
      </x:c>
      <x:c r="N39" s="31" t="n">
        <x:f>D39+G39+J39+M39</x:f>
        <x:v>2855.6121973498666</x:v>
      </x:c>
    </x:row>
    <x:row r="40">
      <x:c r="A40" s="32" t="n">
        <x:f>'Actuals Data'!A37</x:f>
        <x:v>45992</x:v>
      </x:c>
      <x:c r="B40" s="31" t="n">
        <x:f>'Actuals Data'!B37</x:f>
        <x:v>343997.754138439</x:v>
      </x:c>
      <x:c r="C40" s="31" t="n">
        <x:f>'Actuals Data'!F37</x:f>
        <x:v>352597.6979919</x:v>
      </x:c>
      <x:c r="D40" s="31" t="n">
        <x:f>C40-B40</x:f>
        <x:v>8599.94385346095</x:v>
      </x:c>
      <x:c r="E40" s="31" t="n">
        <x:f>'Actuals Data'!C37</x:f>
        <x:v>65359.57328630341</x:v>
      </x:c>
      <x:c r="F40" s="31" t="n">
        <x:f>'Actuals Data'!G37</x:f>
        <x:v>66573.96621426764</x:v>
      </x:c>
      <x:c r="G40" s="31" t="n">
        <x:f>E40-F40</x:f>
        <x:v>-1214.3929279642252</x:v>
      </x:c>
      <x:c r="H40" s="31" t="n">
        <x:f>'Actuals Data'!D37</x:f>
        <x:v>559326.6900000001</x:v>
      </x:c>
      <x:c r="I40" s="31" t="n">
        <x:f>'Actuals Data'!H37</x:f>
        <x:v>548359.5</x:v>
      </x:c>
      <x:c r="J40" s="31" t="n">
        <x:f>H40-I40</x:f>
        <x:v>10967.19000000006</x:v>
      </x:c>
      <x:c r="K40" s="31" t="n">
        <x:f>'Actuals Data'!E37</x:f>
        <x:v>274848.74</x:v>
      </x:c>
      <x:c r="L40" s="31" t="n">
        <x:f>'Actuals Data'!I37</x:f>
        <x:v>284873.48000000004</x:v>
      </x:c>
      <x:c r="M40" s="31" t="n">
        <x:f>K40-L40</x:f>
        <x:v>-10024.740000000049</x:v>
      </x:c>
      <x:c r="N40" s="31" t="n">
        <x:f>D40+G40+J40+M40</x:f>
        <x:v>8328.000925496737</x:v>
      </x:c>
    </x:row>
    <x:row r="41">
      <x:c r="A41" s="32" t="n">
        <x:f>'Actuals Data'!A38</x:f>
        <x:v>46023</x:v>
      </x:c>
      <x:c r="B41" s="31" t="n">
        <x:f>'Actuals Data'!B38</x:f>
        <x:v>364924.50685034704</x:v>
      </x:c>
      <x:c r="C41" s="31" t="n">
        <x:f>'Actuals Data'!F38</x:f>
        <x:v>374047.61952160567</x:v>
      </x:c>
      <x:c r="D41" s="31" t="n">
        <x:f>C41-B41</x:f>
        <x:v>9123.112671258627</x:v>
      </x:c>
      <x:c r="E41" s="31" t="n">
        <x:f>'Actuals Data'!C38</x:f>
        <x:v>69335.65630156593</x:v>
      </x:c>
      <x:c r="F41" s="31" t="n">
        <x:f>'Actuals Data'!G38</x:f>
        <x:v>72953.55595520242</x:v>
      </x:c>
      <x:c r="G41" s="31" t="n">
        <x:f>E41-F41</x:f>
        <x:v>-3617.8996536364866</x:v>
      </x:c>
      <x:c r="H41" s="31" t="n">
        <x:f>'Actuals Data'!D38</x:f>
        <x:v>580875.55</x:v>
      </x:c>
      <x:c r="I41" s="31" t="n">
        <x:f>'Actuals Data'!H38</x:f>
        <x:v>569485.8333333334</x:v>
      </x:c>
      <x:c r="J41" s="31" t="n">
        <x:f>H41-I41</x:f>
        <x:v>11389.716666666674</x:v>
      </x:c>
      <x:c r="K41" s="31" t="n">
        <x:f>'Actuals Data'!E38</x:f>
        <x:v>279295.48</x:v>
      </x:c>
      <x:c r="L41" s="31" t="n">
        <x:f>'Actuals Data'!I38</x:f>
        <x:v>294425.93</x:v>
      </x:c>
      <x:c r="M41" s="31" t="n">
        <x:f>K41-L41</x:f>
        <x:v>-15130.450000000012</x:v>
      </x:c>
      <x:c r="N41" s="31" t="n">
        <x:f>D41+G41+J41+M41</x:f>
        <x:v>1764.4796842888027</x:v>
      </x:c>
    </x:row>
    <x:row r="42">
      <x:c r="A42" s="32" t="n">
        <x:f>'Actuals Data'!A39</x:f>
        <x:v>46054</x:v>
      </x:c>
      <x:c r="B42" s="31" t="n">
        <x:f>'Actuals Data'!B39</x:f>
        <x:v>376721.63281017874</x:v>
      </x:c>
      <x:c r="C42" s="31" t="n">
        <x:f>'Actuals Data'!F39</x:f>
        <x:v>386139.67363043316</x:v>
      </x:c>
      <x:c r="D42" s="31" t="n">
        <x:f>C42-B42</x:f>
        <x:v>9418.04082025442</x:v>
      </x:c>
      <x:c r="E42" s="31" t="n">
        <x:f>'Actuals Data'!C39</x:f>
        <x:v>71577.11023393396</x:v>
      </x:c>
      <x:c r="F42" s="31" t="n">
        <x:f>'Actuals Data'!G39</x:f>
        <x:v>75556.90952178548</x:v>
      </x:c>
      <x:c r="G42" s="31" t="n">
        <x:f>E42-F42</x:f>
        <x:v>-3979.7992878515215</x:v>
      </x:c>
      <x:c r="H42" s="31" t="n">
        <x:f>'Actuals Data'!D39</x:f>
        <x:v>609196.02</x:v>
      </x:c>
      <x:c r="I42" s="31" t="n">
        <x:f>'Actuals Data'!H39</x:f>
        <x:v>597251</x:v>
      </x:c>
      <x:c r="J42" s="31" t="n">
        <x:f>H42-I42</x:f>
        <x:v>11945.020000000019</x:v>
      </x:c>
      <x:c r="K42" s="31" t="n">
        <x:f>'Actuals Data'!E39</x:f>
        <x:v>282666.06</x:v>
      </x:c>
      <x:c r="L42" s="31" t="n">
        <x:f>'Actuals Data'!I39</x:f>
        <x:v>286002.16000000003</x:v>
      </x:c>
      <x:c r="M42" s="31" t="n">
        <x:f>K42-L42</x:f>
        <x:v>-3336.100000000035</x:v>
      </x:c>
      <x:c r="N42" s="31" t="n">
        <x:f>D42+G42+J42+M42</x:f>
        <x:v>14047.161532402883</x:v>
      </x:c>
    </x:row>
    <x:row r="43">
      <x:c r="A43" s="32" t="n">
        <x:f>'Actuals Data'!A40</x:f>
        <x:v>46082</x:v>
      </x:c>
      <x:c r="B43" s="31" t="n">
        <x:f>'Actuals Data'!B40</x:f>
        <x:v>387494.2082660246</x:v>
      </x:c>
      <x:c r="C43" s="31" t="n">
        <x:f>'Actuals Data'!F40</x:f>
        <x:v>397181.56347267516</x:v>
      </x:c>
      <x:c r="D43" s="31" t="n">
        <x:f>C43-B43</x:f>
        <x:v>9687.355206650565</x:v>
      </x:c>
      <x:c r="E43" s="31" t="n">
        <x:f>'Actuals Data'!C40</x:f>
        <x:v>73623.89957054467</x:v>
      </x:c>
      <x:c r="F43" s="31" t="n">
        <x:f>'Actuals Data'!G40</x:f>
        <x:v>76160.40880132568</x:v>
      </x:c>
      <x:c r="G43" s="31" t="n">
        <x:f>E43-F43</x:f>
        <x:v>-2536.509230781012</x:v>
      </x:c>
      <x:c r="H43" s="31" t="n">
        <x:f>'Actuals Data'!D40</x:f>
        <x:v>631626.33</x:v>
      </x:c>
      <x:c r="I43" s="31" t="n">
        <x:f>'Actuals Data'!H40</x:f>
        <x:v>619241.5</x:v>
      </x:c>
      <x:c r="J43" s="31" t="n">
        <x:f>H43-I43</x:f>
        <x:v>12384.829999999958</x:v>
      </x:c>
      <x:c r="K43" s="31" t="n">
        <x:f>'Actuals Data'!E40</x:f>
        <x:v>285915.88</x:v>
      </x:c>
      <x:c r="L43" s="31" t="n">
        <x:f>'Actuals Data'!I40</x:f>
        <x:v>313887.57</x:v>
      </x:c>
      <x:c r="M43" s="31" t="n">
        <x:f>K43-L43</x:f>
        <x:v>-27971.690000000002</x:v>
      </x:c>
      <x:c r="N43" s="31" t="n">
        <x:f>D43+G43+J43+M43</x:f>
        <x:v>-8436.01402413049</x:v>
      </x:c>
    </x:row>
    <x:row r="44">
      <x:c r="A44" s="32" t="n">
        <x:f>'Actuals Data'!A41</x:f>
        <x:v>46113</x:v>
      </x:c>
      <x:c r="B44" s="31" t="n">
        <x:f>'Actuals Data'!B41</x:f>
        <x:v>400437.4391492772</x:v>
      </x:c>
      <x:c r="C44" s="31" t="n">
        <x:f>'Actuals Data'!F41</x:f>
        <x:v>410448.3751280091</x:v>
      </x:c>
      <x:c r="D44" s="31" t="n">
        <x:f>C44-B44</x:f>
        <x:v>10010.935978731897</x:v>
      </x:c>
      <x:c r="E44" s="31" t="n">
        <x:f>'Actuals Data'!C41</x:f>
        <x:v>76083.11343836268</x:v>
      </x:c>
      <x:c r="F44" s="31" t="n">
        <x:f>'Actuals Data'!G41</x:f>
        <x:v>81793.57675865221</x:v>
      </x:c>
      <x:c r="G44" s="31" t="n">
        <x:f>E44-F44</x:f>
        <x:v>-5710.463320289535</x:v>
      </x:c>
      <x:c r="H44" s="31" t="n">
        <x:f>'Actuals Data'!D41</x:f>
        <x:v>641830.41</x:v>
      </x:c>
      <x:c r="I44" s="31" t="n">
        <x:f>'Actuals Data'!H41</x:f>
        <x:v>629245.5</x:v>
      </x:c>
      <x:c r="J44" s="31" t="n">
        <x:f>H44-I44</x:f>
        <x:v>12584.910000000033</x:v>
      </x:c>
      <x:c r="K44" s="31" t="n">
        <x:f>'Actuals Data'!E41</x:f>
        <x:v>289421.56</x:v>
      </x:c>
      <x:c r="L44" s="31" t="n">
        <x:f>'Actuals Data'!I41</x:f>
        <x:v>290675.31</x:v>
      </x:c>
      <x:c r="M44" s="31" t="n">
        <x:f>K44-L44</x:f>
        <x:v>-1253.75</x:v>
      </x:c>
      <x:c r="N44" s="31" t="n">
        <x:f>D44+G44+J44+M44</x:f>
        <x:v>15631.632658442395</x:v>
      </x:c>
    </x:row>
    <x:row r="45">
      <x:c r="A45" s="32" t="n">
        <x:f>'Actuals Data'!A42</x:f>
        <x:v>46143</x:v>
      </x:c>
      <x:c r="B45" s="31" t="n">
        <x:f>'Actuals Data'!B42</x:f>
        <x:v>410316.9807563077</x:v>
      </x:c>
      <x:c r="C45" s="31" t="n">
        <x:f>'Actuals Data'!F42</x:f>
        <x:v>420574.9052752154</x:v>
      </x:c>
      <x:c r="D45" s="31" t="n">
        <x:f>C45-B45</x:f>
        <x:v>10257.924518907676</x:v>
      </x:c>
      <x:c r="E45" s="31" t="n">
        <x:f>'Actuals Data'!C42</x:f>
        <x:v>77960.22634369846</x:v>
      </x:c>
      <x:c r="F45" s="31" t="n">
        <x:f>'Actuals Data'!G42</x:f>
        <x:v>80910.06566867138</x:v>
      </x:c>
      <x:c r="G45" s="31" t="n">
        <x:f>E45-F45</x:f>
        <x:v>-2949.8393249729124</x:v>
      </x:c>
      <x:c r="H45" s="31" t="n">
        <x:f>'Actuals Data'!D42</x:f>
        <x:v>665276.9800000001</x:v>
      </x:c>
      <x:c r="I45" s="31" t="n">
        <x:f>'Actuals Data'!H42</x:f>
        <x:v>652232.3333333334</x:v>
      </x:c>
      <x:c r="J45" s="31" t="n">
        <x:f>H45-I45</x:f>
        <x:v>13044.646666666726</x:v>
      </x:c>
      <x:c r="K45" s="31" t="n">
        <x:f>'Actuals Data'!E42</x:f>
        <x:v>292566.11</x:v>
      </x:c>
      <x:c r="L45" s="31" t="n">
        <x:f>'Actuals Data'!I42</x:f>
        <x:v>307979.79</x:v>
      </x:c>
      <x:c r="M45" s="31" t="n">
        <x:f>K45-L45</x:f>
        <x:v>-15413.679999999993</x:v>
      </x:c>
      <x:c r="N45" s="31" t="n">
        <x:f>D45+G45+J45+M45</x:f>
        <x:v>4939.051860601496</x:v>
      </x:c>
    </x:row>
    <x:row r="46">
      <x:c r="A46" s="32" t="n">
        <x:f>'Actuals Data'!A43</x:f>
        <x:v>46174</x:v>
      </x:c>
      <x:c r="B46" s="31" t="n">
        <x:f>'Actuals Data'!B43</x:f>
        <x:v>419860.7961007324</x:v>
      </x:c>
      <x:c r="C46" s="31" t="n">
        <x:f>'Actuals Data'!F43</x:f>
        <x:v>430357.31600325066</x:v>
      </x:c>
      <x:c r="D46" s="31" t="n">
        <x:f>C46-B46</x:f>
        <x:v>10496.519902518252</x:v>
      </x:c>
      <x:c r="E46" s="31" t="n">
        <x:f>'Actuals Data'!C43</x:f>
        <x:v>79773.55125913916</x:v>
      </x:c>
      <x:c r="F46" s="31" t="n">
        <x:f>'Actuals Data'!G43</x:f>
        <x:v>83214.33114170936</x:v>
      </x:c>
      <x:c r="G46" s="31" t="n">
        <x:f>E46-F46</x:f>
        <x:v>-3440.779882570205</x:v>
      </x:c>
      <x:c r="H46" s="31" t="n">
        <x:f>'Actuals Data'!D43</x:f>
        <x:v>679452.7700000001</x:v>
      </x:c>
      <x:c r="I46" s="31" t="n">
        <x:f>'Actuals Data'!H43</x:f>
        <x:v>666130.1666666667</x:v>
      </x:c>
      <x:c r="J46" s="31" t="n">
        <x:f>H46-I46</x:f>
        <x:v>13322.60333333339</x:v>
      </x:c>
      <x:c r="K46" s="31" t="n">
        <x:f>'Actuals Data'!E43</x:f>
        <x:v>295671.08999999997</x:v>
      </x:c>
      <x:c r="L46" s="31" t="n">
        <x:f>'Actuals Data'!I43</x:f>
        <x:v>295398.17</x:v>
      </x:c>
      <x:c r="M46" s="31" t="n">
        <x:f>K46-L46</x:f>
        <x:v>272.9199999999837</x:v>
      </x:c>
      <x:c r="N46" s="31" t="n">
        <x:f>D46+G46+J46+M46</x:f>
        <x:v>20651.26335328142</x:v>
      </x:c>
    </x:row>
    <x:row r="47">
      <x:c r="A47" s="32" t="n">
        <x:f>'Actuals Data'!A44</x:f>
        <x:v>46204</x:v>
      </x:c>
      <x:c r="B47" s="31" t="n">
        <x:f>'Actuals Data'!B44</x:f>
        <x:v>440593.60922008194</x:v>
      </x:c>
      <x:c r="C47" s="31" t="n">
        <x:f>'Actuals Data'!F44</x:f>
        <x:v>0</x:v>
      </x:c>
      <x:c r="D47" s="31" t="n">
        <x:f>C47-B47</x:f>
        <x:v>-440593.60922008194</x:v>
      </x:c>
      <x:c r="E47" s="31" t="n">
        <x:f>'Actuals Data'!C44</x:f>
        <x:v>83712.78575181557</x:v>
      </x:c>
      <x:c r="F47" s="31" t="n">
        <x:f>'Actuals Data'!G44</x:f>
        <x:v>0</x:v>
      </x:c>
      <x:c r="G47" s="31" t="n">
        <x:f>E47-F47</x:f>
        <x:v>83712.78575181557</x:v>
      </x:c>
      <x:c r="H47" s="31" t="n">
        <x:f>'Actuals Data'!D44</x:f>
        <x:v>679452.7700000001</x:v>
      </x:c>
      <x:c r="I47" s="31" t="n">
        <x:f>'Actuals Data'!H44</x:f>
        <x:v>0</x:v>
      </x:c>
      <x:c r="J47" s="31" t="n">
        <x:f>H47-I47</x:f>
        <x:v>679452.7700000001</x:v>
      </x:c>
      <x:c r="K47" s="31" t="n">
        <x:f>'Actuals Data'!E44</x:f>
        <x:v>298828.27</x:v>
      </x:c>
      <x:c r="L47" s="31" t="n">
        <x:f>'Actuals Data'!I44</x:f>
        <x:v>0</x:v>
      </x:c>
      <x:c r="M47" s="31" t="n">
        <x:f>K47-L47</x:f>
        <x:v>298828.27</x:v>
      </x:c>
      <x:c r="N47" s="31" t="n">
        <x:f>D47+G47+J47+M47</x:f>
        <x:v>621400.2165317337</x:v>
      </x:c>
    </x:row>
    <x:row r="48">
      <x:c r="A48" s="32" t="n">
        <x:f>'Actuals Data'!A45</x:f>
        <x:v>46235</x:v>
      </x:c>
      <x:c r="B48" s="31" t="n">
        <x:f>'Actuals Data'!B45</x:f>
        <x:v>449936.96766961715</x:v>
      </x:c>
      <x:c r="C48" s="31" t="n">
        <x:f>'Actuals Data'!F45</x:f>
        <x:v>0</x:v>
      </x:c>
      <x:c r="D48" s="31" t="n">
        <x:f>C48-B48</x:f>
        <x:v>-449936.96766961715</x:v>
      </x:c>
      <x:c r="E48" s="31" t="n">
        <x:f>'Actuals Data'!C45</x:f>
        <x:v>85488.02385722726</x:v>
      </x:c>
      <x:c r="F48" s="31" t="n">
        <x:f>'Actuals Data'!G45</x:f>
        <x:v>0</x:v>
      </x:c>
      <x:c r="G48" s="31" t="n">
        <x:f>E48-F48</x:f>
        <x:v>85488.02385722726</x:v>
      </x:c>
      <x:c r="H48" s="31" t="n">
        <x:f>'Actuals Data'!D45</x:f>
        <x:v>679452.7700000001</x:v>
      </x:c>
      <x:c r="I48" s="31" t="n">
        <x:f>'Actuals Data'!H45</x:f>
        <x:v>0</x:v>
      </x:c>
      <x:c r="J48" s="31" t="n">
        <x:f>H48-I48</x:f>
        <x:v>679452.7700000001</x:v>
      </x:c>
      <x:c r="K48" s="31" t="n">
        <x:f>'Actuals Data'!E45</x:f>
        <x:v>301882.75</x:v>
      </x:c>
      <x:c r="L48" s="31" t="n">
        <x:f>'Actuals Data'!I45</x:f>
        <x:v>0</x:v>
      </x:c>
      <x:c r="M48" s="31" t="n">
        <x:f>K48-L48</x:f>
        <x:v>301882.75</x:v>
      </x:c>
      <x:c r="N48" s="31" t="n">
        <x:f>D48+G48+J48+M48</x:f>
        <x:v>616886.5761876103</x:v>
      </x:c>
    </x:row>
    <x:row r="49">
      <x:c r="A49" s="32" t="n">
        <x:f>'Actuals Data'!A46</x:f>
        <x:v>46266</x:v>
      </x:c>
      <x:c r="B49" s="31" t="n">
        <x:f>'Actuals Data'!B46</x:f>
        <x:v>459060.7999799024</x:v>
      </x:c>
      <x:c r="C49" s="31" t="n">
        <x:f>'Actuals Data'!F46</x:f>
        <x:v>0</x:v>
      </x:c>
      <x:c r="D49" s="31" t="n">
        <x:f>C49-B49</x:f>
        <x:v>-459060.7999799024</x:v>
      </x:c>
      <x:c r="E49" s="31" t="n">
        <x:f>'Actuals Data'!C46</x:f>
        <x:v>87221.55199618146</x:v>
      </x:c>
      <x:c r="F49" s="31" t="n">
        <x:f>'Actuals Data'!G46</x:f>
        <x:v>0</x:v>
      </x:c>
      <x:c r="G49" s="31" t="n">
        <x:f>E49-F49</x:f>
        <x:v>87221.55199618146</x:v>
      </x:c>
      <x:c r="H49" s="31" t="n">
        <x:f>'Actuals Data'!D46</x:f>
        <x:v>679452.7700000001</x:v>
      </x:c>
      <x:c r="I49" s="31" t="n">
        <x:f>'Actuals Data'!H46</x:f>
        <x:v>0</x:v>
      </x:c>
      <x:c r="J49" s="31" t="n">
        <x:f>H49-I49</x:f>
        <x:v>679452.7700000001</x:v>
      </x:c>
      <x:c r="K49" s="31" t="n">
        <x:f>'Actuals Data'!E46</x:f>
        <x:v>304911.99</x:v>
      </x:c>
      <x:c r="L49" s="31" t="n">
        <x:f>'Actuals Data'!I46</x:f>
        <x:v>0</x:v>
      </x:c>
      <x:c r="M49" s="31" t="n">
        <x:f>K49-L49</x:f>
        <x:v>304911.99</x:v>
      </x:c>
      <x:c r="N49" s="31" t="n">
        <x:f>D49+G49+J49+M49</x:f>
        <x:v>612525.5120162792</x:v>
      </x:c>
    </x:row>
    <x:row r="50">
      <x:c r="A50" s="32" t="n">
        <x:f>'Actuals Data'!A47</x:f>
        <x:v>46296</x:v>
      </x:c>
      <x:c r="B50" s="31" t="n">
        <x:f>'Actuals Data'!B47</x:f>
        <x:v>468184.63229018764</x:v>
      </x:c>
      <x:c r="C50" s="31" t="n">
        <x:f>'Actuals Data'!F47</x:f>
        <x:v>0</x:v>
      </x:c>
      <x:c r="D50" s="31" t="n">
        <x:f>C50-B50</x:f>
        <x:v>-468184.63229018764</x:v>
      </x:c>
      <x:c r="E50" s="31" t="n">
        <x:f>'Actuals Data'!C47</x:f>
        <x:v>88955.08013513565</x:v>
      </x:c>
      <x:c r="F50" s="31" t="n">
        <x:f>'Actuals Data'!G47</x:f>
        <x:v>0</x:v>
      </x:c>
      <x:c r="G50" s="31" t="n">
        <x:f>E50-F50</x:f>
        <x:v>88955.08013513565</x:v>
      </x:c>
      <x:c r="H50" s="31" t="n">
        <x:f>'Actuals Data'!D47</x:f>
        <x:v>679452.7700000001</x:v>
      </x:c>
      <x:c r="I50" s="31" t="n">
        <x:f>'Actuals Data'!H47</x:f>
        <x:v>0</x:v>
      </x:c>
      <x:c r="J50" s="31" t="n">
        <x:f>H50-I50</x:f>
        <x:v>679452.7700000001</x:v>
      </x:c>
      <x:c r="K50" s="31" t="n">
        <x:f>'Actuals Data'!E47</x:f>
        <x:v>307941.23</x:v>
      </x:c>
      <x:c r="L50" s="31" t="n">
        <x:f>'Actuals Data'!I47</x:f>
        <x:v>0</x:v>
      </x:c>
      <x:c r="M50" s="31" t="n">
        <x:f>K50-L50</x:f>
        <x:v>307941.23</x:v>
      </x:c>
      <x:c r="N50" s="31" t="n">
        <x:f>D50+G50+J50+M50</x:f>
        <x:v>608164.4478449482</x:v>
      </x:c>
    </x:row>
    <x:row r="51">
      <x:c r="A51" s="32" t="n">
        <x:f>'Actuals Data'!A48</x:f>
        <x:v>46327</x:v>
      </x:c>
      <x:c r="B51" s="31" t="n">
        <x:f>'Actuals Data'!B48</x:f>
        <x:v>477809.81351893337</x:v>
      </x:c>
      <x:c r="C51" s="31" t="n">
        <x:f>'Actuals Data'!F48</x:f>
        <x:v>0</x:v>
      </x:c>
      <x:c r="D51" s="31" t="n">
        <x:f>C51-B51</x:f>
        <x:v>-477809.81351893337</x:v>
      </x:c>
      <x:c r="E51" s="31" t="n">
        <x:f>'Actuals Data'!C48</x:f>
        <x:v>90783.86456859735</x:v>
      </x:c>
      <x:c r="F51" s="31" t="n">
        <x:f>'Actuals Data'!G48</x:f>
        <x:v>0</x:v>
      </x:c>
      <x:c r="G51" s="31" t="n">
        <x:f>E51-F51</x:f>
        <x:v>90783.86456859735</x:v>
      </x:c>
      <x:c r="H51" s="31" t="n">
        <x:f>'Actuals Data'!D48</x:f>
        <x:v>679452.7700000001</x:v>
      </x:c>
      <x:c r="I51" s="31" t="n">
        <x:f>'Actuals Data'!H48</x:f>
        <x:v>0</x:v>
      </x:c>
      <x:c r="J51" s="31" t="n">
        <x:f>H51-I51</x:f>
        <x:v>679452.7700000001</x:v>
      </x:c>
      <x:c r="K51" s="31" t="n">
        <x:f>'Actuals Data'!E48</x:f>
        <x:v>311028.13</x:v>
      </x:c>
      <x:c r="L51" s="31" t="n">
        <x:f>'Actuals Data'!I48</x:f>
        <x:v>0</x:v>
      </x:c>
      <x:c r="M51" s="31" t="n">
        <x:f>K51-L51</x:f>
        <x:v>311028.13</x:v>
      </x:c>
      <x:c r="N51" s="31" t="n">
        <x:f>D51+G51+J51+M51</x:f>
        <x:v>603454.951049664</x:v>
      </x:c>
    </x:row>
    <x:row r="52">
      <x:c r="A52" s="32" t="n">
        <x:f>'Actuals Data'!A49</x:f>
        <x:v>46357</x:v>
      </x:c>
      <x:c r="B52" s="31" t="n">
        <x:f>'Actuals Data'!B49</x:f>
        <x:v>487936.34366613964</x:v>
      </x:c>
      <x:c r="C52" s="31" t="n">
        <x:f>'Actuals Data'!F49</x:f>
        <x:v>0</x:v>
      </x:c>
      <x:c r="D52" s="31" t="n">
        <x:f>C52-B52</x:f>
        <x:v>-487936.34366613964</x:v>
      </x:c>
      <x:c r="E52" s="31" t="n">
        <x:f>'Actuals Data'!C49</x:f>
        <x:v>92707.90529656653</x:v>
      </x:c>
      <x:c r="F52" s="31" t="n">
        <x:f>'Actuals Data'!G49</x:f>
        <x:v>0</x:v>
      </x:c>
      <x:c r="G52" s="31" t="n">
        <x:f>E52-F52</x:f>
        <x:v>92707.90529656653</x:v>
      </x:c>
      <x:c r="H52" s="31" t="n">
        <x:f>'Actuals Data'!D49</x:f>
        <x:v>679452.7700000001</x:v>
      </x:c>
      <x:c r="I52" s="31" t="n">
        <x:f>'Actuals Data'!H49</x:f>
        <x:v>0</x:v>
      </x:c>
      <x:c r="J52" s="31" t="n">
        <x:f>H52-I52</x:f>
        <x:v>679452.7700000001</x:v>
      </x:c>
      <x:c r="K52" s="31" t="n">
        <x:f>'Actuals Data'!E49</x:f>
        <x:v>314172.68</x:v>
      </x:c>
      <x:c r="L52" s="31" t="n">
        <x:f>'Actuals Data'!I49</x:f>
        <x:v>0</x:v>
      </x:c>
      <x:c r="M52" s="31" t="n">
        <x:f>K52-L52</x:f>
        <x:v>314172.68</x:v>
      </x:c>
      <x:c r="N52" s="31" t="n">
        <x:f>D52+G52+J52+M52</x:f>
        <x:v>598397.0116304271</x:v>
      </x:c>
    </x:row>
  </x:sheetData>
  <x:mergeCells>
    <x:mergeCell ref="A1:L1"/>
    <x:mergeCell ref="A2:L2"/>
  </x:mergeCells>
  <x:conditionalFormatting sqref="D5:N52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4" customHeight="1">
      <x:c r="A1" s="23" t="str">
        <x:v>Cash flow forecast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" customHeight="1">
      <x:c r="A2" s="29" t="str">
        <x:v>Indirect operating cash proxy, capex, financing, burn, and runway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26" t="str">
        <x:v>Month</x:v>
      </x:c>
      <x:c r="B4" s="26" t="str">
        <x:v>Starting cash</x:v>
      </x:c>
      <x:c r="C4" s="26" t="str">
        <x:v>Cash inflow</x:v>
      </x:c>
      <x:c r="D4" s="26" t="str">
        <x:v>Operating outflow</x:v>
      </x:c>
      <x:c r="E4" s="26" t="str">
        <x:v>Capex</x:v>
      </x:c>
      <x:c r="F4" s="26" t="str">
        <x:v>Financing</x:v>
      </x:c>
      <x:c r="G4" s="26" t="str">
        <x:v>Net cash flow</x:v>
      </x:c>
      <x:c r="H4" s="26" t="str">
        <x:v>Ending cash</x:v>
      </x:c>
      <x:c r="I4" s="26" t="str">
        <x:v>Burn rate</x:v>
      </x:c>
      <x:c r="J4" s="26" t="str">
        <x:v>Runway months</x:v>
      </x:c>
      <x:c r="K4" s="30"/>
      <x:c r="L4" s="30"/>
    </x:row>
    <x:row r="5">
      <x:c r="A5" s="32" t="n">
        <x:f>'Actuals Data'!A2</x:f>
        <x:v>44927</x:v>
      </x:c>
      <x:c r="B5" s="31" t="n">
        <x:f>'Actuals Data'!N2</x:f>
        <x:v>18000000</x:v>
      </x:c>
      <x:c r="C5" s="31" t="n">
        <x:f>'Actuals Data'!J2</x:f>
        <x:v>129227.37400000001</x:v>
      </x:c>
      <x:c r="D5" s="31" t="n">
        <x:f>SUM('Actuals Data'!K2:M2)</x:f>
        <x:v>230469.92722266668</x:v>
      </x:c>
      <x:c r="E5" s="31" t="n">
        <x:f>'Actuals Data'!O2</x:f>
        <x:v>45000</x:v>
      </x:c>
      <x:c r="F5" s="31" t="n">
        <x:f>'Actuals Data'!P2</x:f>
        <x:v>0</x:v>
      </x:c>
      <x:c r="G5" s="31" t="n">
        <x:f>C5-D5-E5+F5</x:f>
        <x:v>-146242.55322266667</x:v>
      </x:c>
      <x:c r="H5" s="31" t="n">
        <x:f>B5+G5</x:f>
        <x:v>17853757.446777333</x:v>
      </x:c>
      <x:c r="I5" s="31" t="n">
        <x:f>MAX(0,-G5)</x:f>
        <x:v>146242.55322266667</x:v>
      </x:c>
      <x:c r="J5" s="44" t="n">
        <x:f>IFERROR(H5/AVERAGE(I5:I5),0)</x:f>
        <x:v>122.08319024349551</x:v>
      </x:c>
      <x:c r="K5" s="30"/>
      <x:c r="L5" s="30"/>
    </x:row>
    <x:row r="6">
      <x:c r="A6" s="32" t="n">
        <x:f>'Actuals Data'!A3</x:f>
        <x:v>44958</x:v>
      </x:c>
      <x:c r="B6" s="31" t="n">
        <x:f>'Actuals Data'!N3</x:f>
        <x:v>17853757.446777333</x:v>
      </x:c>
      <x:c r="C6" s="31" t="n">
        <x:f>'Actuals Data'!J3</x:f>
        <x:v>133218.292</x:v>
      </x:c>
      <x:c r="D6" s="31" t="n">
        <x:f>SUM('Actuals Data'!K3:M3)</x:f>
        <x:v>234073.20554763285</x:v>
      </x:c>
      <x:c r="E6" s="31" t="n">
        <x:f>'Actuals Data'!O3</x:f>
        <x:v>15000</x:v>
      </x:c>
      <x:c r="F6" s="31" t="n">
        <x:f>'Actuals Data'!P3</x:f>
        <x:v>0</x:v>
      </x:c>
      <x:c r="G6" s="31" t="n">
        <x:f>C6-D6-E6+F6</x:f>
        <x:v>-115854.91354763287</x:v>
      </x:c>
      <x:c r="H6" s="31" t="n">
        <x:f>B6+G6</x:f>
        <x:v>17737902.5332297</x:v>
      </x:c>
      <x:c r="I6" s="31" t="n">
        <x:f>MAX(0,-G6)</x:f>
        <x:v>115854.91354763287</x:v>
      </x:c>
      <x:c r="J6" s="44" t="n">
        <x:f>IFERROR(H6/AVERAGE(I5:I6),0)</x:f>
        <x:v>135.3534832045903</x:v>
      </x:c>
      <x:c r="K6" s="30"/>
      <x:c r="L6" s="30"/>
    </x:row>
    <x:row r="7">
      <x:c r="A7" s="32" t="n">
        <x:f>'Actuals Data'!A4</x:f>
        <x:v>44986</x:v>
      </x:c>
      <x:c r="B7" s="31" t="n">
        <x:f>'Actuals Data'!N4</x:f>
        <x:v>17737902.5332297</x:v>
      </x:c>
      <x:c r="C7" s="31" t="n">
        <x:f>'Actuals Data'!J4</x:f>
        <x:v>137364.398</x:v>
      </x:c>
      <x:c r="D7" s="31" t="n">
        <x:f>SUM('Actuals Data'!K4:M4)</x:f>
        <x:v>262747.72747066664</x:v>
      </x:c>
      <x:c r="E7" s="31" t="n">
        <x:f>'Actuals Data'!O4</x:f>
        <x:v>15000</x:v>
      </x:c>
      <x:c r="F7" s="31" t="n">
        <x:f>'Actuals Data'!P4</x:f>
        <x:v>0</x:v>
      </x:c>
      <x:c r="G7" s="31" t="n">
        <x:f>C7-D7-E7+F7</x:f>
        <x:v>-140383.32947066665</x:v>
      </x:c>
      <x:c r="H7" s="31" t="n">
        <x:f>B7+G7</x:f>
        <x:v>17597519.203759033</x:v>
      </x:c>
      <x:c r="I7" s="31" t="n">
        <x:f>MAX(0,-G7)</x:f>
        <x:v>140383.32947066665</x:v>
      </x:c>
      <x:c r="J7" s="44" t="n">
        <x:f>IFERROR(H7/AVERAGE(I5:I7),0)</x:f>
        <x:v>131.16789199470296</x:v>
      </x:c>
      <x:c r="K7" s="30"/>
      <x:c r="L7" s="30"/>
    </x:row>
    <x:row r="8">
      <x:c r="A8" s="32" t="n">
        <x:f>'Actuals Data'!A5</x:f>
        <x:v>45017</x:v>
      </x:c>
      <x:c r="B8" s="31" t="n">
        <x:f>'Actuals Data'!N5</x:f>
        <x:v>17597519.203759033</x:v>
      </x:c>
      <x:c r="C8" s="31" t="n">
        <x:f>'Actuals Data'!J5</x:f>
        <x:v>141962.692</x:v>
      </x:c>
      <x:c r="D8" s="31" t="n">
        <x:f>SUM('Actuals Data'!K5:M5)</x:f>
        <x:v>292041.5011946263</x:v>
      </x:c>
      <x:c r="E8" s="31" t="n">
        <x:f>'Actuals Data'!O5</x:f>
        <x:v>15000</x:v>
      </x:c>
      <x:c r="F8" s="31" t="n">
        <x:f>'Actuals Data'!P5</x:f>
        <x:v>0</x:v>
      </x:c>
      <x:c r="G8" s="31" t="n">
        <x:f>C8-D8-E8+F8</x:f>
        <x:v>-165078.80919462632</x:v>
      </x:c>
      <x:c r="H8" s="31" t="n">
        <x:f>B8+G8</x:f>
        <x:v>17432440.394564405</x:v>
      </x:c>
      <x:c r="I8" s="31" t="n">
        <x:f>MAX(0,-G8)</x:f>
        <x:v>165078.80919462632</x:v>
      </x:c>
      <x:c r="J8" s="44" t="n">
        <x:f>IFERROR(H8/AVERAGE(I6:I8),0)</x:f>
        <x:v>124.12818543423947</x:v>
      </x:c>
      <x:c r="K8" s="30"/>
      <x:c r="L8" s="30"/>
    </x:row>
    <x:row r="9">
      <x:c r="A9" s="32" t="n">
        <x:f>'Actuals Data'!A6</x:f>
        <x:v>45047</x:v>
      </x:c>
      <x:c r="B9" s="31" t="n">
        <x:f>'Actuals Data'!N6</x:f>
        <x:v>17432440.394564405</x:v>
      </x:c>
      <x:c r="C9" s="31" t="n">
        <x:f>'Actuals Data'!J6</x:f>
        <x:v>146659.986</x:v>
      </x:c>
      <x:c r="D9" s="31" t="n">
        <x:f>SUM('Actuals Data'!K6:M6)</x:f>
        <x:v>303485.437284</x:v>
      </x:c>
      <x:c r="E9" s="31" t="n">
        <x:f>'Actuals Data'!O6</x:f>
        <x:v>15000</x:v>
      </x:c>
      <x:c r="F9" s="31" t="n">
        <x:f>'Actuals Data'!P6</x:f>
        <x:v>0</x:v>
      </x:c>
      <x:c r="G9" s="31" t="n">
        <x:f>C9-D9-E9+F9</x:f>
        <x:v>-171825.45128399998</x:v>
      </x:c>
      <x:c r="H9" s="31" t="n">
        <x:f>B9+G9</x:f>
        <x:v>17260614.943280406</x:v>
      </x:c>
      <x:c r="I9" s="31" t="n">
        <x:f>MAX(0,-G9)</x:f>
        <x:v>171825.45128399998</x:v>
      </x:c>
      <x:c r="J9" s="44" t="n">
        <x:f>IFERROR(H9/AVERAGE(I7:I9),0)</x:f>
        <x:v>108.4919153991465</x:v>
      </x:c>
      <x:c r="K9" s="30"/>
      <x:c r="L9" s="30"/>
    </x:row>
    <x:row r="10">
      <x:c r="A10" s="32" t="n">
        <x:f>'Actuals Data'!A7</x:f>
        <x:v>45078</x:v>
      </x:c>
      <x:c r="B10" s="31" t="n">
        <x:f>'Actuals Data'!N7</x:f>
        <x:v>17260614.943280406</x:v>
      </x:c>
      <x:c r="C10" s="31" t="n">
        <x:f>'Actuals Data'!J7</x:f>
        <x:v>150099.71600000001</x:v>
      </x:c>
      <x:c r="D10" s="31" t="n">
        <x:f>SUM('Actuals Data'!K7:M7)</x:f>
        <x:v>314742.41604</x:v>
      </x:c>
      <x:c r="E10" s="31" t="n">
        <x:f>'Actuals Data'!O7</x:f>
        <x:v>15000</x:v>
      </x:c>
      <x:c r="F10" s="31" t="n">
        <x:f>'Actuals Data'!P7</x:f>
        <x:v>0</x:v>
      </x:c>
      <x:c r="G10" s="31" t="n">
        <x:f>C10-D10-E10+F10</x:f>
        <x:v>-179642.70003999997</x:v>
      </x:c>
      <x:c r="H10" s="31" t="n">
        <x:f>B10+G10</x:f>
        <x:v>17080972.243240405</x:v>
      </x:c>
      <x:c r="I10" s="31" t="n">
        <x:f>MAX(0,-G10)</x:f>
        <x:v>179642.70003999997</x:v>
      </x:c>
      <x:c r="J10" s="44" t="n">
        <x:f>IFERROR(H10/AVERAGE(I8:I10),0)</x:f>
        <x:v>99.20282306621652</x:v>
      </x:c>
      <x:c r="K10" s="30"/>
      <x:c r="L10" s="30"/>
    </x:row>
    <x:row r="11">
      <x:c r="A11" s="32" t="n">
        <x:f>'Actuals Data'!A8</x:f>
        <x:v>45108</x:v>
      </x:c>
      <x:c r="B11" s="31" t="n">
        <x:f>'Actuals Data'!N8</x:f>
        <x:v>17080972.243240405</x:v>
      </x:c>
      <x:c r="C11" s="31" t="n">
        <x:f>'Actuals Data'!J8</x:f>
        <x:v>155150.198</x:v>
      </x:c>
      <x:c r="D11" s="31" t="n">
        <x:f>SUM('Actuals Data'!K8:M8)</x:f>
        <x:v>328510.37349466665</x:v>
      </x:c>
      <x:c r="E11" s="31" t="n">
        <x:f>'Actuals Data'!O8</x:f>
        <x:v>45000</x:v>
      </x:c>
      <x:c r="F11" s="31" t="n">
        <x:f>'Actuals Data'!P8</x:f>
        <x:v>0</x:v>
      </x:c>
      <x:c r="G11" s="31" t="n">
        <x:f>C11-D11-E11+F11</x:f>
        <x:v>-218360.17549466665</x:v>
      </x:c>
      <x:c r="H11" s="31" t="n">
        <x:f>B11+G11</x:f>
        <x:v>16862612.067745738</x:v>
      </x:c>
      <x:c r="I11" s="31" t="n">
        <x:f>MAX(0,-G11)</x:f>
        <x:v>218360.17549466665</x:v>
      </x:c>
      <x:c r="J11" s="44" t="n">
        <x:f>IFERROR(H11/AVERAGE(I9:I11),0)</x:f>
        <x:v>88.77732787639303</x:v>
      </x:c>
      <x:c r="K11" s="30"/>
      <x:c r="L11" s="30"/>
    </x:row>
    <x:row r="12">
      <x:c r="A12" s="32" t="n">
        <x:f>'Actuals Data'!A9</x:f>
        <x:v>45139</x:v>
      </x:c>
      <x:c r="B12" s="31" t="n">
        <x:f>'Actuals Data'!N9</x:f>
        <x:v>16862612.067745738</x:v>
      </x:c>
      <x:c r="C12" s="31" t="n">
        <x:f>'Actuals Data'!J9</x:f>
        <x:v>159395.304</x:v>
      </x:c>
      <x:c r="D12" s="31" t="n">
        <x:f>SUM('Actuals Data'!K9:M9)</x:f>
        <x:v>357999.0780332698</x:v>
      </x:c>
      <x:c r="E12" s="31" t="n">
        <x:f>'Actuals Data'!O9</x:f>
        <x:v>15000</x:v>
      </x:c>
      <x:c r="F12" s="31" t="n">
        <x:f>'Actuals Data'!P9</x:f>
        <x:v>0</x:v>
      </x:c>
      <x:c r="G12" s="31" t="n">
        <x:f>C12-D12-E12+F12</x:f>
        <x:v>-213603.7740332698</x:v>
      </x:c>
      <x:c r="H12" s="31" t="n">
        <x:f>B12+G12</x:f>
        <x:v>16649008.293712469</x:v>
      </x:c>
      <x:c r="I12" s="31" t="n">
        <x:f>MAX(0,-G12)</x:f>
        <x:v>213603.7740332698</x:v>
      </x:c>
      <x:c r="J12" s="44" t="n">
        <x:f>IFERROR(H12/AVERAGE(I10:I12),0)</x:f>
        <x:v>81.66527443156808</x:v>
      </x:c>
      <x:c r="K12" s="30"/>
      <x:c r="L12" s="30"/>
    </x:row>
    <x:row r="13">
      <x:c r="A13" s="32" t="n">
        <x:f>'Actuals Data'!A10</x:f>
        <x:v>45170</x:v>
      </x:c>
      <x:c r="B13" s="31" t="n">
        <x:f>'Actuals Data'!N10</x:f>
        <x:v>16649008.293712469</x:v>
      </x:c>
      <x:c r="C13" s="31" t="n">
        <x:f>'Actuals Data'!J10</x:f>
        <x:v>162538.03399999999</x:v>
      </x:c>
      <x:c r="D13" s="31" t="n">
        <x:f>SUM('Actuals Data'!K10:M10)</x:f>
        <x:v>416993.792188</x:v>
      </x:c>
      <x:c r="E13" s="31" t="n">
        <x:f>'Actuals Data'!O10</x:f>
        <x:v>15000</x:v>
      </x:c>
      <x:c r="F13" s="31" t="n">
        <x:f>'Actuals Data'!P10</x:f>
        <x:v>0</x:v>
      </x:c>
      <x:c r="G13" s="31" t="n">
        <x:f>C13-D13-E13+F13</x:f>
        <x:v>-269455.758188</x:v>
      </x:c>
      <x:c r="H13" s="31" t="n">
        <x:f>B13+G13</x:f>
        <x:v>16379552.535524469</x:v>
      </x:c>
      <x:c r="I13" s="31" t="n">
        <x:f>MAX(0,-G13)</x:f>
        <x:v>269455.758188</x:v>
      </x:c>
      <x:c r="J13" s="44" t="n">
        <x:f>IFERROR(H13/AVERAGE(I11:I13),0)</x:f>
        <x:v>70.05599795104953</x:v>
      </x:c>
      <x:c r="K13" s="30"/>
      <x:c r="L13" s="30"/>
    </x:row>
    <x:row r="14">
      <x:c r="A14" s="32" t="n">
        <x:f>'Actuals Data'!A11</x:f>
        <x:v>45200</x:v>
      </x:c>
      <x:c r="B14" s="31" t="n">
        <x:f>'Actuals Data'!N11</x:f>
        <x:v>16379552.535524469</x:v>
      </x:c>
      <x:c r="C14" s="31" t="n">
        <x:f>'Actuals Data'!J11</x:f>
        <x:v>166033.952</x:v>
      </x:c>
      <x:c r="D14" s="31" t="n">
        <x:f>SUM('Actuals Data'!K11:M11)</x:f>
        <x:v>434230.20058408484</x:v>
      </x:c>
      <x:c r="E14" s="31" t="n">
        <x:f>'Actuals Data'!O11</x:f>
        <x:v>15000</x:v>
      </x:c>
      <x:c r="F14" s="31" t="n">
        <x:f>'Actuals Data'!P11</x:f>
        <x:v>0</x:v>
      </x:c>
      <x:c r="G14" s="31" t="n">
        <x:f>C14-D14-E14+F14</x:f>
        <x:v>-283196.24858408485</x:v>
      </x:c>
      <x:c r="H14" s="31" t="n">
        <x:f>B14+G14</x:f>
        <x:v>16096356.286940385</x:v>
      </x:c>
      <x:c r="I14" s="31" t="n">
        <x:f>MAX(0,-G14)</x:f>
        <x:v>283196.24858408485</x:v>
      </x:c>
      <x:c r="J14" s="44" t="n">
        <x:f>IFERROR(H14/AVERAGE(I12:I14),0)</x:f>
        <x:v>63.01951655107657</x:v>
      </x:c>
      <x:c r="K14" s="30"/>
      <x:c r="L14" s="30"/>
    </x:row>
    <x:row r="15">
      <x:c r="A15" s="32" t="n">
        <x:f>'Actuals Data'!A12</x:f>
        <x:v>45231</x:v>
      </x:c>
      <x:c r="B15" s="31" t="n">
        <x:f>'Actuals Data'!N12</x:f>
        <x:v>16096356.286940385</x:v>
      </x:c>
      <x:c r="C15" s="31" t="n">
        <x:f>'Actuals Data'!J12</x:f>
        <x:v>170434.246</x:v>
      </x:c>
      <x:c r="D15" s="31" t="n">
        <x:f>SUM('Actuals Data'!K12:M12)</x:f>
        <x:v>451207.04308933334</x:v>
      </x:c>
      <x:c r="E15" s="31" t="n">
        <x:f>'Actuals Data'!O12</x:f>
        <x:v>15000</x:v>
      </x:c>
      <x:c r="F15" s="31" t="n">
        <x:f>'Actuals Data'!P12</x:f>
        <x:v>0</x:v>
      </x:c>
      <x:c r="G15" s="31" t="n">
        <x:f>C15-D15-E15+F15</x:f>
        <x:v>-295772.7970893333</x:v>
      </x:c>
      <x:c r="H15" s="31" t="n">
        <x:f>B15+G15</x:f>
        <x:v>15800583.489851052</x:v>
      </x:c>
      <x:c r="I15" s="31" t="n">
        <x:f>MAX(0,-G15)</x:f>
        <x:v>295772.7970893333</x:v>
      </x:c>
      <x:c r="J15" s="44" t="n">
        <x:f>IFERROR(H15/AVERAGE(I13:I15),0)</x:f>
        <x:v>55.87030253454939</x:v>
      </x:c>
      <x:c r="K15" s="30"/>
      <x:c r="L15" s="30"/>
    </x:row>
    <x:row r="16">
      <x:c r="A16" s="32" t="n">
        <x:f>'Actuals Data'!A13</x:f>
        <x:v>45261</x:v>
      </x:c>
      <x:c r="B16" s="31" t="n">
        <x:f>'Actuals Data'!N13</x:f>
        <x:v>15800583.489851052</x:v>
      </x:c>
      <x:c r="C16" s="31" t="n">
        <x:f>'Actuals Data'!J13</x:f>
        <x:v>175131.54</x:v>
      </x:c>
      <x:c r="D16" s="31" t="n">
        <x:f>SUM('Actuals Data'!K13:M13)</x:f>
        <x:v>455301.4559333334</x:v>
      </x:c>
      <x:c r="E16" s="31" t="n">
        <x:f>'Actuals Data'!O13</x:f>
        <x:v>15000</x:v>
      </x:c>
      <x:c r="F16" s="31" t="n">
        <x:f>'Actuals Data'!P13</x:f>
        <x:v>0</x:v>
      </x:c>
      <x:c r="G16" s="31" t="n">
        <x:f>C16-D16-E16+F16</x:f>
        <x:v>-295169.91593333334</x:v>
      </x:c>
      <x:c r="H16" s="31" t="n">
        <x:f>B16+G16</x:f>
        <x:v>15505413.573917719</x:v>
      </x:c>
      <x:c r="I16" s="31" t="n">
        <x:f>MAX(0,-G16)</x:f>
        <x:v>295169.91593333334</x:v>
      </x:c>
      <x:c r="J16" s="44" t="n">
        <x:f>IFERROR(H16/AVERAGE(I14:I16),0)</x:f>
        <x:v>53.2137826647743</x:v>
      </x:c>
      <x:c r="K16" s="30"/>
      <x:c r="L16" s="30"/>
    </x:row>
    <x:row r="17">
      <x:c r="A17" s="32" t="n">
        <x:f>'Actuals Data'!A14</x:f>
        <x:v>45292</x:v>
      </x:c>
      <x:c r="B17" s="31" t="n">
        <x:f>'Actuals Data'!N14</x:f>
        <x:v>15505413.573917719</x:v>
      </x:c>
      <x:c r="C17" s="31" t="n">
        <x:f>'Actuals Data'!J14</x:f>
        <x:v>185552.36361</x:v>
      </x:c>
      <x:c r="D17" s="31" t="n">
        <x:f>SUM('Actuals Data'!K14:M14)</x:f>
        <x:v>475476.01187367336</x:v>
      </x:c>
      <x:c r="E17" s="31" t="n">
        <x:f>'Actuals Data'!O14</x:f>
        <x:v>45000</x:v>
      </x:c>
      <x:c r="F17" s="31" t="n">
        <x:f>'Actuals Data'!P14</x:f>
        <x:v>0</x:v>
      </x:c>
      <x:c r="G17" s="31" t="n">
        <x:f>C17-D17-E17+F17</x:f>
        <x:v>-334923.64826367336</x:v>
      </x:c>
      <x:c r="H17" s="31" t="n">
        <x:f>B17+G17</x:f>
        <x:v>15170489.925654044</x:v>
      </x:c>
      <x:c r="I17" s="31" t="n">
        <x:f>MAX(0,-G17)</x:f>
        <x:v>334923.64826367336</x:v>
      </x:c>
      <x:c r="J17" s="44" t="n">
        <x:f>IFERROR(H17/AVERAGE(I15:I17),0)</x:f>
        <x:v>49.15554952631758</x:v>
      </x:c>
      <x:c r="K17" s="30"/>
      <x:c r="L17" s="30"/>
    </x:row>
    <x:row r="18">
      <x:c r="A18" s="32" t="n">
        <x:f>'Actuals Data'!A15</x:f>
        <x:v>45323</x:v>
      </x:c>
      <x:c r="B18" s="31" t="n">
        <x:f>'Actuals Data'!N15</x:f>
        <x:v>15170489.925654044</x:v>
      </x:c>
      <x:c r="C18" s="31" t="n">
        <x:f>'Actuals Data'!J15</x:f>
        <x:v>190311.5979</x:v>
      </x:c>
      <x:c r="D18" s="31" t="n">
        <x:f>SUM('Actuals Data'!K15:M15)</x:f>
        <x:v>500437.384361663</x:v>
      </x:c>
      <x:c r="E18" s="31" t="n">
        <x:f>'Actuals Data'!O15</x:f>
        <x:v>15000</x:v>
      </x:c>
      <x:c r="F18" s="31" t="n">
        <x:f>'Actuals Data'!P15</x:f>
        <x:v>0</x:v>
      </x:c>
      <x:c r="G18" s="31" t="n">
        <x:f>C18-D18-E18+F18</x:f>
        <x:v>-325125.786461663</x:v>
      </x:c>
      <x:c r="H18" s="31" t="n">
        <x:f>B18+G18</x:f>
        <x:v>14845364.139192382</x:v>
      </x:c>
      <x:c r="I18" s="31" t="n">
        <x:f>MAX(0,-G18)</x:f>
        <x:v>325125.786461663</x:v>
      </x:c>
      <x:c r="J18" s="44" t="n">
        <x:f>IFERROR(H18/AVERAGE(I16:I18),0)</x:f>
        <x:v>46.62394285340574</x:v>
      </x:c>
      <x:c r="K18" s="30"/>
      <x:c r="L18" s="30"/>
    </x:row>
    <x:row r="19">
      <x:c r="A19" s="32" t="n">
        <x:f>'Actuals Data'!A16</x:f>
        <x:v>45352</x:v>
      </x:c>
      <x:c r="B19" s="31" t="n">
        <x:f>'Actuals Data'!N16</x:f>
        <x:v>14845364.139192382</x:v>
      </x:c>
      <x:c r="C19" s="31" t="n">
        <x:f>'Actuals Data'!J16</x:f>
        <x:v>196211.79134999996</x:v>
      </x:c>
      <x:c r="D19" s="31" t="n">
        <x:f>SUM('Actuals Data'!K16:M16)</x:f>
        <x:v>531114.9613539666</x:v>
      </x:c>
      <x:c r="E19" s="31" t="n">
        <x:f>'Actuals Data'!O16</x:f>
        <x:v>15000</x:v>
      </x:c>
      <x:c r="F19" s="31" t="n">
        <x:f>'Actuals Data'!P16</x:f>
        <x:v>0</x:v>
      </x:c>
      <x:c r="G19" s="31" t="n">
        <x:f>C19-D19-E19+F19</x:f>
        <x:v>-349903.17000396666</x:v>
      </x:c>
      <x:c r="H19" s="31" t="n">
        <x:f>B19+G19</x:f>
        <x:v>14495460.969188415</x:v>
      </x:c>
      <x:c r="I19" s="31" t="n">
        <x:f>MAX(0,-G19)</x:f>
        <x:v>349903.17000396666</x:v>
      </x:c>
      <x:c r="J19" s="44" t="n">
        <x:f>IFERROR(H19/AVERAGE(I17:I19),0)</x:f>
        <x:v>43.057845193855286</x:v>
      </x:c>
      <x:c r="K19" s="30"/>
      <x:c r="L19" s="30"/>
    </x:row>
    <x:row r="20">
      <x:c r="A20" s="32" t="n">
        <x:f>'Actuals Data'!A17</x:f>
        <x:v>45383</x:v>
      </x:c>
      <x:c r="B20" s="31" t="n">
        <x:f>'Actuals Data'!N17</x:f>
        <x:v>14495460.969188415</x:v>
      </x:c>
      <x:c r="C20" s="31" t="n">
        <x:f>'Actuals Data'!J17</x:f>
        <x:v>203332.03245</x:v>
      </x:c>
      <x:c r="D20" s="31" t="n">
        <x:f>SUM('Actuals Data'!K17:M17)</x:f>
        <x:v>573250.9918095386</x:v>
      </x:c>
      <x:c r="E20" s="31" t="n">
        <x:f>'Actuals Data'!O17</x:f>
        <x:v>15000</x:v>
      </x:c>
      <x:c r="F20" s="31" t="n">
        <x:f>'Actuals Data'!P17</x:f>
        <x:v>0</x:v>
      </x:c>
      <x:c r="G20" s="31" t="n">
        <x:f>C20-D20-E20+F20</x:f>
        <x:v>-384918.95935953857</x:v>
      </x:c>
      <x:c r="H20" s="31" t="n">
        <x:f>B20+G20</x:f>
        <x:v>14110542.009828877</x:v>
      </x:c>
      <x:c r="I20" s="31" t="n">
        <x:f>MAX(0,-G20)</x:f>
        <x:v>384918.95935953857</x:v>
      </x:c>
      <x:c r="J20" s="44" t="n">
        <x:f>IFERROR(H20/AVERAGE(I18:I20),0)</x:f>
        <x:v>39.937458621758324</x:v>
      </x:c>
      <x:c r="K20" s="30"/>
      <x:c r="L20" s="30"/>
    </x:row>
    <x:row r="21">
      <x:c r="A21" s="32" t="n">
        <x:f>'Actuals Data'!A18</x:f>
        <x:v>45413</x:v>
      </x:c>
      <x:c r="B21" s="31" t="n">
        <x:f>'Actuals Data'!N18</x:f>
        <x:v>14110542.009828877</x:v>
      </x:c>
      <x:c r="C21" s="31" t="n">
        <x:f>'Actuals Data'!J18</x:f>
        <x:v>209676.86397</x:v>
      </x:c>
      <x:c r="D21" s="31" t="n">
        <x:f>SUM('Actuals Data'!K18:M18)</x:f>
        <x:v>588633.4849435133</x:v>
      </x:c>
      <x:c r="E21" s="31" t="n">
        <x:f>'Actuals Data'!O18</x:f>
        <x:v>15000</x:v>
      </x:c>
      <x:c r="F21" s="31" t="n">
        <x:f>'Actuals Data'!P18</x:f>
        <x:v>0</x:v>
      </x:c>
      <x:c r="G21" s="31" t="n">
        <x:f>C21-D21-E21+F21</x:f>
        <x:v>-393956.6209735133</x:v>
      </x:c>
      <x:c r="H21" s="31" t="n">
        <x:f>B21+G21</x:f>
        <x:v>13716585.388855364</x:v>
      </x:c>
      <x:c r="I21" s="31" t="n">
        <x:f>MAX(0,-G21)</x:f>
        <x:v>393956.6209735133</x:v>
      </x:c>
      <x:c r="J21" s="44" t="n">
        <x:f>IFERROR(H21/AVERAGE(I19:I21),0)</x:f>
        <x:v>36.455112354197</x:v>
      </x:c>
      <x:c r="K21" s="30"/>
      <x:c r="L21" s="30"/>
    </x:row>
    <x:row r="22">
      <x:c r="A22" s="32" t="n">
        <x:f>'Actuals Data'!A19</x:f>
        <x:v>45444</x:v>
      </x:c>
      <x:c r="B22" s="31" t="n">
        <x:f>'Actuals Data'!N19</x:f>
        <x:v>13716585.388855364</x:v>
      </x:c>
      <x:c r="C22" s="31" t="n">
        <x:f>'Actuals Data'!J19</x:f>
        <x:v>217015.87922999996</x:v>
      </x:c>
      <x:c r="D22" s="31" t="n">
        <x:f>SUM('Actuals Data'!K19:M19)</x:f>
        <x:v>602129.0137203666</x:v>
      </x:c>
      <x:c r="E22" s="31" t="n">
        <x:f>'Actuals Data'!O19</x:f>
        <x:v>15000</x:v>
      </x:c>
      <x:c r="F22" s="31" t="n">
        <x:f>'Actuals Data'!P19</x:f>
        <x:v>0</x:v>
      </x:c>
      <x:c r="G22" s="31" t="n">
        <x:f>C22-D22-E22+F22</x:f>
        <x:v>-400113.1344903667</x:v>
      </x:c>
      <x:c r="H22" s="31" t="n">
        <x:f>B22+G22</x:f>
        <x:v>13316472.254364997</x:v>
      </x:c>
      <x:c r="I22" s="31" t="n">
        <x:f>MAX(0,-G22)</x:f>
        <x:v>400113.1344903667</x:v>
      </x:c>
      <x:c r="J22" s="44" t="n">
        <x:f>IFERROR(H22/AVERAGE(I20:I22),0)</x:f>
        <x:v>33.88447765513885</x:v>
      </x:c>
      <x:c r="K22" s="30"/>
      <x:c r="L22" s="30"/>
    </x:row>
    <x:row r="23">
      <x:c r="A23" s="32" t="n">
        <x:f>'Actuals Data'!A20</x:f>
        <x:v>45474</x:v>
      </x:c>
      <x:c r="B23" s="31" t="n">
        <x:f>'Actuals Data'!N20</x:f>
        <x:v>13316472.254364997</x:v>
      </x:c>
      <x:c r="C23" s="31" t="n">
        <x:f>'Actuals Data'!J20</x:f>
        <x:v>223770.57075</x:v>
      </x:c>
      <x:c r="D23" s="31" t="n">
        <x:f>SUM('Actuals Data'!K20:M20)</x:f>
        <x:v>605274.1128261667</x:v>
      </x:c>
      <x:c r="E23" s="31" t="n">
        <x:f>'Actuals Data'!O20</x:f>
        <x:v>45000</x:v>
      </x:c>
      <x:c r="F23" s="31" t="n">
        <x:f>'Actuals Data'!P20</x:f>
        <x:v>0</x:v>
      </x:c>
      <x:c r="G23" s="31" t="n">
        <x:f>C23-D23-E23+F23</x:f>
        <x:v>-426503.54207616666</x:v>
      </x:c>
      <x:c r="H23" s="31" t="n">
        <x:f>B23+G23</x:f>
        <x:v>12889968.71228883</x:v>
      </x:c>
      <x:c r="I23" s="31" t="n">
        <x:f>MAX(0,-G23)</x:f>
        <x:v>426503.54207616666</x:v>
      </x:c>
      <x:c r="J23" s="44" t="n">
        <x:f>IFERROR(H23/AVERAGE(I21:I23),0)</x:f>
        <x:v>31.68175660962118</x:v>
      </x:c>
      <x:c r="K23" s="30"/>
      <x:c r="L23" s="30"/>
    </x:row>
    <x:row r="24">
      <x:c r="A24" s="32" t="n">
        <x:f>'Actuals Data'!A21</x:f>
        <x:v>45505</x:v>
      </x:c>
      <x:c r="B24" s="31" t="n">
        <x:f>'Actuals Data'!N21</x:f>
        <x:v>12889968.71228883</x:v>
      </x:c>
      <x:c r="C24" s="31" t="n">
        <x:f>'Actuals Data'!J21</x:f>
        <x:v>230480.95185</x:v>
      </x:c>
      <x:c r="D24" s="31" t="n">
        <x:f>SUM('Actuals Data'!K21:M21)</x:f>
        <x:v>632063.7053097091</x:v>
      </x:c>
      <x:c r="E24" s="31" t="n">
        <x:f>'Actuals Data'!O21</x:f>
        <x:v>15000</x:v>
      </x:c>
      <x:c r="F24" s="31" t="n">
        <x:f>'Actuals Data'!P21</x:f>
        <x:v>0</x:v>
      </x:c>
      <x:c r="G24" s="31" t="n">
        <x:f>C24-D24-E24+F24</x:f>
        <x:v>-416582.75345970906</x:v>
      </x:c>
      <x:c r="H24" s="31" t="n">
        <x:f>B24+G24</x:f>
        <x:v>12473385.958829122</x:v>
      </x:c>
      <x:c r="I24" s="31" t="n">
        <x:f>MAX(0,-G24)</x:f>
        <x:v>416582.75345970906</x:v>
      </x:c>
      <x:c r="J24" s="44" t="n">
        <x:f>IFERROR(H24/AVERAGE(I22:I24),0)</x:f>
        <x:v>30.09988339175596</x:v>
      </x:c>
      <x:c r="K24" s="30"/>
      <x:c r="L24" s="30"/>
    </x:row>
    <x:row r="25">
      <x:c r="A25" s="32" t="n">
        <x:f>'Actuals Data'!A22</x:f>
        <x:v>45536</x:v>
      </x:c>
      <x:c r="B25" s="31" t="n">
        <x:f>'Actuals Data'!N22</x:f>
        <x:v>12473385.958829122</x:v>
      </x:c>
      <x:c r="C25" s="31" t="n">
        <x:f>'Actuals Data'!J22</x:f>
        <x:v>235868.8203</x:v>
      </x:c>
      <x:c r="D25" s="31" t="n">
        <x:f>SUM('Actuals Data'!K22:M22)</x:f>
        <x:v>661840.3686279332</x:v>
      </x:c>
      <x:c r="E25" s="31" t="n">
        <x:f>'Actuals Data'!O22</x:f>
        <x:v>15000</x:v>
      </x:c>
      <x:c r="F25" s="31" t="n">
        <x:f>'Actuals Data'!P22</x:f>
        <x:v>4000000</x:v>
      </x:c>
      <x:c r="G25" s="31" t="n">
        <x:f>C25-D25-E25+F25</x:f>
        <x:v>3559028.451672067</x:v>
      </x:c>
      <x:c r="H25" s="31" t="n">
        <x:f>B25+G25</x:f>
        <x:v>16032414.41050119</x:v>
      </x:c>
      <x:c r="I25" s="31" t="n">
        <x:f>MAX(0,-G25)</x:f>
        <x:v>0</x:v>
      </x:c>
      <x:c r="J25" s="44" t="n">
        <x:f>IFERROR(H25/AVERAGE(I23:I25),0)</x:f>
        <x:v>57.049015606323415</x:v>
      </x:c>
      <x:c r="K25" s="30"/>
      <x:c r="L25" s="30"/>
    </x:row>
    <x:row r="26">
      <x:c r="A26" s="32" t="n">
        <x:f>'Actuals Data'!A23</x:f>
        <x:v>45566</x:v>
      </x:c>
      <x:c r="B26" s="31" t="n">
        <x:f>'Actuals Data'!N23</x:f>
        <x:v>16032414.410501188</x:v>
      </x:c>
      <x:c r="C26" s="31" t="n">
        <x:f>'Actuals Data'!J23</x:f>
        <x:v>241461.61874999997</x:v>
      </x:c>
      <x:c r="D26" s="31" t="n">
        <x:f>SUM('Actuals Data'!K23:M23)</x:f>
        <x:v>683176.0690621553</x:v>
      </x:c>
      <x:c r="E26" s="31" t="n">
        <x:f>'Actuals Data'!O23</x:f>
        <x:v>15000</x:v>
      </x:c>
      <x:c r="F26" s="31" t="n">
        <x:f>'Actuals Data'!P23</x:f>
        <x:v>0</x:v>
      </x:c>
      <x:c r="G26" s="31" t="n">
        <x:f>C26-D26-E26+F26</x:f>
        <x:v>-456714.45031215536</x:v>
      </x:c>
      <x:c r="H26" s="31" t="n">
        <x:f>B26+G26</x:f>
        <x:v>15575699.960189031</x:v>
      </x:c>
      <x:c r="I26" s="31" t="n">
        <x:f>MAX(0,-G26)</x:f>
        <x:v>456714.45031215536</x:v>
      </x:c>
      <x:c r="J26" s="44" t="n">
        <x:f>IFERROR(H26/AVERAGE(I24:I26),0)</x:f>
        <x:v>53.5065263907267</x:v>
      </x:c>
      <x:c r="K26" s="30"/>
      <x:c r="L26" s="30"/>
    </x:row>
    <x:row r="27">
      <x:c r="A27" s="32" t="n">
        <x:f>'Actuals Data'!A24</x:f>
        <x:v>45597</x:v>
      </x:c>
      <x:c r="B27" s="31" t="n">
        <x:f>'Actuals Data'!N24</x:f>
        <x:v>15575699.960189031</x:v>
      </x:c>
      <x:c r="C27" s="31" t="n">
        <x:f>'Actuals Data'!J24</x:f>
        <x:v>246951.95219999997</x:v>
      </x:c>
      <x:c r="D27" s="31" t="n">
        <x:f>SUM('Actuals Data'!K24:M24)</x:f>
        <x:v>687515.6997758666</x:v>
      </x:c>
      <x:c r="E27" s="31" t="n">
        <x:f>'Actuals Data'!O24</x:f>
        <x:v>15000</x:v>
      </x:c>
      <x:c r="F27" s="31" t="n">
        <x:f>'Actuals Data'!P24</x:f>
        <x:v>0</x:v>
      </x:c>
      <x:c r="G27" s="31" t="n">
        <x:f>C27-D27-E27+F27</x:f>
        <x:v>-455563.74757586664</x:v>
      </x:c>
      <x:c r="H27" s="31" t="n">
        <x:f>B27+G27</x:f>
        <x:v>15120136.212613165</x:v>
      </x:c>
      <x:c r="I27" s="31" t="n">
        <x:f>MAX(0,-G27)</x:f>
        <x:v>455563.74757586664</x:v>
      </x:c>
      <x:c r="J27" s="44" t="n">
        <x:f>IFERROR(H27/AVERAGE(I25:I27),0)</x:f>
        <x:v>49.72212285994725</x:v>
      </x:c>
      <x:c r="K27" s="30"/>
      <x:c r="L27" s="30"/>
    </x:row>
    <x:row r="28">
      <x:c r="A28" s="32" t="n">
        <x:f>'Actuals Data'!A25</x:f>
        <x:v>45627</x:v>
      </x:c>
      <x:c r="B28" s="31" t="n">
        <x:f>'Actuals Data'!N25</x:f>
        <x:v>15120136.212613165</x:v>
      </x:c>
      <x:c r="C28" s="31" t="n">
        <x:f>'Actuals Data'!J25</x:f>
        <x:v>252179.20106999995</x:v>
      </x:c>
      <x:c r="D28" s="31" t="n">
        <x:f>SUM('Actuals Data'!K25:M25)</x:f>
        <x:v>708608.8248699666</x:v>
      </x:c>
      <x:c r="E28" s="31" t="n">
        <x:f>'Actuals Data'!O25</x:f>
        <x:v>15000</x:v>
      </x:c>
      <x:c r="F28" s="31" t="n">
        <x:f>'Actuals Data'!P25</x:f>
        <x:v>0</x:v>
      </x:c>
      <x:c r="G28" s="31" t="n">
        <x:f>C28-D28-E28+F28</x:f>
        <x:v>-471429.62379996665</x:v>
      </x:c>
      <x:c r="H28" s="31" t="n">
        <x:f>B28+G28</x:f>
        <x:v>14648706.588813199</x:v>
      </x:c>
      <x:c r="I28" s="31" t="n">
        <x:f>MAX(0,-G28)</x:f>
        <x:v>471429.62379996665</x:v>
      </x:c>
      <x:c r="J28" s="44" t="n">
        <x:f>IFERROR(H28/AVERAGE(I26:I28),0)</x:f>
        <x:v>31.759681543773898</x:v>
      </x:c>
      <x:c r="K28" s="30"/>
      <x:c r="L28" s="30"/>
    </x:row>
    <x:row r="29">
      <x:c r="A29" s="32" t="n">
        <x:f>'Actuals Data'!A26</x:f>
        <x:v>45658</x:v>
      </x:c>
      <x:c r="B29" s="31" t="n">
        <x:f>'Actuals Data'!N26</x:f>
        <x:v>14648706.588813199</x:v>
      </x:c>
      <x:c r="C29" s="31" t="n">
        <x:f>'Actuals Data'!J26</x:f>
        <x:v>268268.87137095</x:v>
      </x:c>
      <x:c r="D29" s="31" t="n">
        <x:f>SUM('Actuals Data'!K26:M26)</x:f>
        <x:v>731524.4143792975</x:v>
      </x:c>
      <x:c r="E29" s="31" t="n">
        <x:f>'Actuals Data'!O26</x:f>
        <x:v>45000</x:v>
      </x:c>
      <x:c r="F29" s="31" t="n">
        <x:f>'Actuals Data'!P26</x:f>
        <x:v>0</x:v>
      </x:c>
      <x:c r="G29" s="31" t="n">
        <x:f>C29-D29-E29+F29</x:f>
        <x:v>-508255.5430083475</x:v>
      </x:c>
      <x:c r="H29" s="31" t="n">
        <x:f>B29+G29</x:f>
        <x:v>14140451.04580485</x:v>
      </x:c>
      <x:c r="I29" s="31" t="n">
        <x:f>MAX(0,-G29)</x:f>
        <x:v>508255.5430083475</x:v>
      </x:c>
      <x:c r="J29" s="44" t="n">
        <x:f>IFERROR(H29/AVERAGE(I27:I29),0)</x:f>
        <x:v>29.5567916563213</x:v>
      </x:c>
      <x:c r="K29" s="30"/>
      <x:c r="L29" s="30"/>
    </x:row>
    <x:row r="30">
      <x:c r="A30" s="32" t="n">
        <x:f>'Actuals Data'!A27</x:f>
        <x:v>45689</x:v>
      </x:c>
      <x:c r="B30" s="31" t="n">
        <x:f>'Actuals Data'!N27</x:f>
        <x:v>14140451.04580485</x:v>
      </x:c>
      <x:c r="C30" s="31" t="n">
        <x:f>'Actuals Data'!J27</x:f>
        <x:v>276349.14725534996</x:v>
      </x:c>
      <x:c r="D30" s="31" t="n">
        <x:f>SUM('Actuals Data'!K27:M27)</x:f>
        <x:v>785152.9243665482</x:v>
      </x:c>
      <x:c r="E30" s="31" t="n">
        <x:f>'Actuals Data'!O27</x:f>
        <x:v>15000</x:v>
      </x:c>
      <x:c r="F30" s="31" t="n">
        <x:f>'Actuals Data'!P27</x:f>
        <x:v>0</x:v>
      </x:c>
      <x:c r="G30" s="31" t="n">
        <x:f>C30-D30-E30+F30</x:f>
        <x:v>-523803.77711119823</x:v>
      </x:c>
      <x:c r="H30" s="31" t="n">
        <x:f>B30+G30</x:f>
        <x:v>13616647.268693652</x:v>
      </x:c>
      <x:c r="I30" s="31" t="n">
        <x:f>MAX(0,-G30)</x:f>
        <x:v>523803.77711119823</x:v>
      </x:c>
      <x:c r="J30" s="44" t="n">
        <x:f>IFERROR(H30/AVERAGE(I28:I30),0)</x:f>
        <x:v>27.17009790546741</x:v>
      </x:c>
      <x:c r="K30" s="30"/>
      <x:c r="L30" s="30"/>
    </x:row>
    <x:row r="31">
      <x:c r="A31" s="32" t="n">
        <x:f>'Actuals Data'!A28</x:f>
        <x:v>45717</x:v>
      </x:c>
      <x:c r="B31" s="31" t="n">
        <x:f>'Actuals Data'!N28</x:f>
        <x:v>13616647.268693652</x:v>
      </x:c>
      <x:c r="C31" s="31" t="n">
        <x:f>'Actuals Data'!J28</x:f>
        <x:v>285231.97205504996</x:v>
      </x:c>
      <x:c r="D31" s="31" t="n">
        <x:f>SUM('Actuals Data'!K28:M28)</x:f>
        <x:v>801585.9438002333</x:v>
      </x:c>
      <x:c r="E31" s="31" t="n">
        <x:f>'Actuals Data'!O28</x:f>
        <x:v>15000</x:v>
      </x:c>
      <x:c r="F31" s="31" t="n">
        <x:f>'Actuals Data'!P28</x:f>
        <x:v>0</x:v>
      </x:c>
      <x:c r="G31" s="31" t="n">
        <x:f>C31-D31-E31+F31</x:f>
        <x:v>-531353.9717451833</x:v>
      </x:c>
      <x:c r="H31" s="31" t="n">
        <x:f>B31+G31</x:f>
        <x:v>13085293.296948468</x:v>
      </x:c>
      <x:c r="I31" s="31" t="n">
        <x:f>MAX(0,-G31)</x:f>
        <x:v>531353.9717451833</x:v>
      </x:c>
      <x:c r="J31" s="44" t="n">
        <x:f>IFERROR(H31/AVERAGE(I29:I31),0)</x:f>
        <x:v>25.109086698389113</x:v>
      </x:c>
      <x:c r="K31" s="30"/>
      <x:c r="L31" s="30"/>
    </x:row>
    <x:row r="32">
      <x:c r="A32" s="32" t="n">
        <x:f>'Actuals Data'!A29</x:f>
        <x:v>45748</x:v>
      </x:c>
      <x:c r="B32" s="31" t="n">
        <x:f>'Actuals Data'!N29</x:f>
        <x:v>13085293.296948468</x:v>
      </x:c>
      <x:c r="C32" s="31" t="n">
        <x:f>'Actuals Data'!J29</x:f>
        <x:v>292685.80627169996</x:v>
      </x:c>
      <x:c r="D32" s="31" t="n">
        <x:f>SUM('Actuals Data'!K29:M29)</x:f>
        <x:v>816849.9599400903</x:v>
      </x:c>
      <x:c r="E32" s="31" t="n">
        <x:f>'Actuals Data'!O29</x:f>
        <x:v>15000</x:v>
      </x:c>
      <x:c r="F32" s="31" t="n">
        <x:f>'Actuals Data'!P29</x:f>
        <x:v>0</x:v>
      </x:c>
      <x:c r="G32" s="31" t="n">
        <x:f>C32-D32-E32+F32</x:f>
        <x:v>-539164.1536683904</x:v>
      </x:c>
      <x:c r="H32" s="31" t="n">
        <x:f>B32+G32</x:f>
        <x:v>12546129.143280078</x:v>
      </x:c>
      <x:c r="I32" s="31" t="n">
        <x:f>MAX(0,-G32)</x:f>
        <x:v>539164.1536683904</x:v>
      </x:c>
      <x:c r="J32" s="44" t="n">
        <x:f>IFERROR(H32/AVERAGE(I30:I32),0)</x:f>
        <x:v>23.60777166156721</x:v>
      </x:c>
      <x:c r="K32" s="30"/>
      <x:c r="L32" s="30"/>
    </x:row>
    <x:row r="33">
      <x:c r="A33" s="32" t="n">
        <x:f>'Actuals Data'!A30</x:f>
        <x:v>45778</x:v>
      </x:c>
      <x:c r="B33" s="31" t="n">
        <x:f>'Actuals Data'!N30</x:f>
        <x:v>12546129.143280078</x:v>
      </x:c>
      <x:c r="C33" s="31" t="n">
        <x:f>'Actuals Data'!J30</x:f>
        <x:v>302385.50869229995</x:v>
      </x:c>
      <x:c r="D33" s="31" t="n">
        <x:f>SUM('Actuals Data'!K30:M30)</x:f>
        <x:v>820970.118686306</x:v>
      </x:c>
      <x:c r="E33" s="31" t="n">
        <x:f>'Actuals Data'!O30</x:f>
        <x:v>15000</x:v>
      </x:c>
      <x:c r="F33" s="31" t="n">
        <x:f>'Actuals Data'!P30</x:f>
        <x:v>0</x:v>
      </x:c>
      <x:c r="G33" s="31" t="n">
        <x:f>C33-D33-E33+F33</x:f>
        <x:v>-533584.6099940061</x:v>
      </x:c>
      <x:c r="H33" s="31" t="n">
        <x:f>B33+G33</x:f>
        <x:v>12012544.533286072</x:v>
      </x:c>
      <x:c r="I33" s="31" t="n">
        <x:f>MAX(0,-G33)</x:f>
        <x:v>533584.6099940061</x:v>
      </x:c>
      <x:c r="J33" s="44" t="n">
        <x:f>IFERROR(H33/AVERAGE(I31:I33),0)</x:f>
        <x:v>22.465913687692552</x:v>
      </x:c>
      <x:c r="K33" s="30"/>
      <x:c r="L33" s="30"/>
    </x:row>
    <x:row r="34">
      <x:c r="A34" s="32" t="n">
        <x:f>'Actuals Data'!A31</x:f>
        <x:v>45809</x:v>
      </x:c>
      <x:c r="B34" s="31" t="n">
        <x:f>'Actuals Data'!N31</x:f>
        <x:v>12012544.533286072</x:v>
      </x:c>
      <x:c r="C34" s="31" t="n">
        <x:f>'Actuals Data'!J31</x:f>
        <x:v>310550.16925484996</x:v>
      </x:c>
      <x:c r="D34" s="31" t="n">
        <x:f>SUM('Actuals Data'!K31:M31)</x:f>
        <x:v>824230.8021584215</x:v>
      </x:c>
      <x:c r="E34" s="31" t="n">
        <x:f>'Actuals Data'!O31</x:f>
        <x:v>15000</x:v>
      </x:c>
      <x:c r="F34" s="31" t="n">
        <x:f>'Actuals Data'!P31</x:f>
        <x:v>0</x:v>
      </x:c>
      <x:c r="G34" s="31" t="n">
        <x:f>C34-D34-E34+F34</x:f>
        <x:v>-528680.6329035715</x:v>
      </x:c>
      <x:c r="H34" s="31" t="n">
        <x:f>B34+G34</x:f>
        <x:v>11483863.9003825</x:v>
      </x:c>
      <x:c r="I34" s="31" t="n">
        <x:f>MAX(0,-G34)</x:f>
        <x:v>528680.6329035715</x:v>
      </x:c>
      <x:c r="J34" s="44" t="n">
        <x:f>IFERROR(H34/AVERAGE(I32:I34),0)</x:f>
        <x:v>21.513025660090868</x:v>
      </x:c>
      <x:c r="K34" s="30"/>
      <x:c r="L34" s="30"/>
    </x:row>
    <x:row r="35">
      <x:c r="A35" s="32" t="n">
        <x:f>'Actuals Data'!A32</x:f>
        <x:v>45839</x:v>
      </x:c>
      <x:c r="B35" s="31" t="n">
        <x:f>'Actuals Data'!N32</x:f>
        <x:v>11483863.9003825</x:v>
      </x:c>
      <x:c r="C35" s="31" t="n">
        <x:f>'Actuals Data'!J32</x:f>
        <x:v>318881.0710826999</x:v>
      </x:c>
      <x:c r="D35" s="31" t="n">
        <x:f>SUM('Actuals Data'!K32:M32)</x:f>
        <x:v>827476.1992213822</x:v>
      </x:c>
      <x:c r="E35" s="31" t="n">
        <x:f>'Actuals Data'!O32</x:f>
        <x:v>45000</x:v>
      </x:c>
      <x:c r="F35" s="31" t="n">
        <x:f>'Actuals Data'!P32</x:f>
        <x:v>0</x:v>
      </x:c>
      <x:c r="G35" s="31" t="n">
        <x:f>C35-D35-E35+F35</x:f>
        <x:v>-553595.1281386822</x:v>
      </x:c>
      <x:c r="H35" s="31" t="n">
        <x:f>B35+G35</x:f>
        <x:v>10930268.772243818</x:v>
      </x:c>
      <x:c r="I35" s="31" t="n">
        <x:f>MAX(0,-G35)</x:f>
        <x:v>553595.1281386822</x:v>
      </x:c>
      <x:c r="J35" s="44" t="n">
        <x:f>IFERROR(H35/AVERAGE(I33:I35),0)</x:f>
        <x:v>20.293093948273846</x:v>
      </x:c>
      <x:c r="K35" s="30"/>
      <x:c r="L35" s="30"/>
    </x:row>
    <x:row r="36">
      <x:c r="A36" s="32" t="n">
        <x:f>'Actuals Data'!A33</x:f>
        <x:v>45870</x:v>
      </x:c>
      <x:c r="B36" s="31" t="n">
        <x:f>'Actuals Data'!N33</x:f>
        <x:v>10930268.772243818</x:v>
      </x:c>
      <x:c r="C36" s="31" t="n">
        <x:f>'Actuals Data'!J33</x:f>
        <x:v>326734.9157115</x:v>
      </x:c>
      <x:c r="D36" s="31" t="n">
        <x:f>SUM('Actuals Data'!K33:M33)</x:f>
        <x:v>830863.4680867088</x:v>
      </x:c>
      <x:c r="E36" s="31" t="n">
        <x:f>'Actuals Data'!O33</x:f>
        <x:v>15000</x:v>
      </x:c>
      <x:c r="F36" s="31" t="n">
        <x:f>'Actuals Data'!P33</x:f>
        <x:v>0</x:v>
      </x:c>
      <x:c r="G36" s="31" t="n">
        <x:f>C36-D36-E36+F36</x:f>
        <x:v>-519128.5523752088</x:v>
      </x:c>
      <x:c r="H36" s="31" t="n">
        <x:f>B36+G36</x:f>
        <x:v>10411140.21986861</x:v>
      </x:c>
      <x:c r="I36" s="31" t="n">
        <x:f>MAX(0,-G36)</x:f>
        <x:v>519128.5523752088</x:v>
      </x:c>
      <x:c r="J36" s="44" t="n">
        <x:f>IFERROR(H36/AVERAGE(I34:I36),0)</x:f>
        <x:v>19.50376953397386</x:v>
      </x:c>
      <x:c r="K36" s="30"/>
      <x:c r="L36" s="30"/>
    </x:row>
    <x:row r="37">
      <x:c r="A37" s="32" t="n">
        <x:f>'Actuals Data'!A34</x:f>
        <x:v>45901</x:v>
      </x:c>
      <x:c r="B37" s="31" t="n">
        <x:f>'Actuals Data'!N34</x:f>
        <x:v>10411140.21986861</x:v>
      </x:c>
      <x:c r="C37" s="31" t="n">
        <x:f>'Actuals Data'!J34</x:f>
        <x:v>332961.9959128499</x:v>
      </x:c>
      <x:c r="D37" s="31" t="n">
        <x:f>SUM('Actuals Data'!K34:M34)</x:f>
        <x:v>857787.046589472</x:v>
      </x:c>
      <x:c r="E37" s="31" t="n">
        <x:f>'Actuals Data'!O34</x:f>
        <x:v>15000</x:v>
      </x:c>
      <x:c r="F37" s="31" t="n">
        <x:f>'Actuals Data'!P34</x:f>
        <x:v>0</x:v>
      </x:c>
      <x:c r="G37" s="31" t="n">
        <x:f>C37-D37-E37+F37</x:f>
        <x:v>-539825.0506766221</x:v>
      </x:c>
      <x:c r="H37" s="31" t="n">
        <x:f>B37+G37</x:f>
        <x:v>9871315.169191988</x:v>
      </x:c>
      <x:c r="I37" s="31" t="n">
        <x:f>MAX(0,-G37)</x:f>
        <x:v>539825.0506766221</x:v>
      </x:c>
      <x:c r="J37" s="44" t="n">
        <x:f>IFERROR(H37/AVERAGE(I35:I37),0)</x:f>
        <x:v>18.36468252696622</x:v>
      </x:c>
      <x:c r="K37" s="30"/>
      <x:c r="L37" s="30"/>
    </x:row>
    <x:row r="38">
      <x:c r="A38" s="32" t="n">
        <x:f>'Actuals Data'!A35</x:f>
        <x:v>45931</x:v>
      </x:c>
      <x:c r="B38" s="31" t="n">
        <x:f>'Actuals Data'!N35</x:f>
        <x:v>9871315.169191988</x:v>
      </x:c>
      <x:c r="C38" s="31" t="n">
        <x:f>'Actuals Data'!J35</x:f>
        <x:v>339885.57375449996</x:v>
      </x:c>
      <x:c r="D38" s="31" t="n">
        <x:f>SUM('Actuals Data'!K35:M35)</x:f>
        <x:v>862187.6360166782</x:v>
      </x:c>
      <x:c r="E38" s="31" t="n">
        <x:f>'Actuals Data'!O35</x:f>
        <x:v>15000</x:v>
      </x:c>
      <x:c r="F38" s="31" t="n">
        <x:f>'Actuals Data'!P35</x:f>
        <x:v>0</x:v>
      </x:c>
      <x:c r="G38" s="31" t="n">
        <x:f>C38-D38-E38+F38</x:f>
        <x:v>-537302.0622621782</x:v>
      </x:c>
      <x:c r="H38" s="31" t="n">
        <x:f>B38+G38</x:f>
        <x:v>9334013.10692981</x:v>
      </x:c>
      <x:c r="I38" s="31" t="n">
        <x:f>MAX(0,-G38)</x:f>
        <x:v>537302.0622621782</x:v>
      </x:c>
      <x:c r="J38" s="44" t="n">
        <x:f>IFERROR(H38/AVERAGE(I36:I38),0)</x:f>
        <x:v>17.542327290835946</x:v>
      </x:c>
      <x:c r="K38" s="30"/>
      <x:c r="L38" s="30"/>
    </x:row>
    <x:row r="39">
      <x:c r="A39" s="32" t="n">
        <x:f>'Actuals Data'!A36</x:f>
        <x:v>45962</x:v>
      </x:c>
      <x:c r="B39" s="31" t="n">
        <x:f>'Actuals Data'!N36</x:f>
        <x:v>9334013.10692981</x:v>
      </x:c>
      <x:c r="C39" s="31" t="n">
        <x:f>'Actuals Data'!J36</x:f>
        <x:v>347127.30542114994</x:v>
      </x:c>
      <x:c r="D39" s="31" t="n">
        <x:f>SUM('Actuals Data'!K36:M36)</x:f>
        <x:v>867342.6521416672</x:v>
      </x:c>
      <x:c r="E39" s="31" t="n">
        <x:f>'Actuals Data'!O36</x:f>
        <x:v>15000</x:v>
      </x:c>
      <x:c r="F39" s="31" t="n">
        <x:f>'Actuals Data'!P36</x:f>
        <x:v>0</x:v>
      </x:c>
      <x:c r="G39" s="31" t="n">
        <x:f>C39-D39-E39+F39</x:f>
        <x:v>-535215.3467205173</x:v>
      </x:c>
      <x:c r="H39" s="31" t="n">
        <x:f>B39+G39</x:f>
        <x:v>8798797.760209294</x:v>
      </x:c>
      <x:c r="I39" s="31" t="n">
        <x:f>MAX(0,-G39)</x:f>
        <x:v>535215.3467205173</x:v>
      </x:c>
      <x:c r="J39" s="44" t="n">
        <x:f>IFERROR(H39/AVERAGE(I37:I39),0)</x:f>
        <x:v>16.371455780061357</x:v>
      </x:c>
      <x:c r="K39" s="30"/>
      <x:c r="L39" s="30"/>
    </x:row>
    <x:row r="40">
      <x:c r="A40" s="32" t="n">
        <x:f>'Actuals Data'!A37</x:f>
        <x:v>45992</x:v>
      </x:c>
      <x:c r="B40" s="31" t="n">
        <x:f>'Actuals Data'!N37</x:f>
        <x:v>8798797.760209294</x:v>
      </x:c>
      <x:c r="C40" s="31" t="n">
        <x:f>'Actuals Data'!J37</x:f>
        <x:v>352597.6979919</x:v>
      </x:c>
      <x:c r="D40" s="31" t="n">
        <x:f>SUM('Actuals Data'!K37:M37)</x:f>
        <x:v>890201.802618461</x:v>
      </x:c>
      <x:c r="E40" s="31" t="n">
        <x:f>'Actuals Data'!O37</x:f>
        <x:v>15000</x:v>
      </x:c>
      <x:c r="F40" s="31" t="n">
        <x:f>'Actuals Data'!P37</x:f>
        <x:v>0</x:v>
      </x:c>
      <x:c r="G40" s="31" t="n">
        <x:f>C40-D40-E40+F40</x:f>
        <x:v>-552604.104626561</x:v>
      </x:c>
      <x:c r="H40" s="31" t="n">
        <x:f>B40+G40</x:f>
        <x:v>8246193.655582733</x:v>
      </x:c>
      <x:c r="I40" s="31" t="n">
        <x:f>MAX(0,-G40)</x:f>
        <x:v>552604.104626561</x:v>
      </x:c>
      <x:c r="J40" s="44" t="n">
        <x:f>IFERROR(H40/AVERAGE(I38:I40),0)</x:f>
        <x:v>15.22260382351712</x:v>
      </x:c>
      <x:c r="K40" s="30"/>
      <x:c r="L40" s="30"/>
    </x:row>
    <x:row r="41">
      <x:c r="A41" s="32" t="n">
        <x:f>'Actuals Data'!A38</x:f>
        <x:v>46023</x:v>
      </x:c>
      <x:c r="B41" s="31" t="n">
        <x:f>'Actuals Data'!N38</x:f>
        <x:v>8246193.655582733</x:v>
      </x:c>
      <x:c r="C41" s="31" t="n">
        <x:f>'Actuals Data'!J38</x:f>
        <x:v>374047.61952160567</x:v>
      </x:c>
      <x:c r="D41" s="31" t="n">
        <x:f>SUM('Actuals Data'!K38:M38)</x:f>
        <x:v>921346.5515205249</x:v>
      </x:c>
      <x:c r="E41" s="31" t="n">
        <x:f>'Actuals Data'!O38</x:f>
        <x:v>45000</x:v>
      </x:c>
      <x:c r="F41" s="31" t="n">
        <x:f>'Actuals Data'!P38</x:f>
        <x:v>0</x:v>
      </x:c>
      <x:c r="G41" s="31" t="n">
        <x:f>C41-D41-E41+F41</x:f>
        <x:v>-592298.9319989192</x:v>
      </x:c>
      <x:c r="H41" s="31" t="n">
        <x:f>B41+G41</x:f>
        <x:v>7653894.723583814</x:v>
      </x:c>
      <x:c r="I41" s="31" t="n">
        <x:f>MAX(0,-G41)</x:f>
        <x:v>592298.9319989192</x:v>
      </x:c>
      <x:c r="J41" s="44" t="n">
        <x:f>IFERROR(H41/AVERAGE(I39:I41),0)</x:f>
        <x:v>13.666706107353388</x:v>
      </x:c>
      <x:c r="K41" s="30"/>
      <x:c r="L41" s="30"/>
    </x:row>
    <x:row r="42">
      <x:c r="A42" s="32" t="n">
        <x:f>'Actuals Data'!A39</x:f>
        <x:v>46054</x:v>
      </x:c>
      <x:c r="B42" s="31" t="n">
        <x:f>'Actuals Data'!N39</x:f>
        <x:v>7653894.723583814</x:v>
      </x:c>
      <x:c r="C42" s="31" t="n">
        <x:f>'Actuals Data'!J39</x:f>
        <x:v>386139.67363043316</x:v>
      </x:c>
      <x:c r="D42" s="31" t="n">
        <x:f>SUM('Actuals Data'!K39:M39)</x:f>
        <x:v>955958.8521239662</x:v>
      </x:c>
      <x:c r="E42" s="31" t="n">
        <x:f>'Actuals Data'!O39</x:f>
        <x:v>15000</x:v>
      </x:c>
      <x:c r="F42" s="31" t="n">
        <x:f>'Actuals Data'!P39</x:f>
        <x:v>0</x:v>
      </x:c>
      <x:c r="G42" s="31" t="n">
        <x:f>C42-D42-E42+F42</x:f>
        <x:v>-584819.178493533</x:v>
      </x:c>
      <x:c r="H42" s="31" t="n">
        <x:f>B42+G42</x:f>
        <x:v>7069075.5450902805</x:v>
      </x:c>
      <x:c r="I42" s="31" t="n">
        <x:f>MAX(0,-G42)</x:f>
        <x:v>584819.178493533</x:v>
      </x:c>
      <x:c r="J42" s="44" t="n">
        <x:f>IFERROR(H42/AVERAGE(I40:I42),0)</x:f>
        <x:v>12.26048116275808</x:v>
      </x:c>
      <x:c r="K42" s="30"/>
      <x:c r="L42" s="30"/>
    </x:row>
    <x:row r="43">
      <x:c r="A43" s="32" t="n">
        <x:f>'Actuals Data'!A40</x:f>
        <x:v>46082</x:v>
      </x:c>
      <x:c r="B43" s="31" t="n">
        <x:f>'Actuals Data'!N40</x:f>
        <x:v>7069075.5450902805</x:v>
      </x:c>
      <x:c r="C43" s="31" t="n">
        <x:f>'Actuals Data'!J40</x:f>
        <x:v>397181.56347267516</x:v>
      </x:c>
      <x:c r="D43" s="31" t="n">
        <x:f>SUM('Actuals Data'!K40:M40)</x:f>
        <x:v>983799.3295675897</x:v>
      </x:c>
      <x:c r="E43" s="31" t="n">
        <x:f>'Actuals Data'!O40</x:f>
        <x:v>15000</x:v>
      </x:c>
      <x:c r="F43" s="31" t="n">
        <x:f>'Actuals Data'!P40</x:f>
        <x:v>0</x:v>
      </x:c>
      <x:c r="G43" s="31" t="n">
        <x:f>C43-D43-E43+F43</x:f>
        <x:v>-601617.7660949145</x:v>
      </x:c>
      <x:c r="H43" s="31" t="n">
        <x:f>B43+G43</x:f>
        <x:v>6467457.778995366</x:v>
      </x:c>
      <x:c r="I43" s="31" t="n">
        <x:f>MAX(0,-G43)</x:f>
        <x:v>601617.7660949145</x:v>
      </x:c>
      <x:c r="J43" s="44" t="n">
        <x:f>IFERROR(H43/AVERAGE(I41:I43),0)</x:f>
        <x:v>10.907956370796857</x:v>
      </x:c>
      <x:c r="K43" s="30"/>
      <x:c r="L43" s="30"/>
    </x:row>
    <x:row r="44">
      <x:c r="A44" s="32" t="n">
        <x:f>'Actuals Data'!A41</x:f>
        <x:v>46113</x:v>
      </x:c>
      <x:c r="B44" s="31" t="n">
        <x:f>'Actuals Data'!N41</x:f>
        <x:v>6467457.778995366</x:v>
      </x:c>
      <x:c r="C44" s="31" t="n">
        <x:f>'Actuals Data'!J41</x:f>
        <x:v>410448.3751280091</x:v>
      </x:c>
      <x:c r="D44" s="31" t="n">
        <x:f>SUM('Actuals Data'!K41:M41)</x:f>
        <x:v>999495.9210327449</x:v>
      </x:c>
      <x:c r="E44" s="31" t="n">
        <x:f>'Actuals Data'!O41</x:f>
        <x:v>15000</x:v>
      </x:c>
      <x:c r="F44" s="31" t="n">
        <x:f>'Actuals Data'!P41</x:f>
        <x:v>0</x:v>
      </x:c>
      <x:c r="G44" s="31" t="n">
        <x:f>C44-D44-E44+F44</x:f>
        <x:v>-604047.5459047358</x:v>
      </x:c>
      <x:c r="H44" s="31" t="n">
        <x:f>B44+G44</x:f>
        <x:v>5863410.23309063</x:v>
      </x:c>
      <x:c r="I44" s="31" t="n">
        <x:f>MAX(0,-G44)</x:f>
        <x:v>604047.5459047358</x:v>
      </x:c>
      <x:c r="J44" s="44" t="n">
        <x:f>IFERROR(H44/AVERAGE(I42:I44),0)</x:f>
        <x:v>9.824285433730129</x:v>
      </x:c>
      <x:c r="K44" s="30"/>
      <x:c r="L44" s="30"/>
    </x:row>
    <x:row r="45">
      <x:c r="A45" s="32" t="n">
        <x:f>'Actuals Data'!A42</x:f>
        <x:v>46143</x:v>
      </x:c>
      <x:c r="B45" s="31" t="n">
        <x:f>'Actuals Data'!N42</x:f>
        <x:v>5863410.23309063</x:v>
      </x:c>
      <x:c r="C45" s="31" t="n">
        <x:f>'Actuals Data'!J42</x:f>
        <x:v>420574.9052752154</x:v>
      </x:c>
      <x:c r="D45" s="31" t="n">
        <x:f>SUM('Actuals Data'!K42:M42)</x:f>
        <x:v>1026389.9749567251</x:v>
      </x:c>
      <x:c r="E45" s="31" t="n">
        <x:f>'Actuals Data'!O42</x:f>
        <x:v>15000</x:v>
      </x:c>
      <x:c r="F45" s="31" t="n">
        <x:f>'Actuals Data'!P42</x:f>
        <x:v>0</x:v>
      </x:c>
      <x:c r="G45" s="31" t="n">
        <x:f>C45-D45-E45+F45</x:f>
        <x:v>-620815.0696815097</x:v>
      </x:c>
      <x:c r="H45" s="31" t="n">
        <x:f>B45+G45</x:f>
        <x:v>5242595.16340912</x:v>
      </x:c>
      <x:c r="I45" s="31" t="n">
        <x:f>MAX(0,-G45)</x:f>
        <x:v>620815.0696815097</x:v>
      </x:c>
      <x:c r="J45" s="44" t="n">
        <x:f>IFERROR(H45/AVERAGE(I43:I45),0)</x:f>
        <x:v>8.610979700614646</x:v>
      </x:c>
      <x:c r="K45" s="30"/>
      <x:c r="L45" s="30"/>
    </x:row>
    <x:row r="46">
      <x:c r="A46" s="32" t="n">
        <x:f>'Actuals Data'!A43</x:f>
        <x:v>46174</x:v>
      </x:c>
      <x:c r="B46" s="31" t="n">
        <x:f>'Actuals Data'!N43</x:f>
        <x:v>5242595.16340912</x:v>
      </x:c>
      <x:c r="C46" s="31" t="n">
        <x:f>'Actuals Data'!J43</x:f>
        <x:v>430357.31600325066</x:v>
      </x:c>
      <x:c r="D46" s="31" t="n">
        <x:f>SUM('Actuals Data'!K43:M43)</x:f>
        <x:v>1043569.1467072844</x:v>
      </x:c>
      <x:c r="E46" s="31" t="n">
        <x:f>'Actuals Data'!O43</x:f>
        <x:v>15000</x:v>
      </x:c>
      <x:c r="F46" s="31" t="n">
        <x:f>'Actuals Data'!P43</x:f>
        <x:v>0</x:v>
      </x:c>
      <x:c r="G46" s="31" t="n">
        <x:f>C46-D46-E46+F46</x:f>
        <x:v>-628211.8307040337</x:v>
      </x:c>
      <x:c r="H46" s="31" t="n">
        <x:f>B46+G46</x:f>
        <x:v>4614383.332705087</x:v>
      </x:c>
      <x:c r="I46" s="31" t="n">
        <x:f>MAX(0,-G46)</x:f>
        <x:v>628211.8307040337</x:v>
      </x:c>
      <x:c r="J46" s="44" t="n">
        <x:f>IFERROR(H46/AVERAGE(I44:I46),0)</x:f>
        <x:v>7.470369053886769</x:v>
      </x:c>
      <x:c r="K46" s="30"/>
      <x:c r="L46" s="30"/>
    </x:row>
    <x:row r="47">
      <x:c r="A47" s="32" t="n">
        <x:f>'Actuals Data'!A44</x:f>
        <x:v>46204</x:v>
      </x:c>
      <x:c r="B47" s="31" t="n">
        <x:f>'Actuals Data'!N44</x:f>
        <x:v>4614383.332705087</x:v>
      </x:c>
      <x:c r="C47" s="31" t="n">
        <x:f>'Actuals Data'!J44</x:f>
        <x:v>440593.60922008194</x:v>
      </x:c>
      <x:c r="D47" s="31" t="n">
        <x:f>SUM('Actuals Data'!K44:M44)</x:f>
        <x:v>1046908.847981602</x:v>
      </x:c>
      <x:c r="E47" s="31" t="n">
        <x:f>'Actuals Data'!O44</x:f>
        <x:v>45000</x:v>
      </x:c>
      <x:c r="F47" s="31" t="n">
        <x:f>'Actuals Data'!P44</x:f>
        <x:v>0</x:v>
      </x:c>
      <x:c r="G47" s="31" t="n">
        <x:f>C47-D47-E47+F47</x:f>
        <x:v>-651315.23876152</x:v>
      </x:c>
      <x:c r="H47" s="31" t="n">
        <x:f>B47+G47</x:f>
        <x:v>3963068.093943567</x:v>
      </x:c>
      <x:c r="I47" s="31" t="n">
        <x:f>MAX(0,-G47)</x:f>
        <x:v>651315.23876152</x:v>
      </x:c>
      <x:c r="J47" s="44" t="n">
        <x:f>IFERROR(H47/AVERAGE(I45:I47),0)</x:f>
        <x:v>6.25634933673942</x:v>
      </x:c>
      <x:c r="K47" s="30"/>
      <x:c r="L47" s="30"/>
    </x:row>
    <x:row r="48">
      <x:c r="A48" s="32" t="n">
        <x:f>'Actuals Data'!A45</x:f>
        <x:v>46235</x:v>
      </x:c>
      <x:c r="B48" s="31" t="n">
        <x:f>'Actuals Data'!N45</x:f>
        <x:v>3963068.093943567</x:v>
      </x:c>
      <x:c r="C48" s="31" t="n">
        <x:f>'Actuals Data'!J45</x:f>
        <x:v>449936.96766961715</x:v>
      </x:c>
      <x:c r="D48" s="31" t="n">
        <x:f>SUM('Actuals Data'!K45:M45)</x:f>
        <x:v>1050383.6857710648</x:v>
      </x:c>
      <x:c r="E48" s="31" t="n">
        <x:f>'Actuals Data'!O45</x:f>
        <x:v>15000</x:v>
      </x:c>
      <x:c r="F48" s="31" t="n">
        <x:f>'Actuals Data'!P45</x:f>
        <x:v>0</x:v>
      </x:c>
      <x:c r="G48" s="31" t="n">
        <x:f>C48-D48-E48+F48</x:f>
        <x:v>-615446.7181014477</x:v>
      </x:c>
      <x:c r="H48" s="31" t="n">
        <x:f>B48+G48</x:f>
        <x:v>3347621.3758421196</x:v>
      </x:c>
      <x:c r="I48" s="31" t="n">
        <x:f>MAX(0,-G48)</x:f>
        <x:v>615446.7181014477</x:v>
      </x:c>
      <x:c r="J48" s="44" t="n">
        <x:f>IFERROR(H48/AVERAGE(I46:I48),0)</x:f>
        <x:v>5.29973775543387</x:v>
      </x:c>
      <x:c r="K48" s="30"/>
      <x:c r="L48" s="30"/>
    </x:row>
    <x:row r="49">
      <x:c r="A49" s="32" t="n">
        <x:f>'Actuals Data'!A46</x:f>
        <x:v>46266</x:v>
      </x:c>
      <x:c r="B49" s="31" t="n">
        <x:f>'Actuals Data'!N46</x:f>
        <x:v>3347621.375842119</x:v>
      </x:c>
      <x:c r="C49" s="31" t="n">
        <x:f>'Actuals Data'!J46</x:f>
        <x:v>459060.7999799024</x:v>
      </x:c>
      <x:c r="D49" s="31" t="n">
        <x:f>SUM('Actuals Data'!K46:M46)</x:f>
        <x:v>1054591.2222630088</x:v>
      </x:c>
      <x:c r="E49" s="31" t="n">
        <x:f>'Actuals Data'!O46</x:f>
        <x:v>15000</x:v>
      </x:c>
      <x:c r="F49" s="31" t="n">
        <x:f>'Actuals Data'!P46</x:f>
        <x:v>0</x:v>
      </x:c>
      <x:c r="G49" s="31" t="n">
        <x:f>C49-D49-E49+F49</x:f>
        <x:v>-610530.4222831065</x:v>
      </x:c>
      <x:c r="H49" s="31" t="n">
        <x:f>B49+G49</x:f>
        <x:v>2737090.9535590126</x:v>
      </x:c>
      <x:c r="I49" s="31" t="n">
        <x:f>MAX(0,-G49)</x:f>
        <x:v>610530.4222831065</x:v>
      </x:c>
      <x:c r="J49" s="44" t="n">
        <x:f>IFERROR(H49/AVERAGE(I47:I49),0)</x:f>
        <x:v>4.373997866231209</x:v>
      </x:c>
      <x:c r="K49" s="30"/>
      <x:c r="L49" s="30"/>
    </x:row>
    <x:row r="50">
      <x:c r="A50" s="32" t="n">
        <x:f>'Actuals Data'!A47</x:f>
        <x:v>46296</x:v>
      </x:c>
      <x:c r="B50" s="31" t="n">
        <x:f>'Actuals Data'!N47</x:f>
        <x:v>2737090.9535590126</x:v>
      </x:c>
      <x:c r="C50" s="31" t="n">
        <x:f>'Actuals Data'!J47</x:f>
        <x:v>468184.63229018764</x:v>
      </x:c>
      <x:c r="D50" s="31" t="n">
        <x:f>SUM('Actuals Data'!K47:M47)</x:f>
        <x:v>1059782.7985200041</x:v>
      </x:c>
      <x:c r="E50" s="31" t="n">
        <x:f>'Actuals Data'!O47</x:f>
        <x:v>15000</x:v>
      </x:c>
      <x:c r="F50" s="31" t="n">
        <x:f>'Actuals Data'!P47</x:f>
        <x:v>0</x:v>
      </x:c>
      <x:c r="G50" s="31" t="n">
        <x:f>C50-D50-E50+F50</x:f>
        <x:v>-606598.1662298165</x:v>
      </x:c>
      <x:c r="H50" s="31" t="n">
        <x:f>B50+G50</x:f>
        <x:v>2130492.787329196</x:v>
      </x:c>
      <x:c r="I50" s="31" t="n">
        <x:f>MAX(0,-G50)</x:f>
        <x:v>606598.1662298165</x:v>
      </x:c>
      <x:c r="J50" s="44" t="n">
        <x:f>IFERROR(H50/AVERAGE(I48:I50),0)</x:f>
        <x:v>3.4877029822014016</x:v>
      </x:c>
      <x:c r="K50" s="30"/>
      <x:c r="L50" s="30"/>
    </x:row>
    <x:row r="51">
      <x:c r="A51" s="32" t="n">
        <x:f>'Actuals Data'!A48</x:f>
        <x:v>46327</x:v>
      </x:c>
      <x:c r="B51" s="31" t="n">
        <x:f>'Actuals Data'!N48</x:f>
        <x:v>2130492.787329196</x:v>
      </x:c>
      <x:c r="C51" s="31" t="n">
        <x:f>'Actuals Data'!J48</x:f>
        <x:v>477809.81351893337</x:v>
      </x:c>
      <x:c r="D51" s="31" t="n">
        <x:f>SUM('Actuals Data'!K48:M48)</x:f>
        <x:v>1066030.9219811885</x:v>
      </x:c>
      <x:c r="E51" s="31" t="n">
        <x:f>'Actuals Data'!O48</x:f>
        <x:v>15000</x:v>
      </x:c>
      <x:c r="F51" s="31" t="n">
        <x:f>'Actuals Data'!P48</x:f>
        <x:v>0</x:v>
      </x:c>
      <x:c r="G51" s="31" t="n">
        <x:f>C51-D51-E51+F51</x:f>
        <x:v>-603221.1084622551</x:v>
      </x:c>
      <x:c r="H51" s="31" t="n">
        <x:f>B51+G51</x:f>
        <x:v>1527271.678866941</x:v>
      </x:c>
      <x:c r="I51" s="31" t="n">
        <x:f>MAX(0,-G51)</x:f>
        <x:v>603221.1084622551</x:v>
      </x:c>
      <x:c r="J51" s="44" t="n">
        <x:f>IFERROR(H51/AVERAGE(I49:I51),0)</x:f>
        <x:v>2.5169971704965763</x:v>
      </x:c>
      <x:c r="K51" s="30"/>
      <x:c r="L51" s="30"/>
    </x:row>
    <x:row r="52">
      <x:c r="A52" s="32" t="n">
        <x:f>'Actuals Data'!A49</x:f>
        <x:v>46357</x:v>
      </x:c>
      <x:c r="B52" s="31" t="n">
        <x:f>'Actuals Data'!N49</x:f>
        <x:v>1527271.678866941</x:v>
      </x:c>
      <x:c r="C52" s="31" t="n">
        <x:f>'Actuals Data'!J49</x:f>
        <x:v>487936.34366613964</x:v>
      </x:c>
      <x:c r="D52" s="31" t="n">
        <x:f>SUM('Actuals Data'!K49:M49)</x:f>
        <x:v>1073010.7519632333</x:v>
      </x:c>
      <x:c r="E52" s="31" t="n">
        <x:f>'Actuals Data'!O49</x:f>
        <x:v>15000</x:v>
      </x:c>
      <x:c r="F52" s="31" t="n">
        <x:f>'Actuals Data'!P49</x:f>
        <x:v>0</x:v>
      </x:c>
      <x:c r="G52" s="31" t="n">
        <x:f>C52-D52-E52+F52</x:f>
        <x:v>-600074.4082970937</x:v>
      </x:c>
      <x:c r="H52" s="31" t="n">
        <x:f>B52+G52</x:f>
        <x:v>927197.2705698473</x:v>
      </x:c>
      <x:c r="I52" s="31" t="n">
        <x:f>MAX(0,-G52)</x:f>
        <x:v>600074.4082970937</x:v>
      </x:c>
      <x:c r="J52" s="44" t="n">
        <x:f>IFERROR(H52/AVERAGE(I50:I52),0)</x:f>
        <x:v>1.5368813305738214</x:v>
      </x:c>
      <x:c r="K52" s="30"/>
      <x:c r="L52" s="30"/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23" t="str">
        <x:v>Scenario comparison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" customHeight="1">
      <x:c r="A2" s="29" t="str">
        <x:v>Six-month outlook from July to December 2026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26" t="str">
        <x:v>Scenario</x:v>
      </x:c>
      <x:c r="B4" s="26" t="str">
        <x:v>Growth</x:v>
      </x:c>
      <x:c r="C4" s="26" t="str">
        <x:v>Churn</x:v>
      </x:c>
      <x:c r="D4" s="26" t="str">
        <x:v>Price</x:v>
      </x:c>
      <x:c r="E4" s="26" t="str">
        <x:v>Hiring</x:v>
      </x:c>
      <x:c r="F4" s="26" t="str">
        <x:v>Marketing</x:v>
      </x:c>
      <x:c r="G4" s="26" t="str">
        <x:v>Cloud cost</x:v>
      </x:c>
      <x:c r="H4" s="26" t="str">
        <x:v>Dec-26 ending cash</x:v>
      </x:c>
      <x:c r="I4" s="30"/>
      <x:c r="J4" s="30"/>
      <x:c r="K4" s="30"/>
      <x:c r="L4" s="30"/>
    </x:row>
    <x:row r="5">
      <x:c r="A5" s="30" t="str">
        <x:v>Base</x:v>
      </x:c>
      <x:c r="B5" s="41" t="n">
        <x:v>0.045</x:v>
      </x:c>
      <x:c r="C5" s="41" t="n">
        <x:v>0.018</x:v>
      </x:c>
      <x:c r="D5" s="42" t="n">
        <x:v>1</x:v>
      </x:c>
      <x:c r="E5" s="42" t="n">
        <x:v>1</x:v>
      </x:c>
      <x:c r="F5" s="42" t="n">
        <x:v>1</x:v>
      </x:c>
      <x:c r="G5" s="42" t="n">
        <x:v>1</x:v>
      </x:c>
      <x:c r="H5" s="31" t="n">
        <x:f>'Cash Flow'!H46 + SUM('Cash Flow'!G47:G52) + ('Revenue Model'!F46*6*(B5-C5)*D5) - (SUM('Headcount'!H215:H240)*(E5-1)) - (SUMIFS('Expense Model'!E:E,'Expense Model'!B:B,"Marketing")*(F5-1)) - (SUMIFS('Expense Model'!E:E,'Expense Model'!B:B,"Cloud &amp; API")*(G5-1))</x:f>
        <x:v>996915.1557623745</x:v>
      </x:c>
      <x:c r="I5" s="30"/>
      <x:c r="J5" s="30"/>
      <x:c r="K5" s="30"/>
      <x:c r="L5" s="30"/>
    </x:row>
    <x:row r="6">
      <x:c r="A6" s="30" t="str">
        <x:v>Upside</x:v>
      </x:c>
      <x:c r="B6" s="41" t="n">
        <x:v>0.06</x:v>
      </x:c>
      <x:c r="C6" s="41" t="n">
        <x:v>0.014</x:v>
      </x:c>
      <x:c r="D6" s="42" t="n">
        <x:v>1.04</x:v>
      </x:c>
      <x:c r="E6" s="42" t="n">
        <x:v>1.1</x:v>
      </x:c>
      <x:c r="F6" s="42" t="n">
        <x:v>1.12</x:v>
      </x:c>
      <x:c r="G6" s="42" t="n">
        <x:v>0.95</x:v>
      </x:c>
      <x:c r="H6" s="31" t="n">
        <x:f>'Cash Flow'!H46 + SUM('Cash Flow'!G47:G52) + ('Revenue Model'!F46*6*(B6-C6)*D6) - (SUM('Headcount'!H215:H240)*(E6-1)) - (SUMIFS('Expense Model'!E:E,'Expense Model'!B:B,"Marketing")*(F6-1)) - (SUMIFS('Expense Model'!E:E,'Expense Model'!B:B,"Cloud &amp; API")*(G6-1))</x:f>
        <x:v>69090.32455542001</x:v>
      </x:c>
      <x:c r="I6" s="30"/>
      <x:c r="J6" s="30"/>
      <x:c r="K6" s="30"/>
      <x:c r="L6" s="30"/>
    </x:row>
    <x:row r="7">
      <x:c r="A7" s="30" t="str">
        <x:v>Downside</x:v>
      </x:c>
      <x:c r="B7" s="41" t="n">
        <x:v>0.025</x:v>
      </x:c>
      <x:c r="C7" s="41" t="n">
        <x:v>0.026</x:v>
      </x:c>
      <x:c r="D7" s="42" t="n">
        <x:v>0.97</x:v>
      </x:c>
      <x:c r="E7" s="42" t="n">
        <x:v>0.75</x:v>
      </x:c>
      <x:c r="F7" s="42" t="n">
        <x:v>0.82</x:v>
      </x:c>
      <x:c r="G7" s="42" t="n">
        <x:v>1.12</x:v>
      </x:c>
      <x:c r="H7" s="31" t="n">
        <x:f>'Cash Flow'!H46 + SUM('Cash Flow'!G47:G52) + ('Revenue Model'!F46*6*(B7-C7)*D7) - (SUM('Headcount'!H215:H240)*(E7-1)) - (SUMIFS('Expense Model'!E:E,'Expense Model'!B:B,"Marketing")*(F7-1)) - (SUMIFS('Expense Model'!E:E,'Expense Model'!B:B,"Cloud &amp; API")*(G7-1))</x:f>
        <x:v>2684860.232390709</x:v>
      </x:c>
      <x:c r="I7" s="30"/>
      <x:c r="J7" s="30"/>
      <x:c r="K7" s="30"/>
      <x:c r="L7" s="30"/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23" t="str">
        <x:v>MRR sensitivity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" customHeight="1">
      <x:c r="A2" s="29" t="str">
        <x:v>December 2026 MRR response to monthly growth and churn assumptions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>
      <x:c r="A5" s="26" t="str">
        <x:v>Growth / churn</x:v>
      </x:c>
      <x:c r="B5" s="45" t="n">
        <x:v>0.01</x:v>
      </x:c>
      <x:c r="C5" s="45" t="n">
        <x:v>0.015</x:v>
      </x:c>
      <x:c r="D5" s="45" t="n">
        <x:v>0.02</x:v>
      </x:c>
      <x:c r="E5" s="45" t="n">
        <x:v>0.025</x:v>
      </x:c>
      <x:c r="F5" s="45" t="n">
        <x:v>0.03</x:v>
      </x:c>
      <x:c r="G5" s="30"/>
      <x:c r="H5" s="30"/>
      <x:c r="I5" s="30"/>
      <x:c r="J5" s="30"/>
      <x:c r="K5" s="30"/>
      <x:c r="L5" s="30"/>
    </x:row>
    <x:row r="6">
      <x:c r="A6" s="45" t="n">
        <x:v>0.02</x:v>
      </x:c>
      <x:c r="B6" s="31" t="n">
        <x:f>'Revenue Model'!F46*(1+$A6-B$5)^6</x:f>
        <x:v>456832.9628960128</x:v>
      </x:c>
      <x:c r="C6" s="31" t="n">
        <x:f>'Revenue Model'!F46*(1+$A6-C$5)^6</x:f>
        <x:v>443430.4994128155</x:v>
      </x:c>
      <x:c r="D6" s="31" t="n">
        <x:f>'Revenue Model'!F46*(1+$A6-D$5)^6</x:f>
        <x:v>430357.31600325066</x:v>
      </x:c>
      <x:c r="E6" s="31" t="n">
        <x:f>'Revenue Model'!F46*(1+$A6-E$5)^6</x:f>
        <x:v>417606.9086499017</x:v>
      </x:c>
      <x:c r="F6" s="31" t="n">
        <x:f>'Revenue Model'!F46*(1+$A6-F$5)^6</x:f>
        <x:v>405172.8701665538</x:v>
      </x:c>
      <x:c r="G6" s="30"/>
      <x:c r="H6" s="30"/>
      <x:c r="I6" s="30"/>
      <x:c r="J6" s="30"/>
      <x:c r="K6" s="30"/>
      <x:c r="L6" s="30"/>
    </x:row>
    <x:row r="7">
      <x:c r="A7" s="45" t="n">
        <x:v>0.03</x:v>
      </x:c>
      <x:c r="B7" s="31" t="n">
        <x:f>'Revenue Model'!F46*(1+$A7-B$5)^6</x:f>
        <x:v>484652.2361381825</x:v>
      </x:c>
      <x:c r="C7" s="31" t="n">
        <x:f>'Revenue Model'!F46*(1+$A7-C$5)^6</x:f>
        <x:v>470571.30827218917</x:v>
      </x:c>
      <x:c r="D7" s="31" t="n">
        <x:f>'Revenue Model'!F46*(1+$A7-D$5)^6</x:f>
        <x:v>456832.9628960128</x:v>
      </x:c>
      <x:c r="E7" s="31" t="n">
        <x:f>'Revenue Model'!F46*(1+$A7-E$5)^6</x:f>
        <x:v>443430.4994128155</x:v>
      </x:c>
      <x:c r="F7" s="31" t="n">
        <x:f>'Revenue Model'!F46*(1+$A7-F$5)^6</x:f>
        <x:v>430357.31600325066</x:v>
      </x:c>
      <x:c r="G7" s="30"/>
      <x:c r="H7" s="30"/>
      <x:c r="I7" s="30"/>
      <x:c r="J7" s="30"/>
      <x:c r="K7" s="30"/>
      <x:c r="L7" s="30"/>
    </x:row>
    <x:row r="8">
      <x:c r="A8" s="45" t="n">
        <x:v>0.04</x:v>
      </x:c>
      <x:c r="B8" s="31" t="n">
        <x:f>'Revenue Model'!F46*(1+$A8-B$5)^6</x:f>
        <x:v>513869.14150173805</x:v>
      </x:c>
      <x:c r="C8" s="31" t="n">
        <x:f>'Revenue Model'!F46*(1+$A8-C$5)^6</x:f>
        <x:v>499082.54684873525</x:v>
      </x:c>
      <x:c r="D8" s="31" t="n">
        <x:f>'Revenue Model'!F46*(1+$A8-D$5)^6</x:f>
        <x:v>484652.2361381825</x:v>
      </x:c>
      <x:c r="E8" s="31" t="n">
        <x:f>'Revenue Model'!F46*(1+$A8-E$5)^6</x:f>
        <x:v>470571.30827218917</x:v>
      </x:c>
      <x:c r="F8" s="31" t="n">
        <x:f>'Revenue Model'!F46*(1+$A8-F$5)^6</x:f>
        <x:v>456832.9628960128</x:v>
      </x:c>
      <x:c r="G8" s="30"/>
      <x:c r="H8" s="30"/>
      <x:c r="I8" s="30"/>
      <x:c r="J8" s="30"/>
      <x:c r="K8" s="30"/>
      <x:c r="L8" s="30"/>
    </x:row>
    <x:row r="9">
      <x:c r="A9" s="45" t="n">
        <x:v>0.05</x:v>
      </x:c>
      <x:c r="B9" s="31" t="n">
        <x:f>'Revenue Model'!F46*(1+$A9-B$5)^6</x:f>
        <x:v>544539.2966878061</x:v>
      </x:c>
      <x:c r="C9" s="31" t="n">
        <x:f>'Revenue Model'!F46*(1+$A9-C$5)^6</x:f>
        <x:v>529019.0229283262</x:v>
      </x:c>
      <x:c r="D9" s="31" t="n">
        <x:f>'Revenue Model'!F46*(1+$A9-D$5)^6</x:f>
        <x:v>513869.14150173805</x:v>
      </x:c>
      <x:c r="E9" s="31" t="n">
        <x:f>'Revenue Model'!F46*(1+$A9-E$5)^6</x:f>
        <x:v>499082.54684873525</x:v>
      </x:c>
      <x:c r="F9" s="31" t="n">
        <x:f>'Revenue Model'!F46*(1+$A9-F$5)^6</x:f>
        <x:v>484652.2361381825</x:v>
      </x:c>
      <x:c r="G9" s="30"/>
      <x:c r="H9" s="30"/>
      <x:c r="I9" s="30"/>
      <x:c r="J9" s="30"/>
      <x:c r="K9" s="30"/>
      <x:c r="L9" s="30"/>
    </x:row>
    <x:row r="10">
      <x:c r="A10" s="45" t="n">
        <x:v>0.06</x:v>
      </x:c>
      <x:c r="B10" s="31" t="n">
        <x:f>'Revenue Model'!F46*(1+$A10-B$5)^6</x:f>
        <x:v>576719.963087032</x:v>
      </x:c>
      <x:c r="C10" s="31" t="n">
        <x:f>'Revenue Model'!F46*(1+$A10-C$5)^6</x:f>
        <x:v>560437.1720674355</x:v>
      </x:c>
      <x:c r="D10" s="31" t="n">
        <x:f>'Revenue Model'!F46*(1+$A10-D$5)^6</x:f>
        <x:v>544539.2966878061</x:v>
      </x:c>
      <x:c r="E10" s="31" t="n">
        <x:f>'Revenue Model'!F46*(1+$A10-E$5)^6</x:f>
        <x:v>529019.0229283262</x:v>
      </x:c>
      <x:c r="F10" s="31" t="n">
        <x:f>'Revenue Model'!F46*(1+$A10-F$5)^6</x:f>
        <x:v>513869.14150173805</x:v>
      </x:c>
      <x:c r="G10" s="30"/>
      <x:c r="H10" s="30"/>
      <x:c r="I10" s="30"/>
      <x:c r="J10" s="30"/>
      <x:c r="K10" s="30"/>
      <x:c r="L10" s="30"/>
    </x:row>
  </x:sheetData>
  <x:mergeCells>
    <x:mergeCell ref="A1:L1"/>
    <x:mergeCell ref="A2:L2"/>
  </x:mergeCells>
  <x:conditionalFormatting sqref="B6:F1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13" hidden="0" customWidth="1"/>
    <x:col min="3" max="3" width="10.380000114440918" hidden="0" customWidth="1"/>
    <x:col min="4" max="4" width="12.130000114440918" hidden="0" customWidth="1"/>
    <x:col min="5" max="5" width="10.5" hidden="0" customWidth="1"/>
    <x:col min="6" max="6" width="12.380000114440918" hidden="0" customWidth="1"/>
    <x:col min="7" max="7" width="10.380000114440918" hidden="0" customWidth="1"/>
    <x:col min="8" max="8" width="11.380000114440918" hidden="0" customWidth="1"/>
    <x:col min="9" max="9" width="9.880000114440918" hidden="0" customWidth="1"/>
    <x:col min="10" max="10" width="13.75" hidden="0" customWidth="1"/>
    <x:col min="11" max="11" width="10.880000114440918" hidden="0" customWidth="1"/>
    <x:col min="12" max="12" width="12.880000114440918" hidden="0" customWidth="1"/>
    <x:col min="13" max="13" width="11.25" hidden="0" customWidth="1"/>
    <x:col min="14" max="14" width="10.630000114440918" hidden="0" customWidth="1"/>
    <x:col min="15" max="15" width="5.25" hidden="0" customWidth="1"/>
    <x:col min="16" max="16" width="7.5" hidden="0" customWidth="1"/>
    <x:col min="17" max="17" width="10.380000114440918" hidden="0" customWidth="1"/>
  </x:cols>
  <x:sheetData>
    <x:row r="1">
      <x:c r="A1" s="46" t="str">
        <x:v>month</x:v>
      </x:c>
      <x:c r="B1" s="26" t="str">
        <x:v>budget_revenue</x:v>
      </x:c>
      <x:c r="C1" s="26" t="str">
        <x:v>budget_cogs</x:v>
      </x:c>
      <x:c r="D1" s="26" t="str">
        <x:v>budget_payroll</x:v>
      </x:c>
      <x:c r="E1" s="26" t="str">
        <x:v>budget_opex</x:v>
      </x:c>
      <x:c r="F1" s="26" t="str">
        <x:v>actual_revenue</x:v>
      </x:c>
      <x:c r="G1" s="26" t="str">
        <x:v>actual_cogs</x:v>
      </x:c>
      <x:c r="H1" s="26" t="str">
        <x:v>actual_payroll</x:v>
      </x:c>
      <x:c r="I1" s="26" t="str">
        <x:v>actual_opex</x:v>
      </x:c>
      <x:c r="J1" s="26" t="str">
        <x:v>forecast_revenue</x:v>
      </x:c>
      <x:c r="K1" s="26" t="str">
        <x:v>forecast_cogs</x:v>
      </x:c>
      <x:c r="L1" s="26" t="str">
        <x:v>forecast_payroll</x:v>
      </x:c>
      <x:c r="M1" s="26" t="str">
        <x:v>forecast_opex</x:v>
      </x:c>
      <x:c r="N1" s="26" t="str">
        <x:v>starting_cash</x:v>
      </x:c>
      <x:c r="O1" s="26" t="str">
        <x:v>capex</x:v>
      </x:c>
      <x:c r="P1" s="26" t="str">
        <x:v>financing</x:v>
      </x:c>
      <x:c r="Q1" s="26" t="str">
        <x:v>ending_cash</x:v>
      </x:c>
    </x:row>
    <x:row r="2">
      <x:c r="A2" s="30" t="n">
        <x:v>44927</x:v>
      </x:c>
      <x:c r="B2" s="30" t="n">
        <x:v>126075.48682926831</x:v>
      </x:c>
      <x:c r="C2" s="30" t="n">
        <x:v>23954.342497560978</x:v>
      </x:c>
      <x:c r="D2" s="30" t="n">
        <x:v>26049.440000000002</x:v>
      </x:c>
      <x:c r="E2" s="30" t="n">
        <x:v>179861.15</x:v>
      </x:c>
      <x:c r="F2" s="30" t="n">
        <x:v>129227.37400000001</x:v>
      </x:c>
      <x:c r="G2" s="30" t="n">
        <x:v>25139.068437545437</x:v>
      </x:c>
      <x:c r="H2" s="30" t="n">
        <x:v>25538.666666666668</x:v>
      </x:c>
      <x:c r="I2" s="30" t="n">
        <x:v>192394.77</x:v>
      </x:c>
      <x:c r="J2" s="30" t="n">
        <x:v>129227.37400000001</x:v>
      </x:c>
      <x:c r="K2" s="30" t="n">
        <x:v>25070.110556000003</x:v>
      </x:c>
      <x:c r="L2" s="30" t="n">
        <x:v>25538.666666666668</x:v>
      </x:c>
      <x:c r="M2" s="30" t="n">
        <x:v>179861.15</x:v>
      </x:c>
      <x:c r="N2" s="30" t="n">
        <x:v>18000000</x:v>
      </x:c>
      <x:c r="O2" s="30" t="n">
        <x:v>45000</x:v>
      </x:c>
      <x:c r="P2" s="30" t="n">
        <x:v>0</x:v>
      </x:c>
      <x:c r="Q2" s="30" t="n">
        <x:v>17853757.446777333</x:v>
      </x:c>
    </x:row>
    <x:row r="3">
      <x:c r="A3" s="30" t="n">
        <x:v>44958</x:v>
      </x:c>
      <x:c r="B3" s="30" t="n">
        <x:v>129969.06536585366</x:v>
      </x:c>
      <x:c r="C3" s="30" t="n">
        <x:v>24694.122419512198</x:v>
      </x:c>
      <x:c r="D3" s="30" t="n">
        <x:v>26049.440000000002</x:v>
      </x:c>
      <x:c r="E3" s="30" t="n">
        <x:v>182300.1</x:v>
      </x:c>
      <x:c r="F3" s="30" t="n">
        <x:v>133218.292</x:v>
      </x:c>
      <x:c r="G3" s="30" t="n">
        <x:v>26235.80744369323</x:v>
      </x:c>
      <x:c r="H3" s="30" t="n">
        <x:v>25538.666666666668</x:v>
      </x:c>
      <x:c r="I3" s="30" t="n">
        <x:v>189729.39</x:v>
      </x:c>
      <x:c r="J3" s="30" t="n">
        <x:v>133218.292</x:v>
      </x:c>
      <x:c r="K3" s="30" t="n">
        <x:v>26234.438880966183</x:v>
      </x:c>
      <x:c r="L3" s="30" t="n">
        <x:v>25538.666666666668</x:v>
      </x:c>
      <x:c r="M3" s="30" t="n">
        <x:v>182300.1</x:v>
      </x:c>
      <x:c r="N3" s="30" t="n">
        <x:v>17853757.446777333</x:v>
      </x:c>
      <x:c r="O3" s="30" t="n">
        <x:v>15000</x:v>
      </x:c>
      <x:c r="P3" s="30" t="n">
        <x:v>0</x:v>
      </x:c>
      <x:c r="Q3" s="30" t="n">
        <x:v>17737902.5332297</x:v>
      </x:c>
    </x:row>
    <x:row r="4">
      <x:c r="A4" s="30" t="n">
        <x:v>44986</x:v>
      </x:c>
      <x:c r="B4" s="30" t="n">
        <x:v>134014.04682926828</x:v>
      </x:c>
      <x:c r="C4" s="30" t="n">
        <x:v>25462.668897560972</x:v>
      </x:c>
      <x:c r="D4" s="30" t="n">
        <x:v>51808.52</x:v>
      </x:c>
      <x:c r="E4" s="30" t="n">
        <x:v>184756.91</x:v>
      </x:c>
      <x:c r="F4" s="30" t="n">
        <x:v>137364.398</x:v>
      </x:c>
      <x:c r="G4" s="30" t="n">
        <x:v>26942.87426197609</x:v>
      </x:c>
      <x:c r="H4" s="30" t="n">
        <x:v>50792.666666666664</x:v>
      </x:c>
      <x:c r="I4" s="30" t="n">
        <x:v>202374.15000000002</x:v>
      </x:c>
      <x:c r="J4" s="30" t="n">
        <x:v>137364.398</x:v>
      </x:c>
      <x:c r="K4" s="30" t="n">
        <x:v>27198.150803999997</x:v>
      </x:c>
      <x:c r="L4" s="30" t="n">
        <x:v>50792.666666666664</x:v>
      </x:c>
      <x:c r="M4" s="30" t="n">
        <x:v>184756.91</x:v>
      </x:c>
      <x:c r="N4" s="30" t="n">
        <x:v>17737902.5332297</x:v>
      </x:c>
      <x:c r="O4" s="30" t="n">
        <x:v>15000</x:v>
      </x:c>
      <x:c r="P4" s="30" t="n">
        <x:v>0</x:v>
      </x:c>
      <x:c r="Q4" s="30" t="n">
        <x:v>17597519.203759033</x:v>
      </x:c>
    </x:row>
    <x:row r="5">
      <x:c r="A5" s="30" t="n">
        <x:v>45017</x:v>
      </x:c>
      <x:c r="B5" s="30" t="n">
        <x:v>138500.1873170732</x:v>
      </x:c>
      <x:c r="C5" s="30" t="n">
        <x:v>26315.035590243908</x:v>
      </x:c>
      <x:c r="D5" s="30" t="n">
        <x:v>78355.72</x:v>
      </x:c>
      <x:c r="E5" s="30" t="n">
        <x:v>187265.71</x:v>
      </x:c>
      <x:c r="F5" s="30" t="n">
        <x:v>141962.692</x:v>
      </x:c>
      <x:c r="G5" s="30" t="n">
        <x:v>27766.614897090363</x:v>
      </x:c>
      <x:c r="H5" s="30" t="n">
        <x:v>76819.33333333333</x:v>
      </x:c>
      <x:c r="I5" s="30" t="n">
        <x:v>195793.90999999997</x:v>
      </x:c>
      <x:c r="J5" s="30" t="n">
        <x:v>141962.692</x:v>
      </x:c>
      <x:c r="K5" s="30" t="n">
        <x:v>27956.45786129301</x:v>
      </x:c>
      <x:c r="L5" s="30" t="n">
        <x:v>76819.33333333333</x:v>
      </x:c>
      <x:c r="M5" s="30" t="n">
        <x:v>187265.71</x:v>
      </x:c>
      <x:c r="N5" s="30" t="n">
        <x:v>17597519.203759033</x:v>
      </x:c>
      <x:c r="O5" s="30" t="n">
        <x:v>15000</x:v>
      </x:c>
      <x:c r="P5" s="30" t="n">
        <x:v>0</x:v>
      </x:c>
      <x:c r="Q5" s="30" t="n">
        <x:v>17432440.394564405</x:v>
      </x:c>
    </x:row>
    <x:row r="6">
      <x:c r="A6" s="30" t="n">
        <x:v>45047</x:v>
      </x:c>
      <x:c r="B6" s="30" t="n">
        <x:v>143082.9131707317</x:v>
      </x:c>
      <x:c r="C6" s="30" t="n">
        <x:v>27185.753502439027</x:v>
      </x:c>
      <x:c r="D6" s="30" t="n">
        <x:v>86952.44999999998</x:v>
      </x:c>
      <x:c r="E6" s="30" t="n">
        <x:v>189785.9</x:v>
      </x:c>
      <x:c r="F6" s="30" t="n">
        <x:v>146659.986</x:v>
      </x:c>
      <x:c r="G6" s="30" t="n">
        <x:v>28226.834987727336</x:v>
      </x:c>
      <x:c r="H6" s="30" t="n">
        <x:v>85247.49999999999</x:v>
      </x:c>
      <x:c r="I6" s="30" t="n">
        <x:v>194423.65</x:v>
      </x:c>
      <x:c r="J6" s="30" t="n">
        <x:v>146659.986</x:v>
      </x:c>
      <x:c r="K6" s="30" t="n">
        <x:v>28452.037284</x:v>
      </x:c>
      <x:c r="L6" s="30" t="n">
        <x:v>85247.49999999999</x:v>
      </x:c>
      <x:c r="M6" s="30" t="n">
        <x:v>189785.9</x:v>
      </x:c>
      <x:c r="N6" s="30" t="n">
        <x:v>17432440.394564405</x:v>
      </x:c>
      <x:c r="O6" s="30" t="n">
        <x:v>15000</x:v>
      </x:c>
      <x:c r="P6" s="30" t="n">
        <x:v>0</x:v>
      </x:c>
      <x:c r="Q6" s="30" t="n">
        <x:v>17260614.943280406</x:v>
      </x:c>
    </x:row>
    <x:row r="7">
      <x:c r="A7" s="30" t="n">
        <x:v>45078</x:v>
      </x:c>
      <x:c r="B7" s="30" t="n">
        <x:v>146438.7473170732</x:v>
      </x:c>
      <x:c r="C7" s="30" t="n">
        <x:v>27823.36199024391</x:v>
      </x:c>
      <x:c r="D7" s="30" t="n">
        <x:v>95943.23999999999</x:v>
      </x:c>
      <x:c r="E7" s="30" t="n">
        <x:v>192161.47</x:v>
      </x:c>
      <x:c r="F7" s="30" t="n">
        <x:v>150099.71600000001</x:v>
      </x:c>
      <x:c r="G7" s="30" t="n">
        <x:v>28137.588811688594</x:v>
      </x:c>
      <x:c r="H7" s="30" t="n">
        <x:v>94061.99999999999</x:v>
      </x:c>
      <x:c r="I7" s="30" t="n">
        <x:v>197565.34999999998</x:v>
      </x:c>
      <x:c r="J7" s="30" t="n">
        <x:v>150099.71600000001</x:v>
      </x:c>
      <x:c r="K7" s="30" t="n">
        <x:v>28518.946040000003</x:v>
      </x:c>
      <x:c r="L7" s="30" t="n">
        <x:v>94061.99999999999</x:v>
      </x:c>
      <x:c r="M7" s="30" t="n">
        <x:v>192161.47</x:v>
      </x:c>
      <x:c r="N7" s="30" t="n">
        <x:v>17260614.943280406</x:v>
      </x:c>
      <x:c r="O7" s="30" t="n">
        <x:v>15000</x:v>
      </x:c>
      <x:c r="P7" s="30" t="n">
        <x:v>0</x:v>
      </x:c>
      <x:c r="Q7" s="30" t="n">
        <x:v>17080972.243240405</x:v>
      </x:c>
    </x:row>
    <x:row r="8">
      <x:c r="A8" s="30" t="n">
        <x:v>45108</x:v>
      </x:c>
      <x:c r="B8" s="30" t="n">
        <x:v>151366.0468292683</x:v>
      </x:c>
      <x:c r="C8" s="30" t="n">
        <x:v>28759.548897560977</x:v>
      </x:c>
      <x:c r="D8" s="30" t="n">
        <x:v>107028.77</x:v>
      </x:c>
      <x:c r="E8" s="30" t="n">
        <x:v>194722.27000000002</x:v>
      </x:c>
      <x:c r="F8" s="30" t="n">
        <x:v>155150.198</x:v>
      </x:c>
      <x:c r="G8" s="30" t="n">
        <x:v>28697.49768090802</x:v>
      </x:c>
      <x:c r="H8" s="30" t="n">
        <x:v>104930.16666666667</x:v>
      </x:c>
      <x:c r="I8" s="30" t="n">
        <x:v>206306.94</x:v>
      </x:c>
      <x:c r="J8" s="30" t="n">
        <x:v>155150.198</x:v>
      </x:c>
      <x:c r="K8" s="30" t="n">
        <x:v>28857.936828</x:v>
      </x:c>
      <x:c r="L8" s="30" t="n">
        <x:v>104930.16666666667</x:v>
      </x:c>
      <x:c r="M8" s="30" t="n">
        <x:v>194722.27000000002</x:v>
      </x:c>
      <x:c r="N8" s="30" t="n">
        <x:v>17080972.243240405</x:v>
      </x:c>
      <x:c r="O8" s="30" t="n">
        <x:v>45000</x:v>
      </x:c>
      <x:c r="P8" s="30" t="n">
        <x:v>0</x:v>
      </x:c>
      <x:c r="Q8" s="30" t="n">
        <x:v>16862612.067745738</x:v>
      </x:c>
    </x:row>
    <x:row r="9">
      <x:c r="A9" s="30" t="n">
        <x:v>45139</x:v>
      </x:c>
      <x:c r="B9" s="30" t="n">
        <x:v>155507.6136585366</x:v>
      </x:c>
      <x:c r="C9" s="30" t="n">
        <x:v>29546.446595121954</x:v>
      </x:c>
      <x:c r="D9" s="30" t="n">
        <x:v>134260.39</x:v>
      </x:c>
      <x:c r="E9" s="30" t="n">
        <x:v>197190.46</x:v>
      </x:c>
      <x:c r="F9" s="30" t="n">
        <x:v>159395.304</x:v>
      </x:c>
      <x:c r="G9" s="30" t="n">
        <x:v>29096.198872689623</x:v>
      </x:c>
      <x:c r="H9" s="30" t="n">
        <x:v>131627.83333333334</x:v>
      </x:c>
      <x:c r="I9" s="30" t="n">
        <x:v>202968.04</x:v>
      </x:c>
      <x:c r="J9" s="30" t="n">
        <x:v>159395.304</x:v>
      </x:c>
      <x:c r="K9" s="30" t="n">
        <x:v>29180.784699936452</x:v>
      </x:c>
      <x:c r="L9" s="30" t="n">
        <x:v>131627.83333333334</x:v>
      </x:c>
      <x:c r="M9" s="30" t="n">
        <x:v>197190.46</x:v>
      </x:c>
      <x:c r="N9" s="30" t="n">
        <x:v>16862612.067745738</x:v>
      </x:c>
      <x:c r="O9" s="30" t="n">
        <x:v>15000</x:v>
      </x:c>
      <x:c r="P9" s="30" t="n">
        <x:v>0</x:v>
      </x:c>
      <x:c r="Q9" s="30" t="n">
        <x:v>16649008.293712469</x:v>
      </x:c>
    </x:row>
    <x:row r="10">
      <x:c r="A10" s="30" t="n">
        <x:v>45170</x:v>
      </x:c>
      <x:c r="B10" s="30" t="n">
        <x:v>158573.69170731708</x:v>
      </x:c>
      <x:c r="C10" s="30" t="n">
        <x:v>30129.001424390244</x:v>
      </x:c>
      <x:c r="D10" s="30" t="n">
        <x:v>191637.6</x:v>
      </x:c>
      <x:c r="E10" s="30" t="n">
        <x:v>199531.87</x:v>
      </x:c>
      <x:c r="F10" s="30" t="n">
        <x:v>162538.03399999999</x:v>
      </x:c>
      <x:c r="G10" s="30" t="n">
        <x:v>28745.25795203866</x:v>
      </x:c>
      <x:c r="H10" s="30" t="n">
        <x:v>187880</x:v>
      </x:c>
      <x:c r="I10" s="30" t="n">
        <x:v>201065.87</x:v>
      </x:c>
      <x:c r="J10" s="30" t="n">
        <x:v>162538.03399999999</x:v>
      </x:c>
      <x:c r="K10" s="30" t="n">
        <x:v>29581.922187999997</x:v>
      </x:c>
      <x:c r="L10" s="30" t="n">
        <x:v>187880</x:v>
      </x:c>
      <x:c r="M10" s="30" t="n">
        <x:v>199531.87</x:v>
      </x:c>
      <x:c r="N10" s="30" t="n">
        <x:v>16649008.293712469</x:v>
      </x:c>
      <x:c r="O10" s="30" t="n">
        <x:v>15000</x:v>
      </x:c>
      <x:c r="P10" s="30" t="n">
        <x:v>0</x:v>
      </x:c>
      <x:c r="Q10" s="30" t="n">
        <x:v>16379552.535524469</x:v>
      </x:c>
    </x:row>
    <x:row r="11">
      <x:c r="A11" s="30" t="n">
        <x:v>45200</x:v>
      </x:c>
      <x:c r="B11" s="30" t="n">
        <x:v>161984.34341463415</x:v>
      </x:c>
      <x:c r="C11" s="30" t="n">
        <x:v>30777.025248780486</x:v>
      </x:c>
      <x:c r="D11" s="30" t="n">
        <x:v>205958.57000000004</x:v>
      </x:c>
      <x:c r="E11" s="30" t="n">
        <x:v>201913.9</x:v>
      </x:c>
      <x:c r="F11" s="30" t="n">
        <x:v>166033.952</x:v>
      </x:c>
      <x:c r="G11" s="30" t="n">
        <x:v>30817.35790032903</x:v>
      </x:c>
      <x:c r="H11" s="30" t="n">
        <x:v>201920.1666666667</x:v>
      </x:c>
      <x:c r="I11" s="30" t="n">
        <x:v>211603.28000000003</x:v>
      </x:c>
      <x:c r="J11" s="30" t="n">
        <x:v>166033.952</x:v>
      </x:c>
      <x:c r="K11" s="30" t="n">
        <x:v>30396.13391741819</x:v>
      </x:c>
      <x:c r="L11" s="30" t="n">
        <x:v>201920.1666666667</x:v>
      </x:c>
      <x:c r="M11" s="30" t="n">
        <x:v>201913.9</x:v>
      </x:c>
      <x:c r="N11" s="30" t="n">
        <x:v>16379552.535524469</x:v>
      </x:c>
      <x:c r="O11" s="30" t="n">
        <x:v>15000</x:v>
      </x:c>
      <x:c r="P11" s="30" t="n">
        <x:v>0</x:v>
      </x:c>
      <x:c r="Q11" s="30" t="n">
        <x:v>16096356.286940385</x:v>
      </x:c>
    </x:row>
    <x:row r="12">
      <x:c r="A12" s="30" t="n">
        <x:v>45231</x:v>
      </x:c>
      <x:c r="B12" s="30" t="n">
        <x:v>166277.31317073174</x:v>
      </x:c>
      <x:c r="C12" s="30" t="n">
        <x:v>31592.68950243903</x:v>
      </x:c>
      <x:c r="D12" s="30" t="n">
        <x:v>219408.46000000002</x:v>
      </x:c>
      <x:c r="E12" s="30" t="n">
        <x:v>204399.94</x:v>
      </x:c>
      <x:c r="F12" s="30" t="n">
        <x:v>170434.246</x:v>
      </x:c>
      <x:c r="G12" s="30" t="n">
        <x:v>31873.22627343761</x:v>
      </x:c>
      <x:c r="H12" s="30" t="n">
        <x:v>215106.33333333334</x:v>
      </x:c>
      <x:c r="I12" s="30" t="n">
        <x:v>215453.89</x:v>
      </x:c>
      <x:c r="J12" s="30" t="n">
        <x:v>170434.246</x:v>
      </x:c>
      <x:c r="K12" s="30" t="n">
        <x:v>31700.769756</x:v>
      </x:c>
      <x:c r="L12" s="30" t="n">
        <x:v>215106.33333333334</x:v>
      </x:c>
      <x:c r="M12" s="30" t="n">
        <x:v>204399.94</x:v>
      </x:c>
      <x:c r="N12" s="30" t="n">
        <x:v>16096356.286940385</x:v>
      </x:c>
      <x:c r="O12" s="30" t="n">
        <x:v>15000</x:v>
      </x:c>
      <x:c r="P12" s="30" t="n">
        <x:v>0</x:v>
      </x:c>
      <x:c r="Q12" s="30" t="n">
        <x:v>15800583.489851052</x:v>
      </x:c>
    </x:row>
    <x:row r="13">
      <x:c r="A13" s="30" t="n">
        <x:v>45261</x:v>
      </x:c>
      <x:c r="B13" s="30" t="n">
        <x:v>170860.03902439028</x:v>
      </x:c>
      <x:c r="C13" s="30" t="n">
        <x:v>32463.407414634155</x:v>
      </x:c>
      <x:c r="D13" s="30" t="n">
        <x:v>219408.46000000002</x:v>
      </x:c>
      <x:c r="E13" s="30" t="n">
        <x:v>206920.13</x:v>
      </x:c>
      <x:c r="F13" s="30" t="n">
        <x:v>175131.54</x:v>
      </x:c>
      <x:c r="G13" s="30" t="n">
        <x:v>32882.099569894155</x:v>
      </x:c>
      <x:c r="H13" s="30" t="n">
        <x:v>215106.33333333334</x:v>
      </x:c>
      <x:c r="I13" s="30" t="n">
        <x:v>218920.39</x:v>
      </x:c>
      <x:c r="J13" s="30" t="n">
        <x:v>175131.54</x:v>
      </x:c>
      <x:c r="K13" s="30" t="n">
        <x:v>33274.992600000005</x:v>
      </x:c>
      <x:c r="L13" s="30" t="n">
        <x:v>215106.33333333334</x:v>
      </x:c>
      <x:c r="M13" s="30" t="n">
        <x:v>206920.13</x:v>
      </x:c>
      <x:c r="N13" s="30" t="n">
        <x:v>15800583.489851052</x:v>
      </x:c>
      <x:c r="O13" s="30" t="n">
        <x:v>15000</x:v>
      </x:c>
      <x:c r="P13" s="30" t="n">
        <x:v>0</x:v>
      </x:c>
      <x:c r="Q13" s="30" t="n">
        <x:v>15505413.573917719</x:v>
      </x:c>
    </x:row>
    <x:row r="14">
      <x:c r="A14" s="30" t="n">
        <x:v>45292</x:v>
      </x:c>
      <x:c r="B14" s="30" t="n">
        <x:v>181026.69620487807</x:v>
      </x:c>
      <x:c r="C14" s="30" t="n">
        <x:v>34395.07227892683</x:v>
      </x:c>
      <x:c r="D14" s="30" t="n">
        <x:v>233967.94</x:v>
      </x:c>
      <x:c r="E14" s="30" t="n">
        <x:v>210098.52000000002</x:v>
      </x:c>
      <x:c r="F14" s="30" t="n">
        <x:v>185552.36361</x:v>
      </x:c>
      <x:c r="G14" s="30" t="n">
        <x:v>35674.36360349156</x:v>
      </x:c>
      <x:c r="H14" s="30" t="n">
        <x:v>229380.33333333334</x:v>
      </x:c>
      <x:c r="I14" s="30" t="n">
        <x:v>227149.54000000004</x:v>
      </x:c>
      <x:c r="J14" s="30" t="n">
        <x:v>185552.36361</x:v>
      </x:c>
      <x:c r="K14" s="30" t="n">
        <x:v>35997.15854034</x:v>
      </x:c>
      <x:c r="L14" s="30" t="n">
        <x:v>229380.33333333334</x:v>
      </x:c>
      <x:c r="M14" s="30" t="n">
        <x:v>210098.52000000002</x:v>
      </x:c>
      <x:c r="N14" s="30" t="n">
        <x:v>15505413.573917719</x:v>
      </x:c>
      <x:c r="O14" s="30" t="n">
        <x:v>45000</x:v>
      </x:c>
      <x:c r="P14" s="30" t="n">
        <x:v>0</x:v>
      </x:c>
      <x:c r="Q14" s="30" t="n">
        <x:v>15170489.925654044</x:v>
      </x:c>
    </x:row>
    <x:row r="15">
      <x:c r="A15" s="30" t="n">
        <x:v>45323</x:v>
      </x:c>
      <x:c r="B15" s="30" t="n">
        <x:v>185669.8516097561</x:v>
      </x:c>
      <x:c r="C15" s="30" t="n">
        <x:v>35277.271805853656</x:v>
      </x:c>
      <x:c r="D15" s="30" t="n">
        <x:v>255340.51</x:v>
      </x:c>
      <x:c r="E15" s="30" t="n">
        <x:v>212625.83000000002</x:v>
      </x:c>
      <x:c r="F15" s="30" t="n">
        <x:v>190311.5979</x:v>
      </x:c>
      <x:c r="G15" s="30" t="n">
        <x:v>37214.34935992303</x:v>
      </x:c>
      <x:c r="H15" s="30" t="n">
        <x:v>250333.83333333334</x:v>
      </x:c>
      <x:c r="I15" s="30" t="n">
        <x:v>231262.74</x:v>
      </x:c>
      <x:c r="J15" s="30" t="n">
        <x:v>190311.5979</x:v>
      </x:c>
      <x:c r="K15" s="30" t="n">
        <x:v>37477.72102832967</x:v>
      </x:c>
      <x:c r="L15" s="30" t="n">
        <x:v>250333.83333333334</x:v>
      </x:c>
      <x:c r="M15" s="30" t="n">
        <x:v>212625.83000000002</x:v>
      </x:c>
      <x:c r="N15" s="30" t="n">
        <x:v>15170489.925654044</x:v>
      </x:c>
      <x:c r="O15" s="30" t="n">
        <x:v>15000</x:v>
      </x:c>
      <x:c r="P15" s="30" t="n">
        <x:v>0</x:v>
      </x:c>
      <x:c r="Q15" s="30" t="n">
        <x:v>14845364.139192382</x:v>
      </x:c>
    </x:row>
    <x:row r="16">
      <x:c r="A16" s="30" t="n">
        <x:v>45352</x:v>
      </x:c>
      <x:c r="B16" s="30" t="n">
        <x:v>191426.137902439</x:v>
      </x:c>
      <x:c r="C16" s="30" t="n">
        <x:v>36370.96620146341</x:v>
      </x:c>
      <x:c r="D16" s="30" t="n">
        <x:v>282520.27999999997</x:v>
      </x:c>
      <x:c r="E16" s="30" t="n">
        <x:v>215284.36</x:v>
      </x:c>
      <x:c r="F16" s="30" t="n">
        <x:v>196211.79134999996</x:v>
      </x:c>
      <x:c r="G16" s="30" t="n">
        <x:v>39598.54746943632</x:v>
      </x:c>
      <x:c r="H16" s="30" t="n">
        <x:v>276980.6666666666</x:v>
      </x:c>
      <x:c r="I16" s="30" t="n">
        <x:v>226317.15</x:v>
      </x:c>
      <x:c r="J16" s="30" t="n">
        <x:v>196211.79134999996</x:v>
      </x:c>
      <x:c r="K16" s="30" t="n">
        <x:v>38849.934687299996</x:v>
      </x:c>
      <x:c r="L16" s="30" t="n">
        <x:v>276980.6666666666</x:v>
      </x:c>
      <x:c r="M16" s="30" t="n">
        <x:v>215284.36</x:v>
      </x:c>
      <x:c r="N16" s="30" t="n">
        <x:v>14845364.139192382</x:v>
      </x:c>
      <x:c r="O16" s="30" t="n">
        <x:v>15000</x:v>
      </x:c>
      <x:c r="P16" s="30" t="n">
        <x:v>0</x:v>
      </x:c>
      <x:c r="Q16" s="30" t="n">
        <x:v>14495460.969188415</x:v>
      </x:c>
    </x:row>
    <x:row r="17">
      <x:c r="A17" s="30" t="n">
        <x:v>45383</x:v>
      </x:c>
      <x:c r="B17" s="30" t="n">
        <x:v>198372.71458536587</x:v>
      </x:c>
      <x:c r="C17" s="30" t="n">
        <x:v>37690.81577121952</x:v>
      </x:c>
      <x:c r="D17" s="30" t="n">
        <x:v>321428.51999999996</x:v>
      </x:c>
      <x:c r="E17" s="30" t="n">
        <x:v>218083.18</x:v>
      </x:c>
      <x:c r="F17" s="30" t="n">
        <x:v>203332.03245</x:v>
      </x:c>
      <x:c r="G17" s="30" t="n">
        <x:v>40863.809971661925</x:v>
      </x:c>
      <x:c r="H17" s="30" t="n">
        <x:v>315125.99999999994</x:v>
      </x:c>
      <x:c r="I17" s="30" t="n">
        <x:v>232065.56999999998</x:v>
      </x:c>
      <x:c r="J17" s="30" t="n">
        <x:v>203332.03245</x:v>
      </x:c>
      <x:c r="K17" s="30" t="n">
        <x:v>40041.81180953857</x:v>
      </x:c>
      <x:c r="L17" s="30" t="n">
        <x:v>315125.99999999994</x:v>
      </x:c>
      <x:c r="M17" s="30" t="n">
        <x:v>218083.18</x:v>
      </x:c>
      <x:c r="N17" s="30" t="n">
        <x:v>14495460.969188415</x:v>
      </x:c>
      <x:c r="O17" s="30" t="n">
        <x:v>15000</x:v>
      </x:c>
      <x:c r="P17" s="30" t="n">
        <x:v>0</x:v>
      </x:c>
      <x:c r="Q17" s="30" t="n">
        <x:v>14110542.009828877</x:v>
      </x:c>
    </x:row>
    <x:row r="18">
      <x:c r="A18" s="30" t="n">
        <x:v>45413</x:v>
      </x:c>
      <x:c r="B18" s="30" t="n">
        <x:v>204562.7941170732</x:v>
      </x:c>
      <x:c r="C18" s="30" t="n">
        <x:v>38866.93088224391</x:v>
      </x:c>
      <x:c r="D18" s="30" t="n">
        <x:v>333706.6</x:v>
      </x:c>
      <x:c r="E18" s="30" t="n">
        <x:v>220792.84</x:v>
      </x:c>
      <x:c r="F18" s="30" t="n">
        <x:v>209676.86397</x:v>
      </x:c>
      <x:c r="G18" s="30" t="n">
        <x:v>41465.41311844422</x:v>
      </x:c>
      <x:c r="H18" s="30" t="n">
        <x:v>327163.3333333333</x:v>
      </x:c>
      <x:c r="I18" s="30" t="n">
        <x:v>232938.48000000004</x:v>
      </x:c>
      <x:c r="J18" s="30" t="n">
        <x:v>209676.86397</x:v>
      </x:c>
      <x:c r="K18" s="30" t="n">
        <x:v>40677.311610180004</x:v>
      </x:c>
      <x:c r="L18" s="30" t="n">
        <x:v>327163.3333333333</x:v>
      </x:c>
      <x:c r="M18" s="30" t="n">
        <x:v>220792.84</x:v>
      </x:c>
      <x:c r="N18" s="30" t="n">
        <x:v>14110542.009828877</x:v>
      </x:c>
      <x:c r="O18" s="30" t="n">
        <x:v>15000</x:v>
      </x:c>
      <x:c r="P18" s="30" t="n">
        <x:v>0</x:v>
      </x:c>
      <x:c r="Q18" s="30" t="n">
        <x:v>13716585.388855364</x:v>
      </x:c>
    </x:row>
    <x:row r="19">
      <x:c r="A19" s="30" t="n">
        <x:v>45444</x:v>
      </x:c>
      <x:c r="B19" s="30" t="n">
        <x:v>211722.80900487804</x:v>
      </x:c>
      <x:c r="C19" s="30" t="n">
        <x:v>40227.33371092683</x:v>
      </x:c>
      <x:c r="D19" s="30" t="n">
        <x:v>344024.75</x:v>
      </x:c>
      <x:c r="E19" s="30" t="n">
        <x:v>223616.83000000002</x:v>
      </x:c>
      <x:c r="F19" s="30" t="n">
        <x:v>217015.87922999996</x:v>
      </x:c>
      <x:c r="G19" s="30" t="n">
        <x:v>41958.839938419434</x:v>
      </x:c>
      <x:c r="H19" s="30" t="n">
        <x:v>337279.1666666667</x:v>
      </x:c>
      <x:c r="I19" s="30" t="n">
        <x:v>229814.69</x:v>
      </x:c>
      <x:c r="J19" s="30" t="n">
        <x:v>217015.87922999996</x:v>
      </x:c>
      <x:c r="K19" s="30" t="n">
        <x:v>41233.017053699994</x:v>
      </x:c>
      <x:c r="L19" s="30" t="n">
        <x:v>337279.1666666667</x:v>
      </x:c>
      <x:c r="M19" s="30" t="n">
        <x:v>223616.83000000002</x:v>
      </x:c>
      <x:c r="N19" s="30" t="n">
        <x:v>13716585.388855364</x:v>
      </x:c>
      <x:c r="O19" s="30" t="n">
        <x:v>15000</x:v>
      </x:c>
      <x:c r="P19" s="30" t="n">
        <x:v>0</x:v>
      </x:c>
      <x:c r="Q19" s="30" t="n">
        <x:v>13316472.254364997</x:v>
      </x:c>
    </x:row>
    <x:row r="20">
      <x:c r="A20" s="30" t="n">
        <x:v>45474</x:v>
      </x:c>
      <x:c r="B20" s="30" t="n">
        <x:v>218312.75195121954</x:v>
      </x:c>
      <x:c r="C20" s="30" t="n">
        <x:v>41479.422870731716</x:v>
      </x:c>
      <x:c r="D20" s="30" t="n">
        <x:v>344024.75</x:v>
      </x:c>
      <x:c r="E20" s="30" t="n">
        <x:v>226373.62</x:v>
      </x:c>
      <x:c r="F20" s="30" t="n">
        <x:v>223770.57075</x:v>
      </x:c>
      <x:c r="G20" s="30" t="n">
        <x:v>41667.033940117464</x:v>
      </x:c>
      <x:c r="H20" s="30" t="n">
        <x:v>337279.1666666667</x:v>
      </x:c>
      <x:c r="I20" s="30" t="n">
        <x:v>239949.09999999998</x:v>
      </x:c>
      <x:c r="J20" s="30" t="n">
        <x:v>223770.57075</x:v>
      </x:c>
      <x:c r="K20" s="30" t="n">
        <x:v>41621.3261595</x:v>
      </x:c>
      <x:c r="L20" s="30" t="n">
        <x:v>337279.1666666667</x:v>
      </x:c>
      <x:c r="M20" s="30" t="n">
        <x:v>226373.62</x:v>
      </x:c>
      <x:c r="N20" s="30" t="n">
        <x:v>13316472.254364997</x:v>
      </x:c>
      <x:c r="O20" s="30" t="n">
        <x:v>45000</x:v>
      </x:c>
      <x:c r="P20" s="30" t="n">
        <x:v>0</x:v>
      </x:c>
      <x:c r="Q20" s="30" t="n">
        <x:v>12889968.71228883</x:v>
      </x:c>
    </x:row>
    <x:row r="21">
      <x:c r="A21" s="30" t="n">
        <x:v>45505</x:v>
      </x:c>
      <x:c r="B21" s="30" t="n">
        <x:v>224859.46521951223</x:v>
      </x:c>
      <x:c r="C21" s="30" t="n">
        <x:v>42723.29839170732</x:v>
      </x:c>
      <x:c r="D21" s="30" t="n">
        <x:v>367958.7099999999</x:v>
      </x:c>
      <x:c r="E21" s="30" t="n">
        <x:v>229125.31</x:v>
      </x:c>
      <x:c r="F21" s="30" t="n">
        <x:v>230480.95185</x:v>
      </x:c>
      <x:c r="G21" s="30" t="n">
        <x:v>42213.58835608775</x:v>
      </x:c>
      <x:c r="H21" s="30" t="n">
        <x:v>360743.83333333326</x:v>
      </x:c>
      <x:c r="I21" s="30" t="n">
        <x:v>241409.99000000002</x:v>
      </x:c>
      <x:c r="J21" s="30" t="n">
        <x:v>230480.95185</x:v>
      </x:c>
      <x:c r="K21" s="30" t="n">
        <x:v>42194.56197637586</x:v>
      </x:c>
      <x:c r="L21" s="30" t="n">
        <x:v>360743.83333333326</x:v>
      </x:c>
      <x:c r="M21" s="30" t="n">
        <x:v>229125.31</x:v>
      </x:c>
      <x:c r="N21" s="30" t="n">
        <x:v>12889968.71228883</x:v>
      </x:c>
      <x:c r="O21" s="30" t="n">
        <x:v>15000</x:v>
      </x:c>
      <x:c r="P21" s="30" t="n">
        <x:v>0</x:v>
      </x:c>
      <x:c r="Q21" s="30" t="n">
        <x:v>12473385.958829122</x:v>
      </x:c>
    </x:row>
    <x:row r="22">
      <x:c r="A22" s="30" t="n">
        <x:v>45536</x:v>
      </x:c>
      <x:c r="B22" s="30" t="n">
        <x:v>230115.92224390246</x:v>
      </x:c>
      <x:c r="C22" s="30" t="n">
        <x:v>43722.025226341466</x:v>
      </x:c>
      <x:c r="D22" s="30" t="n">
        <x:v>394931.0799999999</x:v>
      </x:c>
      <x:c r="E22" s="30" t="n">
        <x:v>231724.91</x:v>
      </x:c>
      <x:c r="F22" s="30" t="n">
        <x:v>235868.8203</x:v>
      </x:c>
      <x:c r="G22" s="30" t="n">
        <x:v>42288.93671903918</x:v>
      </x:c>
      <x:c r="H22" s="30" t="n">
        <x:v>387187.33333333326</x:v>
      </x:c>
      <x:c r="I22" s="30" t="n">
        <x:v>238841.78999999998</x:v>
      </x:c>
      <x:c r="J22" s="30" t="n">
        <x:v>235868.8203</x:v>
      </x:c>
      <x:c r="K22" s="30" t="n">
        <x:v>42928.125294599995</x:v>
      </x:c>
      <x:c r="L22" s="30" t="n">
        <x:v>387187.33333333326</x:v>
      </x:c>
      <x:c r="M22" s="30" t="n">
        <x:v>231724.91</x:v>
      </x:c>
      <x:c r="N22" s="30" t="n">
        <x:v>12473385.958829122</x:v>
      </x:c>
      <x:c r="O22" s="30" t="n">
        <x:v>15000</x:v>
      </x:c>
      <x:c r="P22" s="30" t="n">
        <x:v>4000000</x:v>
      </x:c>
      <x:c r="Q22" s="30" t="n">
        <x:v>16032414.410501188</x:v>
      </x:c>
    </x:row>
    <x:row r="23">
      <x:c r="A23" s="30" t="n">
        <x:v>45566</x:v>
      </x:c>
      <x:c r="B23" s="30" t="n">
        <x:v>235572.31097560975</x:v>
      </x:c>
      <x:c r="C23" s="30" t="n">
        <x:v>44758.73908536585</x:v>
      </x:c>
      <x:c r="D23" s="30" t="n">
        <x:v>412715.62999999995</x:v>
      </x:c>
      <x:c r="E23" s="30" t="n">
        <x:v>234348.09</x:v>
      </x:c>
      <x:c r="F23" s="30" t="n">
        <x:v>241461.61874999997</x:v>
      </x:c>
      <x:c r="G23" s="30" t="n">
        <x:v>45011.047249348034</x:v>
      </x:c>
      <x:c r="H23" s="30" t="n">
        <x:v>404623.1666666666</x:v>
      </x:c>
      <x:c r="I23" s="30" t="n">
        <x:v>250321.82999999996</x:v>
      </x:c>
      <x:c r="J23" s="30" t="n">
        <x:v>241461.61874999997</x:v>
      </x:c>
      <x:c r="K23" s="30" t="n">
        <x:v>44204.81239548869</x:v>
      </x:c>
      <x:c r="L23" s="30" t="n">
        <x:v>404623.1666666666</x:v>
      </x:c>
      <x:c r="M23" s="30" t="n">
        <x:v>234348.09</x:v>
      </x:c>
      <x:c r="N23" s="30" t="n">
        <x:v>16032414.410501188</x:v>
      </x:c>
      <x:c r="O23" s="30" t="n">
        <x:v>15000</x:v>
      </x:c>
      <x:c r="P23" s="30" t="n">
        <x:v>0</x:v>
      </x:c>
      <x:c r="Q23" s="30" t="n">
        <x:v>15575699.960189031</x:v>
      </x:c>
    </x:row>
    <x:row r="24">
      <x:c r="A24" s="30" t="n">
        <x:v>45597</x:v>
      </x:c>
      <x:c r="B24" s="30" t="n">
        <x:v>240928.73385365852</x:v>
      </x:c>
      <x:c r="C24" s="30" t="n">
        <x:v>45776.459432195115</x:v>
      </x:c>
      <x:c r="D24" s="30" t="n">
        <x:v>412715.62999999995</x:v>
      </x:c>
      <x:c r="E24" s="30" t="n">
        <x:v>236959.47</x:v>
      </x:c>
      <x:c r="F24" s="30" t="n">
        <x:v>246951.95219999997</x:v>
      </x:c>
      <x:c r="G24" s="30" t="n">
        <x:v>45863.13570836223</x:v>
      </x:c>
      <x:c r="H24" s="30" t="n">
        <x:v>404623.1666666666</x:v>
      </x:c>
      <x:c r="I24" s="30" t="n">
        <x:v>248775.41000000003</x:v>
      </x:c>
      <x:c r="J24" s="30" t="n">
        <x:v>246951.95219999997</x:v>
      </x:c>
      <x:c r="K24" s="30" t="n">
        <x:v>45933.0631092</x:v>
      </x:c>
      <x:c r="L24" s="30" t="n">
        <x:v>404623.1666666666</x:v>
      </x:c>
      <x:c r="M24" s="30" t="n">
        <x:v>236959.47</x:v>
      </x:c>
      <x:c r="N24" s="30" t="n">
        <x:v>15575699.960189031</x:v>
      </x:c>
      <x:c r="O24" s="30" t="n">
        <x:v>15000</x:v>
      </x:c>
      <x:c r="P24" s="30" t="n">
        <x:v>0</x:v>
      </x:c>
      <x:c r="Q24" s="30" t="n">
        <x:v>15120136.212613165</x:v>
      </x:c>
    </x:row>
    <x:row r="25">
      <x:c r="A25" s="30" t="n">
        <x:v>45627</x:v>
      </x:c>
      <x:c r="B25" s="30" t="n">
        <x:v>246028.48884878046</x:v>
      </x:c>
      <x:c r="C25" s="30" t="n">
        <x:v>46745.41288126829</x:v>
      </x:c>
      <x:c r="D25" s="30" t="n">
        <x:v>429577.24999999994</x:v>
      </x:c>
      <x:c r="E25" s="30" t="n">
        <x:v>239540.61</x:v>
      </x:c>
      <x:c r="F25" s="30" t="n">
        <x:v>252179.20106999995</x:v>
      </x:c>
      <x:c r="G25" s="30" t="n">
        <x:v>45893.16050926437</x:v>
      </x:c>
      <x:c r="H25" s="30" t="n">
        <x:v>421154.1666666666</x:v>
      </x:c>
      <x:c r="I25" s="30" t="n">
        <x:v>259584.24000000002</x:v>
      </x:c>
      <x:c r="J25" s="30" t="n">
        <x:v>252179.20106999995</x:v>
      </x:c>
      <x:c r="K25" s="30" t="n">
        <x:v>47914.04820329999</x:v>
      </x:c>
      <x:c r="L25" s="30" t="n">
        <x:v>421154.1666666666</x:v>
      </x:c>
      <x:c r="M25" s="30" t="n">
        <x:v>239540.61</x:v>
      </x:c>
      <x:c r="N25" s="30" t="n">
        <x:v>15120136.212613165</x:v>
      </x:c>
      <x:c r="O25" s="30" t="n">
        <x:v>15000</x:v>
      </x:c>
      <x:c r="P25" s="30" t="n">
        <x:v>0</x:v>
      </x:c>
      <x:c r="Q25" s="30" t="n">
        <x:v>14648706.588813199</x:v>
      </x:c>
    </x:row>
    <x:row r="26">
      <x:c r="A26" s="30" t="n">
        <x:v>45658</x:v>
      </x:c>
      <x:c r="B26" s="30" t="n">
        <x:v>261725.72816678052</x:v>
      </x:c>
      <x:c r="C26" s="30" t="n">
        <x:v>49727.8883516883</x:v>
      </x:c>
      <x:c r="D26" s="30" t="n">
        <x:v>444831.5199999999</x:v>
      </x:c>
      <x:c r="E26" s="30" t="n">
        <x:v>243370.91999999998</x:v>
      </x:c>
      <x:c r="F26" s="30" t="n">
        <x:v>268268.87137095</x:v>
      </x:c>
      <x:c r="G26" s="30" t="n">
        <x:v>54201.75599118696</x:v>
      </x:c>
      <x:c r="H26" s="30" t="n">
        <x:v>436109.33333333326</x:v>
      </x:c>
      <x:c r="I26" s="30" t="n">
        <x:v>252720.84</x:v>
      </x:c>
      <x:c r="J26" s="30" t="n">
        <x:v>268268.87137095</x:v>
      </x:c>
      <x:c r="K26" s="30" t="n">
        <x:v>52044.161045964305</x:v>
      </x:c>
      <x:c r="L26" s="30" t="n">
        <x:v>436109.33333333326</x:v>
      </x:c>
      <x:c r="M26" s="30" t="n">
        <x:v>243370.91999999998</x:v>
      </x:c>
      <x:c r="N26" s="30" t="n">
        <x:v>14648706.588813199</x:v>
      </x:c>
      <x:c r="O26" s="30" t="n">
        <x:v>45000</x:v>
      </x:c>
      <x:c r="P26" s="30" t="n">
        <x:v>0</x:v>
      </x:c>
      <x:c r="Q26" s="30" t="n">
        <x:v>14140451.04580485</x:v>
      </x:c>
    </x:row>
    <x:row r="27">
      <x:c r="A27" s="30" t="n">
        <x:v>45689</x:v>
      </x:c>
      <x:c r="B27" s="30" t="n">
        <x:v>269608.924151561</x:v>
      </x:c>
      <x:c r="C27" s="30" t="n">
        <x:v>51225.69558879659</x:v>
      </x:c>
      <x:c r="D27" s="30" t="n">
        <x:v>494140.87</x:v>
      </x:c>
      <x:c r="E27" s="30" t="n">
        <x:v>246280.15</x:v>
      </x:c>
      <x:c r="F27" s="30" t="n">
        <x:v>276349.14725534996</x:v>
      </x:c>
      <x:c r="G27" s="30" t="n">
        <x:v>53750.62645092381</x:v>
      </x:c>
      <x:c r="H27" s="30" t="n">
        <x:v>484451.8333333333</x:v>
      </x:c>
      <x:c r="I27" s="30" t="n">
        <x:v>255015.49000000002</x:v>
      </x:c>
      <x:c r="J27" s="30" t="n">
        <x:v>276349.14725534996</x:v>
      </x:c>
      <x:c r="K27" s="30" t="n">
        <x:v>54420.94103321489</x:v>
      </x:c>
      <x:c r="L27" s="30" t="n">
        <x:v>484451.8333333333</x:v>
      </x:c>
      <x:c r="M27" s="30" t="n">
        <x:v>246280.15</x:v>
      </x:c>
      <x:c r="N27" s="30" t="n">
        <x:v>14140451.04580485</x:v>
      </x:c>
      <x:c r="O27" s="30" t="n">
        <x:v>15000</x:v>
      </x:c>
      <x:c r="P27" s="30" t="n">
        <x:v>0</x:v>
      </x:c>
      <x:c r="Q27" s="30" t="n">
        <x:v>13616647.268693652</x:v>
      </x:c>
    </x:row>
    <x:row r="28">
      <x:c r="A28" s="30" t="n">
        <x:v>45717</x:v>
      </x:c>
      <x:c r="B28" s="30" t="n">
        <x:v>278275.09468785365</x:v>
      </x:c>
      <x:c r="C28" s="30" t="n">
        <x:v>52872.26799069219</x:v>
      </x:c>
      <x:c r="D28" s="30" t="n">
        <x:v>505744.89999999997</x:v>
      </x:c>
      <x:c r="E28" s="30" t="n">
        <x:v>249281.68</x:v>
      </x:c>
      <x:c r="F28" s="30" t="n">
        <x:v>285231.97205504996</x:v>
      </x:c>
      <x:c r="G28" s="30" t="n">
        <x:v>57632.75825424839</x:v>
      </x:c>
      <x:c r="H28" s="30" t="n">
        <x:v>495828.3333333333</x:v>
      </x:c>
      <x:c r="I28" s="30" t="n">
        <x:v>263464.18</x:v>
      </x:c>
      <x:c r="J28" s="30" t="n">
        <x:v>285231.97205504996</x:v>
      </x:c>
      <x:c r="K28" s="30" t="n">
        <x:v>56475.930466899896</x:v>
      </x:c>
      <x:c r="L28" s="30" t="n">
        <x:v>495828.3333333333</x:v>
      </x:c>
      <x:c r="M28" s="30" t="n">
        <x:v>249281.68</x:v>
      </x:c>
      <x:c r="N28" s="30" t="n">
        <x:v>13616647.268693652</x:v>
      </x:c>
      <x:c r="O28" s="30" t="n">
        <x:v>15000</x:v>
      </x:c>
      <x:c r="P28" s="30" t="n">
        <x:v>0</x:v>
      </x:c>
      <x:c r="Q28" s="30" t="n">
        <x:v>13085293.296948468</x:v>
      </x:c>
    </x:row>
    <x:row r="29">
      <x:c r="A29" s="30" t="n">
        <x:v>45748</x:v>
      </x:c>
      <x:c r="B29" s="30" t="n">
        <x:v>285547.1280699512</x:v>
      </x:c>
      <x:c r="C29" s="30" t="n">
        <x:v>54253.95433329073</x:v>
      </x:c>
      <x:c r="D29" s="30" t="n">
        <x:v>517234.8599999999</x:v>
      </x:c>
      <x:c r="E29" s="30" t="n">
        <x:v>252118.87</x:v>
      </x:c>
      <x:c r="F29" s="30" t="n">
        <x:v>292685.80627169996</x:v>
      </x:c>
      <x:c r="G29" s="30" t="n">
        <x:v>57182.55781998742</x:v>
      </x:c>
      <x:c r="H29" s="30" t="n">
        <x:v>507092.99999999994</x:v>
      </x:c>
      <x:c r="I29" s="30" t="n">
        <x:v>265889.16000000003</x:v>
      </x:c>
      <x:c r="J29" s="30" t="n">
        <x:v>292685.80627169996</x:v>
      </x:c>
      <x:c r="K29" s="30" t="n">
        <x:v>57638.08994009038</x:v>
      </x:c>
      <x:c r="L29" s="30" t="n">
        <x:v>507092.99999999994</x:v>
      </x:c>
      <x:c r="M29" s="30" t="n">
        <x:v>252118.87</x:v>
      </x:c>
      <x:c r="N29" s="30" t="n">
        <x:v>13085293.296948468</x:v>
      </x:c>
      <x:c r="O29" s="30" t="n">
        <x:v>15000</x:v>
      </x:c>
      <x:c r="P29" s="30" t="n">
        <x:v>0</x:v>
      </x:c>
      <x:c r="Q29" s="30" t="n">
        <x:v>12546129.143280078</x:v>
      </x:c>
    </x:row>
    <x:row r="30">
      <x:c r="A30" s="30" t="n">
        <x:v>45778</x:v>
      </x:c>
      <x:c r="B30" s="30" t="n">
        <x:v>295010.2523827317</x:v>
      </x:c>
      <x:c r="C30" s="30" t="n">
        <x:v>56051.94795271903</x:v>
      </x:c>
      <x:c r="D30" s="30" t="n">
        <x:v>517234.8599999999</x:v>
      </x:c>
      <x:c r="E30" s="30" t="n">
        <x:v>255214.33000000002</x:v>
      </x:c>
      <x:c r="F30" s="30" t="n">
        <x:v>302385.50869229995</x:v>
      </x:c>
      <x:c r="G30" s="30" t="n">
        <x:v>60132.05305201214</x:v>
      </x:c>
      <x:c r="H30" s="30" t="n">
        <x:v>507092.99999999994</x:v>
      </x:c>
      <x:c r="I30" s="30" t="n">
        <x:v>272099.93</x:v>
      </x:c>
      <x:c r="J30" s="30" t="n">
        <x:v>302385.50869229995</x:v>
      </x:c>
      <x:c r="K30" s="30" t="n">
        <x:v>58662.788686306194</x:v>
      </x:c>
      <x:c r="L30" s="30" t="n">
        <x:v>507092.99999999994</x:v>
      </x:c>
      <x:c r="M30" s="30" t="n">
        <x:v>255214.33000000002</x:v>
      </x:c>
      <x:c r="N30" s="30" t="n">
        <x:v>12546129.143280078</x:v>
      </x:c>
      <x:c r="O30" s="30" t="n">
        <x:v>15000</x:v>
      </x:c>
      <x:c r="P30" s="30" t="n">
        <x:v>0</x:v>
      </x:c>
      <x:c r="Q30" s="30" t="n">
        <x:v>12012544.533286072</x:v>
      </x:c>
    </x:row>
    <x:row r="31">
      <x:c r="A31" s="30" t="n">
        <x:v>45809</x:v>
      </x:c>
      <x:c r="B31" s="30" t="n">
        <x:v>302975.77488278045</x:v>
      </x:c>
      <x:c r="C31" s="30" t="n">
        <x:v>57565.39722772829</x:v>
      </x:c>
      <x:c r="D31" s="30" t="n">
        <x:v>517234.8599999999</x:v>
      </x:c>
      <x:c r="E31" s="30" t="n">
        <x:v>258133.27</x:v>
      </x:c>
      <x:c r="F31" s="30" t="n">
        <x:v>310550.16925484996</x:v>
      </x:c>
      <x:c r="G31" s="30" t="n">
        <x:v>57409.99841763445</x:v>
      </x:c>
      <x:c r="H31" s="30" t="n">
        <x:v>507092.99999999994</x:v>
      </x:c>
      <x:c r="I31" s="30" t="n">
        <x:v>274695.89999999997</x:v>
      </x:c>
      <x:c r="J31" s="30" t="n">
        <x:v>310550.16925484996</x:v>
      </x:c>
      <x:c r="K31" s="30" t="n">
        <x:v>59004.53215842149</x:v>
      </x:c>
      <x:c r="L31" s="30" t="n">
        <x:v>507092.99999999994</x:v>
      </x:c>
      <x:c r="M31" s="30" t="n">
        <x:v>258133.27</x:v>
      </x:c>
      <x:c r="N31" s="30" t="n">
        <x:v>12012544.533286072</x:v>
      </x:c>
      <x:c r="O31" s="30" t="n">
        <x:v>15000</x:v>
      </x:c>
      <x:c r="P31" s="30" t="n">
        <x:v>0</x:v>
      </x:c>
      <x:c r="Q31" s="30" t="n">
        <x:v>11483863.9003825</x:v>
      </x:c>
    </x:row>
    <x:row r="32">
      <x:c r="A32" s="30" t="n">
        <x:v>45839</x:v>
      </x:c>
      <x:c r="B32" s="30" t="n">
        <x:v>311103.4839831219</x:v>
      </x:c>
      <x:c r="C32" s="30" t="n">
        <x:v>59109.66195679317</x:v>
      </x:c>
      <x:c r="D32" s="30" t="n">
        <x:v>517234.8599999999</x:v>
      </x:c>
      <x:c r="E32" s="30" t="n">
        <x:v>261071.32</x:v>
      </x:c>
      <x:c r="F32" s="30" t="n">
        <x:v>318881.0710826999</x:v>
      </x:c>
      <x:c r="G32" s="30" t="n">
        <x:v>58245.55772189688</x:v>
      </x:c>
      <x:c r="H32" s="30" t="n">
        <x:v>507092.99999999994</x:v>
      </x:c>
      <x:c r="I32" s="30" t="n">
        <x:v>271421.79</x:v>
      </x:c>
      <x:c r="J32" s="30" t="n">
        <x:v>318881.0710826999</x:v>
      </x:c>
      <x:c r="K32" s="30" t="n">
        <x:v>59311.87922138219</x:v>
      </x:c>
      <x:c r="L32" s="30" t="n">
        <x:v>507092.99999999994</x:v>
      </x:c>
      <x:c r="M32" s="30" t="n">
        <x:v>261071.32</x:v>
      </x:c>
      <x:c r="N32" s="30" t="n">
        <x:v>11483863.9003825</x:v>
      </x:c>
      <x:c r="O32" s="30" t="n">
        <x:v>45000</x:v>
      </x:c>
      <x:c r="P32" s="30" t="n">
        <x:v>0</x:v>
      </x:c>
      <x:c r="Q32" s="30" t="n">
        <x:v>10930268.772243818</x:v>
      </x:c>
    </x:row>
    <x:row r="33">
      <x:c r="A33" s="30" t="n">
        <x:v>45870</x:v>
      </x:c>
      <x:c r="B33" s="30" t="n">
        <x:v>318765.77142585366</x:v>
      </x:c>
      <x:c r="C33" s="30" t="n">
        <x:v>60565.4965709122</x:v>
      </x:c>
      <x:c r="D33" s="30" t="n">
        <x:v>517234.8599999999</x:v>
      </x:c>
      <x:c r="E33" s="30" t="n">
        <x:v>263954.52</x:v>
      </x:c>
      <x:c r="F33" s="30" t="n">
        <x:v>326734.9157115</x:v>
      </x:c>
      <x:c r="G33" s="30" t="n">
        <x:v>61102.39245182915</x:v>
      </x:c>
      <x:c r="H33" s="30" t="n">
        <x:v>507092.99999999994</x:v>
      </x:c>
      <x:c r="I33" s="30" t="n">
        <x:v>271270.20999999996</x:v>
      </x:c>
      <x:c r="J33" s="30" t="n">
        <x:v>326734.9157115</x:v>
      </x:c>
      <x:c r="K33" s="30" t="n">
        <x:v>59815.948086708784</x:v>
      </x:c>
      <x:c r="L33" s="30" t="n">
        <x:v>507092.99999999994</x:v>
      </x:c>
      <x:c r="M33" s="30" t="n">
        <x:v>263954.52</x:v>
      </x:c>
      <x:c r="N33" s="30" t="n">
        <x:v>10930268.772243818</x:v>
      </x:c>
      <x:c r="O33" s="30" t="n">
        <x:v>15000</x:v>
      </x:c>
      <x:c r="P33" s="30" t="n">
        <x:v>0</x:v>
      </x:c>
      <x:c r="Q33" s="30" t="n">
        <x:v>10411140.21986861</x:v>
      </x:c>
    </x:row>
    <x:row r="34">
      <x:c r="A34" s="30" t="n">
        <x:v>45901</x:v>
      </x:c>
      <x:c r="B34" s="30" t="n">
        <x:v>324840.9716222926</x:v>
      </x:c>
      <x:c r="C34" s="30" t="n">
        <x:v>61719.78460823559</x:v>
      </x:c>
      <x:c r="D34" s="30" t="n">
        <x:v>541148.08</x:v>
      </x:c>
      <x:c r="E34" s="30" t="n">
        <x:v>266650.63</x:v>
      </x:c>
      <x:c r="F34" s="30" t="n">
        <x:v>332961.9959128499</x:v>
      </x:c>
      <x:c r="G34" s="30" t="n">
        <x:v>60328.31107432355</x:v>
      </x:c>
      <x:c r="H34" s="30" t="n">
        <x:v>530537.3333333333</x:v>
      </x:c>
      <x:c r="I34" s="30" t="n">
        <x:v>288454.13</x:v>
      </x:c>
      <x:c r="J34" s="30" t="n">
        <x:v>332961.9959128499</x:v>
      </x:c>
      <x:c r="K34" s="30" t="n">
        <x:v>60599.08325613868</x:v>
      </x:c>
      <x:c r="L34" s="30" t="n">
        <x:v>530537.3333333333</x:v>
      </x:c>
      <x:c r="M34" s="30" t="n">
        <x:v>266650.63</x:v>
      </x:c>
      <x:c r="N34" s="30" t="n">
        <x:v>10411140.21986861</x:v>
      </x:c>
      <x:c r="O34" s="30" t="n">
        <x:v>15000</x:v>
      </x:c>
      <x:c r="P34" s="30" t="n">
        <x:v>0</x:v>
      </x:c>
      <x:c r="Q34" s="30" t="n">
        <x:v>9871315.169191988</x:v>
      </x:c>
    </x:row>
    <x:row r="35">
      <x:c r="A35" s="30" t="n">
        <x:v>45931</x:v>
      </x:c>
      <x:c r="B35" s="30" t="n">
        <x:v>331595.6817117073</x:v>
      </x:c>
      <x:c r="C35" s="30" t="n">
        <x:v>63003.17952522439</x:v>
      </x:c>
      <x:c r="D35" s="30" t="n">
        <x:v>541148.08</x:v>
      </x:c>
      <x:c r="E35" s="30" t="n">
        <x:v>269426.83999999997</x:v>
      </x:c>
      <x:c r="F35" s="30" t="n">
        <x:v>339885.57375449996</x:v>
      </x:c>
      <x:c r="G35" s="30" t="n">
        <x:v>58758.416916319715</x:v>
      </x:c>
      <x:c r="H35" s="30" t="n">
        <x:v>530537.3333333333</x:v>
      </x:c>
      <x:c r="I35" s="30" t="n">
        <x:v>274239.04000000004</x:v>
      </x:c>
      <x:c r="J35" s="30" t="n">
        <x:v>339885.57375449996</x:v>
      </x:c>
      <x:c r="K35" s="30" t="n">
        <x:v>62223.46268334502</x:v>
      </x:c>
      <x:c r="L35" s="30" t="n">
        <x:v>530537.3333333333</x:v>
      </x:c>
      <x:c r="M35" s="30" t="n">
        <x:v>269426.83999999997</x:v>
      </x:c>
      <x:c r="N35" s="30" t="n">
        <x:v>9871315.169191988</x:v>
      </x:c>
      <x:c r="O35" s="30" t="n">
        <x:v>15000</x:v>
      </x:c>
      <x:c r="P35" s="30" t="n">
        <x:v>0</x:v>
      </x:c>
      <x:c r="Q35" s="30" t="n">
        <x:v>9334013.10692981</x:v>
      </x:c>
    </x:row>
    <x:row r="36">
      <x:c r="A36" s="30" t="n">
        <x:v>45962</x:v>
      </x:c>
      <x:c r="B36" s="30" t="n">
        <x:v>338660.7857767317</x:v>
      </x:c>
      <x:c r="C36" s="30" t="n">
        <x:v>64345.54929757902</x:v>
      </x:c>
      <x:c r="D36" s="30" t="n">
        <x:v>541148.08</x:v>
      </x:c>
      <x:c r="E36" s="30" t="n">
        <x:v>272239.64</x:v>
      </x:c>
      <x:c r="F36" s="30" t="n">
        <x:v>347127.30542114994</x:v>
      </x:c>
      <x:c r="G36" s="30" t="n">
        <x:v>64005.65341131413</x:v>
      </x:c>
      <x:c r="H36" s="30" t="n">
        <x:v>530537.3333333333</x:v>
      </x:c>
      <x:c r="I36" s="30" t="n">
        <x:v>288801.19</x:v>
      </x:c>
      <x:c r="J36" s="30" t="n">
        <x:v>347127.30542114994</x:v>
      </x:c>
      <x:c r="K36" s="30" t="n">
        <x:v>64565.67880833389</x:v>
      </x:c>
      <x:c r="L36" s="30" t="n">
        <x:v>530537.3333333333</x:v>
      </x:c>
      <x:c r="M36" s="30" t="n">
        <x:v>272239.64</x:v>
      </x:c>
      <x:c r="N36" s="30" t="n">
        <x:v>9334013.10692981</x:v>
      </x:c>
      <x:c r="O36" s="30" t="n">
        <x:v>15000</x:v>
      </x:c>
      <x:c r="P36" s="30" t="n">
        <x:v>0</x:v>
      </x:c>
      <x:c r="Q36" s="30" t="n">
        <x:v>8798797.760209294</x:v>
      </x:c>
    </x:row>
    <x:row r="37">
      <x:c r="A37" s="30" t="n">
        <x:v>45992</x:v>
      </x:c>
      <x:c r="B37" s="30" t="n">
        <x:v>343997.754138439</x:v>
      </x:c>
      <x:c r="C37" s="30" t="n">
        <x:v>65359.57328630341</x:v>
      </x:c>
      <x:c r="D37" s="30" t="n">
        <x:v>559326.6900000001</x:v>
      </x:c>
      <x:c r="E37" s="30" t="n">
        <x:v>274848.74</x:v>
      </x:c>
      <x:c r="F37" s="30" t="n">
        <x:v>352597.6979919</x:v>
      </x:c>
      <x:c r="G37" s="30" t="n">
        <x:v>66573.96621426764</x:v>
      </x:c>
      <x:c r="H37" s="30" t="n">
        <x:v>548359.5</x:v>
      </x:c>
      <x:c r="I37" s="30" t="n">
        <x:v>284873.48000000004</x:v>
      </x:c>
      <x:c r="J37" s="30" t="n">
        <x:v>352597.6979919</x:v>
      </x:c>
      <x:c r="K37" s="30" t="n">
        <x:v>66993.562618461</x:v>
      </x:c>
      <x:c r="L37" s="30" t="n">
        <x:v>548359.5</x:v>
      </x:c>
      <x:c r="M37" s="30" t="n">
        <x:v>274848.74</x:v>
      </x:c>
      <x:c r="N37" s="30" t="n">
        <x:v>8798797.760209294</x:v>
      </x:c>
      <x:c r="O37" s="30" t="n">
        <x:v>15000</x:v>
      </x:c>
      <x:c r="P37" s="30" t="n">
        <x:v>0</x:v>
      </x:c>
      <x:c r="Q37" s="30" t="n">
        <x:v>8246193.655582733</x:v>
      </x:c>
    </x:row>
    <x:row r="38">
      <x:c r="A38" s="30" t="n">
        <x:v>46023</x:v>
      </x:c>
      <x:c r="B38" s="30" t="n">
        <x:v>364924.50685034704</x:v>
      </x:c>
      <x:c r="C38" s="30" t="n">
        <x:v>69335.65630156593</x:v>
      </x:c>
      <x:c r="D38" s="30" t="n">
        <x:v>580875.55</x:v>
      </x:c>
      <x:c r="E38" s="30" t="n">
        <x:v>279295.48</x:v>
      </x:c>
      <x:c r="F38" s="30" t="n">
        <x:v>374047.61952160567</x:v>
      </x:c>
      <x:c r="G38" s="30" t="n">
        <x:v>72953.55595520242</x:v>
      </x:c>
      <x:c r="H38" s="30" t="n">
        <x:v>569485.8333333334</x:v>
      </x:c>
      <x:c r="I38" s="30" t="n">
        <x:v>294425.93</x:v>
      </x:c>
      <x:c r="J38" s="30" t="n">
        <x:v>374047.61952160567</x:v>
      </x:c>
      <x:c r="K38" s="30" t="n">
        <x:v>72565.2381871915</x:v>
      </x:c>
      <x:c r="L38" s="30" t="n">
        <x:v>569485.8333333334</x:v>
      </x:c>
      <x:c r="M38" s="30" t="n">
        <x:v>279295.48</x:v>
      </x:c>
      <x:c r="N38" s="30" t="n">
        <x:v>8246193.655582733</x:v>
      </x:c>
      <x:c r="O38" s="30" t="n">
        <x:v>45000</x:v>
      </x:c>
      <x:c r="P38" s="30" t="n">
        <x:v>0</x:v>
      </x:c>
      <x:c r="Q38" s="30" t="n">
        <x:v>7653894.723583814</x:v>
      </x:c>
    </x:row>
    <x:row r="39">
      <x:c r="A39" s="30" t="n">
        <x:v>46054</x:v>
      </x:c>
      <x:c r="B39" s="30" t="n">
        <x:v>376721.63281017874</x:v>
      </x:c>
      <x:c r="C39" s="30" t="n">
        <x:v>71577.11023393396</x:v>
      </x:c>
      <x:c r="D39" s="30" t="n">
        <x:v>609196.02</x:v>
      </x:c>
      <x:c r="E39" s="30" t="n">
        <x:v>282666.06</x:v>
      </x:c>
      <x:c r="F39" s="30" t="n">
        <x:v>386139.67363043316</x:v>
      </x:c>
      <x:c r="G39" s="30" t="n">
        <x:v>75556.90952178548</x:v>
      </x:c>
      <x:c r="H39" s="30" t="n">
        <x:v>597251</x:v>
      </x:c>
      <x:c r="I39" s="30" t="n">
        <x:v>286002.16000000003</x:v>
      </x:c>
      <x:c r="J39" s="30" t="n">
        <x:v>386139.67363043316</x:v>
      </x:c>
      <x:c r="K39" s="30" t="n">
        <x:v>76041.7921239662</x:v>
      </x:c>
      <x:c r="L39" s="30" t="n">
        <x:v>597251</x:v>
      </x:c>
      <x:c r="M39" s="30" t="n">
        <x:v>282666.06</x:v>
      </x:c>
      <x:c r="N39" s="30" t="n">
        <x:v>7653894.723583814</x:v>
      </x:c>
      <x:c r="O39" s="30" t="n">
        <x:v>15000</x:v>
      </x:c>
      <x:c r="P39" s="30" t="n">
        <x:v>0</x:v>
      </x:c>
      <x:c r="Q39" s="30" t="n">
        <x:v>7069075.5450902805</x:v>
      </x:c>
    </x:row>
    <x:row r="40">
      <x:c r="A40" s="30" t="n">
        <x:v>46082</x:v>
      </x:c>
      <x:c r="B40" s="30" t="n">
        <x:v>387494.2082660246</x:v>
      </x:c>
      <x:c r="C40" s="30" t="n">
        <x:v>73623.89957054467</x:v>
      </x:c>
      <x:c r="D40" s="30" t="n">
        <x:v>631626.33</x:v>
      </x:c>
      <x:c r="E40" s="30" t="n">
        <x:v>285915.88</x:v>
      </x:c>
      <x:c r="F40" s="30" t="n">
        <x:v>397181.56347267516</x:v>
      </x:c>
      <x:c r="G40" s="30" t="n">
        <x:v>76160.40880132568</x:v>
      </x:c>
      <x:c r="H40" s="30" t="n">
        <x:v>619241.5</x:v>
      </x:c>
      <x:c r="I40" s="30" t="n">
        <x:v>313887.57</x:v>
      </x:c>
      <x:c r="J40" s="30" t="n">
        <x:v>397181.56347267516</x:v>
      </x:c>
      <x:c r="K40" s="30" t="n">
        <x:v>78641.94956758969</x:v>
      </x:c>
      <x:c r="L40" s="30" t="n">
        <x:v>619241.5</x:v>
      </x:c>
      <x:c r="M40" s="30" t="n">
        <x:v>285915.88</x:v>
      </x:c>
      <x:c r="N40" s="30" t="n">
        <x:v>7069075.5450902805</x:v>
      </x:c>
      <x:c r="O40" s="30" t="n">
        <x:v>15000</x:v>
      </x:c>
      <x:c r="P40" s="30" t="n">
        <x:v>0</x:v>
      </x:c>
      <x:c r="Q40" s="30" t="n">
        <x:v>6467457.778995366</x:v>
      </x:c>
    </x:row>
    <x:row r="41">
      <x:c r="A41" s="30" t="n">
        <x:v>46113</x:v>
      </x:c>
      <x:c r="B41" s="30" t="n">
        <x:v>400437.4391492772</x:v>
      </x:c>
      <x:c r="C41" s="30" t="n">
        <x:v>76083.11343836268</x:v>
      </x:c>
      <x:c r="D41" s="30" t="n">
        <x:v>641830.41</x:v>
      </x:c>
      <x:c r="E41" s="30" t="n">
        <x:v>289421.56</x:v>
      </x:c>
      <x:c r="F41" s="30" t="n">
        <x:v>410448.3751280091</x:v>
      </x:c>
      <x:c r="G41" s="30" t="n">
        <x:v>81793.57675865221</x:v>
      </x:c>
      <x:c r="H41" s="30" t="n">
        <x:v>629245.5</x:v>
      </x:c>
      <x:c r="I41" s="30" t="n">
        <x:v>290675.31</x:v>
      </x:c>
      <x:c r="J41" s="30" t="n">
        <x:v>410448.3751280091</x:v>
      </x:c>
      <x:c r="K41" s="30" t="n">
        <x:v>80828.86103274494</x:v>
      </x:c>
      <x:c r="L41" s="30" t="n">
        <x:v>629245.5</x:v>
      </x:c>
      <x:c r="M41" s="30" t="n">
        <x:v>289421.56</x:v>
      </x:c>
      <x:c r="N41" s="30" t="n">
        <x:v>6467457.778995366</x:v>
      </x:c>
      <x:c r="O41" s="30" t="n">
        <x:v>15000</x:v>
      </x:c>
      <x:c r="P41" s="30" t="n">
        <x:v>0</x:v>
      </x:c>
      <x:c r="Q41" s="30" t="n">
        <x:v>5863410.23309063</x:v>
      </x:c>
    </x:row>
    <x:row r="42">
      <x:c r="A42" s="30" t="n">
        <x:v>46143</x:v>
      </x:c>
      <x:c r="B42" s="30" t="n">
        <x:v>410316.9807563077</x:v>
      </x:c>
      <x:c r="C42" s="30" t="n">
        <x:v>77960.22634369846</x:v>
      </x:c>
      <x:c r="D42" s="30" t="n">
        <x:v>665276.9800000001</x:v>
      </x:c>
      <x:c r="E42" s="30" t="n">
        <x:v>292566.11</x:v>
      </x:c>
      <x:c r="F42" s="30" t="n">
        <x:v>420574.9052752154</x:v>
      </x:c>
      <x:c r="G42" s="30" t="n">
        <x:v>80910.06566867138</x:v>
      </x:c>
      <x:c r="H42" s="30" t="n">
        <x:v>652232.3333333334</x:v>
      </x:c>
      <x:c r="I42" s="30" t="n">
        <x:v>307979.79</x:v>
      </x:c>
      <x:c r="J42" s="30" t="n">
        <x:v>420574.9052752154</x:v>
      </x:c>
      <x:c r="K42" s="30" t="n">
        <x:v>81591.53162339178</x:v>
      </x:c>
      <x:c r="L42" s="30" t="n">
        <x:v>652232.3333333334</x:v>
      </x:c>
      <x:c r="M42" s="30" t="n">
        <x:v>292566.11</x:v>
      </x:c>
      <x:c r="N42" s="30" t="n">
        <x:v>5863410.23309063</x:v>
      </x:c>
      <x:c r="O42" s="30" t="n">
        <x:v>15000</x:v>
      </x:c>
      <x:c r="P42" s="30" t="n">
        <x:v>0</x:v>
      </x:c>
      <x:c r="Q42" s="30" t="n">
        <x:v>5242595.16340912</x:v>
      </x:c>
    </x:row>
    <x:row r="43">
      <x:c r="A43" s="30" t="n">
        <x:v>46174</x:v>
      </x:c>
      <x:c r="B43" s="30" t="n">
        <x:v>419860.7961007324</x:v>
      </x:c>
      <x:c r="C43" s="30" t="n">
        <x:v>79773.55125913916</x:v>
      </x:c>
      <x:c r="D43" s="30" t="n">
        <x:v>679452.7700000001</x:v>
      </x:c>
      <x:c r="E43" s="30" t="n">
        <x:v>295671.08999999997</x:v>
      </x:c>
      <x:c r="F43" s="30" t="n">
        <x:v>430357.31600325066</x:v>
      </x:c>
      <x:c r="G43" s="30" t="n">
        <x:v>83214.33114170936</x:v>
      </x:c>
      <x:c r="H43" s="30" t="n">
        <x:v>666130.1666666667</x:v>
      </x:c>
      <x:c r="I43" s="30" t="n">
        <x:v>295398.17</x:v>
      </x:c>
      <x:c r="J43" s="30" t="n">
        <x:v>430357.31600325066</x:v>
      </x:c>
      <x:c r="K43" s="30" t="n">
        <x:v>81767.89004061763</x:v>
      </x:c>
      <x:c r="L43" s="30" t="n">
        <x:v>666130.1666666667</x:v>
      </x:c>
      <x:c r="M43" s="30" t="n">
        <x:v>295671.08999999997</x:v>
      </x:c>
      <x:c r="N43" s="30" t="n">
        <x:v>5242595.16340912</x:v>
      </x:c>
      <x:c r="O43" s="30" t="n">
        <x:v>15000</x:v>
      </x:c>
      <x:c r="P43" s="30" t="n">
        <x:v>0</x:v>
      </x:c>
      <x:c r="Q43" s="30" t="n">
        <x:v>4614383.332705087</x:v>
      </x:c>
    </x:row>
    <x:row r="44">
      <x:c r="A44" s="30" t="n">
        <x:v>46204</x:v>
      </x:c>
      <x:c r="B44" s="30" t="n">
        <x:v>440593.60922008194</x:v>
      </x:c>
      <x:c r="C44" s="30" t="n">
        <x:v>83712.78575181557</x:v>
      </x:c>
      <x:c r="D44" s="30" t="n">
        <x:v>679452.7700000001</x:v>
      </x:c>
      <x:c r="E44" s="30" t="n">
        <x:v>298828.27</x:v>
      </x:c>
      <x:c r="F44" s="30"/>
      <x:c r="G44" s="30"/>
      <x:c r="H44" s="30"/>
      <x:c r="I44" s="30"/>
      <x:c r="J44" s="30" t="n">
        <x:v>440593.60922008194</x:v>
      </x:c>
      <x:c r="K44" s="30" t="n">
        <x:v>81950.41131493523</x:v>
      </x:c>
      <x:c r="L44" s="30" t="n">
        <x:v>666130.1666666667</x:v>
      </x:c>
      <x:c r="M44" s="30" t="n">
        <x:v>298828.27</x:v>
      </x:c>
      <x:c r="N44" s="30" t="n">
        <x:v>4614383.332705087</x:v>
      </x:c>
      <x:c r="O44" s="30" t="n">
        <x:v>45000</x:v>
      </x:c>
      <x:c r="P44" s="30" t="n">
        <x:v>0</x:v>
      </x:c>
      <x:c r="Q44" s="30" t="n">
        <x:v>3963068.093943567</x:v>
      </x:c>
    </x:row>
    <x:row r="45">
      <x:c r="A45" s="30" t="n">
        <x:v>46235</x:v>
      </x:c>
      <x:c r="B45" s="30" t="n">
        <x:v>449936.96766961715</x:v>
      </x:c>
      <x:c r="C45" s="30" t="n">
        <x:v>85488.02385722726</x:v>
      </x:c>
      <x:c r="D45" s="30" t="n">
        <x:v>679452.7700000001</x:v>
      </x:c>
      <x:c r="E45" s="30" t="n">
        <x:v>301882.75</x:v>
      </x:c>
      <x:c r="F45" s="30"/>
      <x:c r="G45" s="30"/>
      <x:c r="H45" s="30"/>
      <x:c r="I45" s="30"/>
      <x:c r="J45" s="30" t="n">
        <x:v>449936.96766961715</x:v>
      </x:c>
      <x:c r="K45" s="30" t="n">
        <x:v>82370.76910439825</x:v>
      </x:c>
      <x:c r="L45" s="30" t="n">
        <x:v>666130.1666666667</x:v>
      </x:c>
      <x:c r="M45" s="30" t="n">
        <x:v>301882.75</x:v>
      </x:c>
      <x:c r="N45" s="30" t="n">
        <x:v>3963068.093943567</x:v>
      </x:c>
      <x:c r="O45" s="30" t="n">
        <x:v>15000</x:v>
      </x:c>
      <x:c r="P45" s="30" t="n">
        <x:v>0</x:v>
      </x:c>
      <x:c r="Q45" s="30" t="n">
        <x:v>3347621.375842119</x:v>
      </x:c>
    </x:row>
    <x:row r="46">
      <x:c r="A46" s="30" t="n">
        <x:v>46266</x:v>
      </x:c>
      <x:c r="B46" s="30" t="n">
        <x:v>459060.7999799024</x:v>
      </x:c>
      <x:c r="C46" s="30" t="n">
        <x:v>87221.55199618146</x:v>
      </x:c>
      <x:c r="D46" s="30" t="n">
        <x:v>679452.7700000001</x:v>
      </x:c>
      <x:c r="E46" s="30" t="n">
        <x:v>304911.99</x:v>
      </x:c>
      <x:c r="F46" s="30"/>
      <x:c r="G46" s="30"/>
      <x:c r="H46" s="30"/>
      <x:c r="I46" s="30"/>
      <x:c r="J46" s="30" t="n">
        <x:v>459060.7999799024</x:v>
      </x:c>
      <x:c r="K46" s="30" t="n">
        <x:v>83549.06559634223</x:v>
      </x:c>
      <x:c r="L46" s="30" t="n">
        <x:v>666130.1666666667</x:v>
      </x:c>
      <x:c r="M46" s="30" t="n">
        <x:v>304911.99</x:v>
      </x:c>
      <x:c r="N46" s="30" t="n">
        <x:v>3347621.375842119</x:v>
      </x:c>
      <x:c r="O46" s="30" t="n">
        <x:v>15000</x:v>
      </x:c>
      <x:c r="P46" s="30" t="n">
        <x:v>0</x:v>
      </x:c>
      <x:c r="Q46" s="30" t="n">
        <x:v>2737090.9535590126</x:v>
      </x:c>
    </x:row>
    <x:row r="47">
      <x:c r="A47" s="30" t="n">
        <x:v>46296</x:v>
      </x:c>
      <x:c r="B47" s="30" t="n">
        <x:v>468184.63229018764</x:v>
      </x:c>
      <x:c r="C47" s="30" t="n">
        <x:v>88955.08013513565</x:v>
      </x:c>
      <x:c r="D47" s="30" t="n">
        <x:v>679452.7700000001</x:v>
      </x:c>
      <x:c r="E47" s="30" t="n">
        <x:v>307941.23</x:v>
      </x:c>
      <x:c r="F47" s="30"/>
      <x:c r="G47" s="30"/>
      <x:c r="H47" s="30"/>
      <x:c r="I47" s="30"/>
      <x:c r="J47" s="30" t="n">
        <x:v>468184.63229018764</x:v>
      </x:c>
      <x:c r="K47" s="30" t="n">
        <x:v>85711.40185333742</x:v>
      </x:c>
      <x:c r="L47" s="30" t="n">
        <x:v>666130.1666666667</x:v>
      </x:c>
      <x:c r="M47" s="30" t="n">
        <x:v>307941.23</x:v>
      </x:c>
      <x:c r="N47" s="30" t="n">
        <x:v>2737090.9535590126</x:v>
      </x:c>
      <x:c r="O47" s="30" t="n">
        <x:v>15000</x:v>
      </x:c>
      <x:c r="P47" s="30" t="n">
        <x:v>0</x:v>
      </x:c>
      <x:c r="Q47" s="30" t="n">
        <x:v>2130492.787329196</x:v>
      </x:c>
    </x:row>
    <x:row r="48">
      <x:c r="A48" s="30" t="n">
        <x:v>46327</x:v>
      </x:c>
      <x:c r="B48" s="30" t="n">
        <x:v>477809.81351893337</x:v>
      </x:c>
      <x:c r="C48" s="30" t="n">
        <x:v>90783.86456859735</x:v>
      </x:c>
      <x:c r="D48" s="30" t="n">
        <x:v>679452.7700000001</x:v>
      </x:c>
      <x:c r="E48" s="30" t="n">
        <x:v>311028.13</x:v>
      </x:c>
      <x:c r="F48" s="30"/>
      <x:c r="G48" s="30"/>
      <x:c r="H48" s="30"/>
      <x:c r="I48" s="30"/>
      <x:c r="J48" s="30" t="n">
        <x:v>477809.81351893337</x:v>
      </x:c>
      <x:c r="K48" s="30" t="n">
        <x:v>88872.6253145216</x:v>
      </x:c>
      <x:c r="L48" s="30" t="n">
        <x:v>666130.1666666667</x:v>
      </x:c>
      <x:c r="M48" s="30" t="n">
        <x:v>311028.13</x:v>
      </x:c>
      <x:c r="N48" s="30" t="n">
        <x:v>2130492.787329196</x:v>
      </x:c>
      <x:c r="O48" s="30" t="n">
        <x:v>15000</x:v>
      </x:c>
      <x:c r="P48" s="30" t="n">
        <x:v>0</x:v>
      </x:c>
      <x:c r="Q48" s="30" t="n">
        <x:v>1527271.678866941</x:v>
      </x:c>
    </x:row>
    <x:row r="49">
      <x:c r="A49" s="30" t="n">
        <x:v>46357</x:v>
      </x:c>
      <x:c r="B49" s="30" t="n">
        <x:v>487936.34366613964</x:v>
      </x:c>
      <x:c r="C49" s="30" t="n">
        <x:v>92707.90529656653</x:v>
      </x:c>
      <x:c r="D49" s="30" t="n">
        <x:v>679452.7700000001</x:v>
      </x:c>
      <x:c r="E49" s="30" t="n">
        <x:v>314172.68</x:v>
      </x:c>
      <x:c r="F49" s="30"/>
      <x:c r="G49" s="30"/>
      <x:c r="H49" s="30"/>
      <x:c r="I49" s="30"/>
      <x:c r="J49" s="30" t="n">
        <x:v>487936.34366613964</x:v>
      </x:c>
      <x:c r="K49" s="30" t="n">
        <x:v>92707.90529656653</x:v>
      </x:c>
      <x:c r="L49" s="30" t="n">
        <x:v>666130.1666666667</x:v>
      </x:c>
      <x:c r="M49" s="30" t="n">
        <x:v>314172.68</x:v>
      </x:c>
      <x:c r="N49" s="30" t="n">
        <x:v>1527271.678866941</x:v>
      </x:c>
      <x:c r="O49" s="30" t="n">
        <x:v>15000</x:v>
      </x:c>
      <x:c r="P49" s="30" t="n">
        <x:v>0</x:v>
      </x:c>
      <x:c r="Q49" s="30" t="n">
        <x:v>927197.2705698474</x:v>
      </x:c>
    </x:row>
  </x:sheetData>
  <x:pageMargins left="0.7" right="0.7" top="0.75" bottom="0.75" header="0.3" footer="0.3"/>
  <x:tableParts count="1">
    <x:tablePart xmlns:r="http://schemas.openxmlformats.org/officeDocument/2006/relationships" r:id="Re86ddd50b7d1421e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8.25" hidden="0" customWidth="1"/>
    <x:col min="3" max="3" width="15.130000114440918" hidden="0" customWidth="1"/>
    <x:col min="4" max="4" width="12.630000114440918" hidden="0" customWidth="1"/>
    <x:col min="5" max="5" width="15.630000114440918" hidden="0" customWidth="1"/>
    <x:col min="6" max="6" width="14.5" hidden="0" customWidth="1"/>
    <x:col min="7" max="7" width="13.75" hidden="0" customWidth="1"/>
    <x:col min="8" max="8" width="10.380000114440918" hidden="0" customWidth="1"/>
    <x:col min="9" max="9" width="8.75" hidden="0" customWidth="1"/>
  </x:cols>
  <x:sheetData>
    <x:row r="1">
      <x:c r="A1" s="46" t="str">
        <x:v>month</x:v>
      </x:c>
      <x:c r="B1" s="26" t="str">
        <x:v>plan</x:v>
      </x:c>
      <x:c r="C1" s="26" t="str">
        <x:v>starting_customers</x:v>
      </x:c>
      <x:c r="D1" s="26" t="str">
        <x:v>new_customers</x:v>
      </x:c>
      <x:c r="E1" s="26" t="str">
        <x:v>churned_customers</x:v>
      </x:c>
      <x:c r="F1" s="26" t="str">
        <x:v>ending_customers</x:v>
      </x:c>
      <x:c r="G1" s="26" t="str">
        <x:v>price_per_month</x:v>
      </x:c>
      <x:c r="H1" s="26" t="str">
        <x:v>mrr</x:v>
      </x:c>
      <x:c r="I1" s="26" t="str">
        <x:v>is_forecast</x:v>
      </x:c>
    </x:row>
    <x:row r="2">
      <x:c r="A2" s="30" t="n">
        <x:v>44927</x:v>
      </x:c>
      <x:c r="B2" s="30" t="str">
        <x:v>Starter</x:v>
      </x:c>
      <x:c r="C2" s="30" t="n">
        <x:v>320</x:v>
      </x:c>
      <x:c r="D2" s="30" t="n">
        <x:v>12</x:v>
      </x:c>
      <x:c r="E2" s="30" t="n">
        <x:v>7</x:v>
      </x:c>
      <x:c r="F2" s="30" t="n">
        <x:v>325</x:v>
      </x:c>
      <x:c r="G2" s="30" t="n">
        <x:v>99</x:v>
      </x:c>
      <x:c r="H2" s="30" t="n">
        <x:v>32175</x:v>
      </x:c>
      <x:c r="I2" s="48" t="b">
        <x:v>0</x:v>
      </x:c>
    </x:row>
    <x:row r="3">
      <x:c r="A3" s="30" t="n">
        <x:v>44927</x:v>
      </x:c>
      <x:c r="B3" s="30" t="str">
        <x:v>Growth</x:v>
      </x:c>
      <x:c r="C3" s="30" t="n">
        <x:v>145</x:v>
      </x:c>
      <x:c r="D3" s="30" t="n">
        <x:v>7</x:v>
      </x:c>
      <x:c r="E3" s="30" t="n">
        <x:v>3</x:v>
      </x:c>
      <x:c r="F3" s="30" t="n">
        <x:v>149</x:v>
      </x:c>
      <x:c r="G3" s="30" t="n">
        <x:v>349</x:v>
      </x:c>
      <x:c r="H3" s="30" t="n">
        <x:v>52625.012</x:v>
      </x:c>
      <x:c r="I3" s="48" t="b">
        <x:v>0</x:v>
      </x:c>
    </x:row>
    <x:row r="4">
      <x:c r="A4" s="30" t="n">
        <x:v>44927</x:v>
      </x:c>
      <x:c r="B4" s="30" t="str">
        <x:v>Enterprise</x:v>
      </x:c>
      <x:c r="C4" s="30" t="n">
        <x:v>28</x:v>
      </x:c>
      <x:c r="D4" s="30" t="n">
        <x:v>1</x:v>
      </x:c>
      <x:c r="E4" s="30" t="n">
        <x:v>0</x:v>
      </x:c>
      <x:c r="F4" s="30" t="n">
        <x:v>29</x:v>
      </x:c>
      <x:c r="G4" s="30" t="n">
        <x:v>1499</x:v>
      </x:c>
      <x:c r="H4" s="30" t="n">
        <x:v>44427.362</x:v>
      </x:c>
      <x:c r="I4" s="48" t="b">
        <x:v>0</x:v>
      </x:c>
    </x:row>
    <x:row r="5">
      <x:c r="A5" s="30" t="n">
        <x:v>44958</x:v>
      </x:c>
      <x:c r="B5" s="30" t="str">
        <x:v>Starter</x:v>
      </x:c>
      <x:c r="C5" s="30" t="n">
        <x:v>325</x:v>
      </x:c>
      <x:c r="D5" s="30" t="n">
        <x:v>16</x:v>
      </x:c>
      <x:c r="E5" s="30" t="n">
        <x:v>9</x:v>
      </x:c>
      <x:c r="F5" s="30" t="n">
        <x:v>332</x:v>
      </x:c>
      <x:c r="G5" s="30" t="n">
        <x:v>99</x:v>
      </x:c>
      <x:c r="H5" s="30" t="n">
        <x:v>32868</x:v>
      </x:c>
      <x:c r="I5" s="48" t="b">
        <x:v>0</x:v>
      </x:c>
    </x:row>
    <x:row r="6">
      <x:c r="A6" s="30" t="n">
        <x:v>44958</x:v>
      </x:c>
      <x:c r="B6" s="30" t="str">
        <x:v>Growth</x:v>
      </x:c>
      <x:c r="C6" s="30" t="n">
        <x:v>149</x:v>
      </x:c>
      <x:c r="D6" s="30" t="n">
        <x:v>7</x:v>
      </x:c>
      <x:c r="E6" s="30" t="n">
        <x:v>2</x:v>
      </x:c>
      <x:c r="F6" s="30" t="n">
        <x:v>154</x:v>
      </x:c>
      <x:c r="G6" s="30" t="n">
        <x:v>349</x:v>
      </x:c>
      <x:c r="H6" s="30" t="n">
        <x:v>54390.952</x:v>
      </x:c>
      <x:c r="I6" s="48" t="b">
        <x:v>0</x:v>
      </x:c>
    </x:row>
    <x:row r="7">
      <x:c r="A7" s="30" t="n">
        <x:v>44958</x:v>
      </x:c>
      <x:c r="B7" s="30" t="str">
        <x:v>Enterprise</x:v>
      </x:c>
      <x:c r="C7" s="30" t="n">
        <x:v>29</x:v>
      </x:c>
      <x:c r="D7" s="30" t="n">
        <x:v>1</x:v>
      </x:c>
      <x:c r="E7" s="30" t="n">
        <x:v>0</x:v>
      </x:c>
      <x:c r="F7" s="30" t="n">
        <x:v>30</x:v>
      </x:c>
      <x:c r="G7" s="30" t="n">
        <x:v>1499</x:v>
      </x:c>
      <x:c r="H7" s="30" t="n">
        <x:v>45959.340000000004</x:v>
      </x:c>
      <x:c r="I7" s="48" t="b">
        <x:v>0</x:v>
      </x:c>
    </x:row>
    <x:row r="8">
      <x:c r="A8" s="30" t="n">
        <x:v>44986</x:v>
      </x:c>
      <x:c r="B8" s="30" t="str">
        <x:v>Starter</x:v>
      </x:c>
      <x:c r="C8" s="30" t="n">
        <x:v>332</x:v>
      </x:c>
      <x:c r="D8" s="30" t="n">
        <x:v>12</x:v>
      </x:c>
      <x:c r="E8" s="30" t="n">
        <x:v>7</x:v>
      </x:c>
      <x:c r="F8" s="30" t="n">
        <x:v>337</x:v>
      </x:c>
      <x:c r="G8" s="30" t="n">
        <x:v>99</x:v>
      </x:c>
      <x:c r="H8" s="30" t="n">
        <x:v>33363</x:v>
      </x:c>
      <x:c r="I8" s="48" t="b">
        <x:v>0</x:v>
      </x:c>
    </x:row>
    <x:row r="9">
      <x:c r="A9" s="30" t="n">
        <x:v>44986</x:v>
      </x:c>
      <x:c r="B9" s="30" t="str">
        <x:v>Growth</x:v>
      </x:c>
      <x:c r="C9" s="30" t="n">
        <x:v>154</x:v>
      </x:c>
      <x:c r="D9" s="30" t="n">
        <x:v>8</x:v>
      </x:c>
      <x:c r="E9" s="30" t="n">
        <x:v>2</x:v>
      </x:c>
      <x:c r="F9" s="30" t="n">
        <x:v>160</x:v>
      </x:c>
      <x:c r="G9" s="30" t="n">
        <x:v>349</x:v>
      </x:c>
      <x:c r="H9" s="30" t="n">
        <x:v>56510.08</x:v>
      </x:c>
      <x:c r="I9" s="48" t="b">
        <x:v>0</x:v>
      </x:c>
    </x:row>
    <x:row r="10">
      <x:c r="A10" s="30" t="n">
        <x:v>44986</x:v>
      </x:c>
      <x:c r="B10" s="30" t="str">
        <x:v>Enterprise</x:v>
      </x:c>
      <x:c r="C10" s="30" t="n">
        <x:v>30</x:v>
      </x:c>
      <x:c r="D10" s="30" t="n">
        <x:v>1</x:v>
      </x:c>
      <x:c r="E10" s="30" t="n">
        <x:v>0</x:v>
      </x:c>
      <x:c r="F10" s="30" t="n">
        <x:v>31</x:v>
      </x:c>
      <x:c r="G10" s="30" t="n">
        <x:v>1499</x:v>
      </x:c>
      <x:c r="H10" s="30" t="n">
        <x:v>47491.318</x:v>
      </x:c>
      <x:c r="I10" s="48" t="b">
        <x:v>0</x:v>
      </x:c>
    </x:row>
    <x:row r="11">
      <x:c r="A11" s="30" t="n">
        <x:v>45017</x:v>
      </x:c>
      <x:c r="B11" s="30" t="str">
        <x:v>Starter</x:v>
      </x:c>
      <x:c r="C11" s="30" t="n">
        <x:v>337</x:v>
      </x:c>
      <x:c r="D11" s="30" t="n">
        <x:v>14</x:v>
      </x:c>
      <x:c r="E11" s="30" t="n">
        <x:v>8</x:v>
      </x:c>
      <x:c r="F11" s="30" t="n">
        <x:v>343</x:v>
      </x:c>
      <x:c r="G11" s="30" t="n">
        <x:v>99</x:v>
      </x:c>
      <x:c r="H11" s="30" t="n">
        <x:v>33957</x:v>
      </x:c>
      <x:c r="I11" s="48" t="b">
        <x:v>0</x:v>
      </x:c>
    </x:row>
    <x:row r="12">
      <x:c r="A12" s="30" t="n">
        <x:v>45017</x:v>
      </x:c>
      <x:c r="B12" s="30" t="str">
        <x:v>Growth</x:v>
      </x:c>
      <x:c r="C12" s="30" t="n">
        <x:v>160</x:v>
      </x:c>
      <x:c r="D12" s="30" t="n">
        <x:v>9</x:v>
      </x:c>
      <x:c r="E12" s="30" t="n">
        <x:v>2</x:v>
      </x:c>
      <x:c r="F12" s="30" t="n">
        <x:v>167</x:v>
      </x:c>
      <x:c r="G12" s="30" t="n">
        <x:v>349</x:v>
      </x:c>
      <x:c r="H12" s="30" t="n">
        <x:v>58982.396</x:v>
      </x:c>
      <x:c r="I12" s="48" t="b">
        <x:v>0</x:v>
      </x:c>
    </x:row>
    <x:row r="13">
      <x:c r="A13" s="30" t="n">
        <x:v>45017</x:v>
      </x:c>
      <x:c r="B13" s="30" t="str">
        <x:v>Enterprise</x:v>
      </x:c>
      <x:c r="C13" s="30" t="n">
        <x:v>31</x:v>
      </x:c>
      <x:c r="D13" s="30" t="n">
        <x:v>1</x:v>
      </x:c>
      <x:c r="E13" s="30" t="n">
        <x:v>0</x:v>
      </x:c>
      <x:c r="F13" s="30" t="n">
        <x:v>32</x:v>
      </x:c>
      <x:c r="G13" s="30" t="n">
        <x:v>1499</x:v>
      </x:c>
      <x:c r="H13" s="30" t="n">
        <x:v>49023.296</x:v>
      </x:c>
      <x:c r="I13" s="48" t="b">
        <x:v>0</x:v>
      </x:c>
    </x:row>
    <x:row r="14">
      <x:c r="A14" s="30" t="n">
        <x:v>45047</x:v>
      </x:c>
      <x:c r="B14" s="30" t="str">
        <x:v>Starter</x:v>
      </x:c>
      <x:c r="C14" s="30" t="n">
        <x:v>343</x:v>
      </x:c>
      <x:c r="D14" s="30" t="n">
        <x:v>15</x:v>
      </x:c>
      <x:c r="E14" s="30" t="n">
        <x:v>8</x:v>
      </x:c>
      <x:c r="F14" s="30" t="n">
        <x:v>350</x:v>
      </x:c>
      <x:c r="G14" s="30" t="n">
        <x:v>99</x:v>
      </x:c>
      <x:c r="H14" s="30" t="n">
        <x:v>34650</x:v>
      </x:c>
      <x:c r="I14" s="48" t="b">
        <x:v>0</x:v>
      </x:c>
    </x:row>
    <x:row r="15">
      <x:c r="A15" s="30" t="n">
        <x:v>45047</x:v>
      </x:c>
      <x:c r="B15" s="30" t="str">
        <x:v>Growth</x:v>
      </x:c>
      <x:c r="C15" s="30" t="n">
        <x:v>167</x:v>
      </x:c>
      <x:c r="D15" s="30" t="n">
        <x:v>10</x:v>
      </x:c>
      <x:c r="E15" s="30" t="n">
        <x:v>3</x:v>
      </x:c>
      <x:c r="F15" s="30" t="n">
        <x:v>174</x:v>
      </x:c>
      <x:c r="G15" s="30" t="n">
        <x:v>349</x:v>
      </x:c>
      <x:c r="H15" s="30" t="n">
        <x:v>61454.712</x:v>
      </x:c>
      <x:c r="I15" s="48" t="b">
        <x:v>0</x:v>
      </x:c>
    </x:row>
    <x:row r="16">
      <x:c r="A16" s="30" t="n">
        <x:v>45047</x:v>
      </x:c>
      <x:c r="B16" s="30" t="str">
        <x:v>Enterprise</x:v>
      </x:c>
      <x:c r="C16" s="30" t="n">
        <x:v>32</x:v>
      </x:c>
      <x:c r="D16" s="30" t="n">
        <x:v>1</x:v>
      </x:c>
      <x:c r="E16" s="30" t="n">
        <x:v>0</x:v>
      </x:c>
      <x:c r="F16" s="30" t="n">
        <x:v>33</x:v>
      </x:c>
      <x:c r="G16" s="30" t="n">
        <x:v>1499</x:v>
      </x:c>
      <x:c r="H16" s="30" t="n">
        <x:v>50555.274</x:v>
      </x:c>
      <x:c r="I16" s="48" t="b">
        <x:v>0</x:v>
      </x:c>
    </x:row>
    <x:row r="17">
      <x:c r="A17" s="30" t="n">
        <x:v>45078</x:v>
      </x:c>
      <x:c r="B17" s="30" t="str">
        <x:v>Starter</x:v>
      </x:c>
      <x:c r="C17" s="30" t="n">
        <x:v>350</x:v>
      </x:c>
      <x:c r="D17" s="30" t="n">
        <x:v>13</x:v>
      </x:c>
      <x:c r="E17" s="30" t="n">
        <x:v>8</x:v>
      </x:c>
      <x:c r="F17" s="30" t="n">
        <x:v>355</x:v>
      </x:c>
      <x:c r="G17" s="30" t="n">
        <x:v>99</x:v>
      </x:c>
      <x:c r="H17" s="30" t="n">
        <x:v>35145</x:v>
      </x:c>
      <x:c r="I17" s="48" t="b">
        <x:v>0</x:v>
      </x:c>
    </x:row>
    <x:row r="18">
      <x:c r="A18" s="30" t="n">
        <x:v>45078</x:v>
      </x:c>
      <x:c r="B18" s="30" t="str">
        <x:v>Growth</x:v>
      </x:c>
      <x:c r="C18" s="30" t="n">
        <x:v>174</x:v>
      </x:c>
      <x:c r="D18" s="30" t="n">
        <x:v>7</x:v>
      </x:c>
      <x:c r="E18" s="30" t="n">
        <x:v>3</x:v>
      </x:c>
      <x:c r="F18" s="30" t="n">
        <x:v>178</x:v>
      </x:c>
      <x:c r="G18" s="30" t="n">
        <x:v>349</x:v>
      </x:c>
      <x:c r="H18" s="30" t="n">
        <x:v>62867.464</x:v>
      </x:c>
      <x:c r="I18" s="48" t="b">
        <x:v>0</x:v>
      </x:c>
    </x:row>
    <x:row r="19">
      <x:c r="A19" s="30" t="n">
        <x:v>45078</x:v>
      </x:c>
      <x:c r="B19" s="30" t="str">
        <x:v>Enterprise</x:v>
      </x:c>
      <x:c r="C19" s="30" t="n">
        <x:v>33</x:v>
      </x:c>
      <x:c r="D19" s="30" t="n">
        <x:v>1</x:v>
      </x:c>
      <x:c r="E19" s="30" t="n">
        <x:v>0</x:v>
      </x:c>
      <x:c r="F19" s="30" t="n">
        <x:v>34</x:v>
      </x:c>
      <x:c r="G19" s="30" t="n">
        <x:v>1499</x:v>
      </x:c>
      <x:c r="H19" s="30" t="n">
        <x:v>52087.252</x:v>
      </x:c>
      <x:c r="I19" s="48" t="b">
        <x:v>0</x:v>
      </x:c>
    </x:row>
    <x:row r="20">
      <x:c r="A20" s="30" t="n">
        <x:v>45108</x:v>
      </x:c>
      <x:c r="B20" s="30" t="str">
        <x:v>Starter</x:v>
      </x:c>
      <x:c r="C20" s="30" t="n">
        <x:v>355</x:v>
      </x:c>
      <x:c r="D20" s="30" t="n">
        <x:v>15</x:v>
      </x:c>
      <x:c r="E20" s="30" t="n">
        <x:v>8</x:v>
      </x:c>
      <x:c r="F20" s="30" t="n">
        <x:v>362</x:v>
      </x:c>
      <x:c r="G20" s="30" t="n">
        <x:v>99</x:v>
      </x:c>
      <x:c r="H20" s="30" t="n">
        <x:v>35838</x:v>
      </x:c>
      <x:c r="I20" s="48" t="b">
        <x:v>0</x:v>
      </x:c>
    </x:row>
    <x:row r="21">
      <x:c r="A21" s="30" t="n">
        <x:v>45108</x:v>
      </x:c>
      <x:c r="B21" s="30" t="str">
        <x:v>Growth</x:v>
      </x:c>
      <x:c r="C21" s="30" t="n">
        <x:v>178</x:v>
      </x:c>
      <x:c r="D21" s="30" t="n">
        <x:v>10</x:v>
      </x:c>
      <x:c r="E21" s="30" t="n">
        <x:v>2</x:v>
      </x:c>
      <x:c r="F21" s="30" t="n">
        <x:v>186</x:v>
      </x:c>
      <x:c r="G21" s="30" t="n">
        <x:v>349</x:v>
      </x:c>
      <x:c r="H21" s="30" t="n">
        <x:v>65692.968</x:v>
      </x:c>
      <x:c r="I21" s="48" t="b">
        <x:v>0</x:v>
      </x:c>
    </x:row>
    <x:row r="22">
      <x:c r="A22" s="30" t="n">
        <x:v>45108</x:v>
      </x:c>
      <x:c r="B22" s="30" t="str">
        <x:v>Enterprise</x:v>
      </x:c>
      <x:c r="C22" s="30" t="n">
        <x:v>34</x:v>
      </x:c>
      <x:c r="D22" s="30" t="n">
        <x:v>1</x:v>
      </x:c>
      <x:c r="E22" s="30" t="n">
        <x:v>0</x:v>
      </x:c>
      <x:c r="F22" s="30" t="n">
        <x:v>35</x:v>
      </x:c>
      <x:c r="G22" s="30" t="n">
        <x:v>1499</x:v>
      </x:c>
      <x:c r="H22" s="30" t="n">
        <x:v>53619.23</x:v>
      </x:c>
      <x:c r="I22" s="48" t="b">
        <x:v>0</x:v>
      </x:c>
    </x:row>
    <x:row r="23">
      <x:c r="A23" s="30" t="n">
        <x:v>45139</x:v>
      </x:c>
      <x:c r="B23" s="30" t="str">
        <x:v>Starter</x:v>
      </x:c>
      <x:c r="C23" s="30" t="n">
        <x:v>362</x:v>
      </x:c>
      <x:c r="D23" s="30" t="n">
        <x:v>14</x:v>
      </x:c>
      <x:c r="E23" s="30" t="n">
        <x:v>8</x:v>
      </x:c>
      <x:c r="F23" s="30" t="n">
        <x:v>368</x:v>
      </x:c>
      <x:c r="G23" s="30" t="n">
        <x:v>99</x:v>
      </x:c>
      <x:c r="H23" s="30" t="n">
        <x:v>36432</x:v>
      </x:c>
      <x:c r="I23" s="48" t="b">
        <x:v>0</x:v>
      </x:c>
    </x:row>
    <x:row r="24">
      <x:c r="A24" s="30" t="n">
        <x:v>45139</x:v>
      </x:c>
      <x:c r="B24" s="30" t="str">
        <x:v>Growth</x:v>
      </x:c>
      <x:c r="C24" s="30" t="n">
        <x:v>186</x:v>
      </x:c>
      <x:c r="D24" s="30" t="n">
        <x:v>9</x:v>
      </x:c>
      <x:c r="E24" s="30" t="n">
        <x:v>3</x:v>
      </x:c>
      <x:c r="F24" s="30" t="n">
        <x:v>192</x:v>
      </x:c>
      <x:c r="G24" s="30" t="n">
        <x:v>349</x:v>
      </x:c>
      <x:c r="H24" s="30" t="n">
        <x:v>67812.096</x:v>
      </x:c>
      <x:c r="I24" s="48" t="b">
        <x:v>0</x:v>
      </x:c>
    </x:row>
    <x:row r="25">
      <x:c r="A25" s="30" t="n">
        <x:v>45139</x:v>
      </x:c>
      <x:c r="B25" s="30" t="str">
        <x:v>Enterprise</x:v>
      </x:c>
      <x:c r="C25" s="30" t="n">
        <x:v>35</x:v>
      </x:c>
      <x:c r="D25" s="30" t="n">
        <x:v>1</x:v>
      </x:c>
      <x:c r="E25" s="30" t="n">
        <x:v>0</x:v>
      </x:c>
      <x:c r="F25" s="30" t="n">
        <x:v>36</x:v>
      </x:c>
      <x:c r="G25" s="30" t="n">
        <x:v>1499</x:v>
      </x:c>
      <x:c r="H25" s="30" t="n">
        <x:v>55151.208</x:v>
      </x:c>
      <x:c r="I25" s="48" t="b">
        <x:v>0</x:v>
      </x:c>
    </x:row>
    <x:row r="26">
      <x:c r="A26" s="30" t="n">
        <x:v>45170</x:v>
      </x:c>
      <x:c r="B26" s="30" t="str">
        <x:v>Starter</x:v>
      </x:c>
      <x:c r="C26" s="30" t="n">
        <x:v>368</x:v>
      </x:c>
      <x:c r="D26" s="30" t="n">
        <x:v>12</x:v>
      </x:c>
      <x:c r="E26" s="30" t="n">
        <x:v>10</x:v>
      </x:c>
      <x:c r="F26" s="30" t="n">
        <x:v>370</x:v>
      </x:c>
      <x:c r="G26" s="30" t="n">
        <x:v>99</x:v>
      </x:c>
      <x:c r="H26" s="30" t="n">
        <x:v>36630</x:v>
      </x:c>
      <x:c r="I26" s="48" t="b">
        <x:v>0</x:v>
      </x:c>
    </x:row>
    <x:row r="27">
      <x:c r="A27" s="30" t="n">
        <x:v>45170</x:v>
      </x:c>
      <x:c r="B27" s="30" t="str">
        <x:v>Growth</x:v>
      </x:c>
      <x:c r="C27" s="30" t="n">
        <x:v>192</x:v>
      </x:c>
      <x:c r="D27" s="30" t="n">
        <x:v>8</x:v>
      </x:c>
      <x:c r="E27" s="30" t="n">
        <x:v>4</x:v>
      </x:c>
      <x:c r="F27" s="30" t="n">
        <x:v>196</x:v>
      </x:c>
      <x:c r="G27" s="30" t="n">
        <x:v>349</x:v>
      </x:c>
      <x:c r="H27" s="30" t="n">
        <x:v>69224.848</x:v>
      </x:c>
      <x:c r="I27" s="48" t="b">
        <x:v>0</x:v>
      </x:c>
    </x:row>
    <x:row r="28">
      <x:c r="A28" s="30" t="n">
        <x:v>45170</x:v>
      </x:c>
      <x:c r="B28" s="30" t="str">
        <x:v>Enterprise</x:v>
      </x:c>
      <x:c r="C28" s="30" t="n">
        <x:v>36</x:v>
      </x:c>
      <x:c r="D28" s="30" t="n">
        <x:v>1</x:v>
      </x:c>
      <x:c r="E28" s="30" t="n">
        <x:v>0</x:v>
      </x:c>
      <x:c r="F28" s="30" t="n">
        <x:v>37</x:v>
      </x:c>
      <x:c r="G28" s="30" t="n">
        <x:v>1499</x:v>
      </x:c>
      <x:c r="H28" s="30" t="n">
        <x:v>56683.186</x:v>
      </x:c>
      <x:c r="I28" s="48" t="b">
        <x:v>0</x:v>
      </x:c>
    </x:row>
    <x:row r="29">
      <x:c r="A29" s="30" t="n">
        <x:v>45200</x:v>
      </x:c>
      <x:c r="B29" s="30" t="str">
        <x:v>Starter</x:v>
      </x:c>
      <x:c r="C29" s="30" t="n">
        <x:v>370</x:v>
      </x:c>
      <x:c r="D29" s="30" t="n">
        <x:v>10</x:v>
      </x:c>
      <x:c r="E29" s="30" t="n">
        <x:v>8</x:v>
      </x:c>
      <x:c r="F29" s="30" t="n">
        <x:v>372</x:v>
      </x:c>
      <x:c r="G29" s="30" t="n">
        <x:v>99</x:v>
      </x:c>
      <x:c r="H29" s="30" t="n">
        <x:v>36828</x:v>
      </x:c>
      <x:c r="I29" s="48" t="b">
        <x:v>0</x:v>
      </x:c>
    </x:row>
    <x:row r="30">
      <x:c r="A30" s="30" t="n">
        <x:v>45200</x:v>
      </x:c>
      <x:c r="B30" s="30" t="str">
        <x:v>Growth</x:v>
      </x:c>
      <x:c r="C30" s="30" t="n">
        <x:v>196</x:v>
      </x:c>
      <x:c r="D30" s="30" t="n">
        <x:v>7</x:v>
      </x:c>
      <x:c r="E30" s="30" t="n">
        <x:v>2</x:v>
      </x:c>
      <x:c r="F30" s="30" t="n">
        <x:v>201</x:v>
      </x:c>
      <x:c r="G30" s="30" t="n">
        <x:v>349</x:v>
      </x:c>
      <x:c r="H30" s="30" t="n">
        <x:v>70990.788</x:v>
      </x:c>
      <x:c r="I30" s="48" t="b">
        <x:v>0</x:v>
      </x:c>
    </x:row>
    <x:row r="31">
      <x:c r="A31" s="30" t="n">
        <x:v>45200</x:v>
      </x:c>
      <x:c r="B31" s="30" t="str">
        <x:v>Enterprise</x:v>
      </x:c>
      <x:c r="C31" s="30" t="n">
        <x:v>37</x:v>
      </x:c>
      <x:c r="D31" s="30" t="n">
        <x:v>1</x:v>
      </x:c>
      <x:c r="E31" s="30" t="n">
        <x:v>0</x:v>
      </x:c>
      <x:c r="F31" s="30" t="n">
        <x:v>38</x:v>
      </x:c>
      <x:c r="G31" s="30" t="n">
        <x:v>1499</x:v>
      </x:c>
      <x:c r="H31" s="30" t="n">
        <x:v>58215.164000000004</x:v>
      </x:c>
      <x:c r="I31" s="48" t="b">
        <x:v>0</x:v>
      </x:c>
    </x:row>
    <x:row r="32">
      <x:c r="A32" s="30" t="n">
        <x:v>45231</x:v>
      </x:c>
      <x:c r="B32" s="30" t="str">
        <x:v>Starter</x:v>
      </x:c>
      <x:c r="C32" s="30" t="n">
        <x:v>372</x:v>
      </x:c>
      <x:c r="D32" s="30" t="n">
        <x:v>14</x:v>
      </x:c>
      <x:c r="E32" s="30" t="n">
        <x:v>10</x:v>
      </x:c>
      <x:c r="F32" s="30" t="n">
        <x:v>376</x:v>
      </x:c>
      <x:c r="G32" s="30" t="n">
        <x:v>99</x:v>
      </x:c>
      <x:c r="H32" s="30" t="n">
        <x:v>37224</x:v>
      </x:c>
      <x:c r="I32" s="48" t="b">
        <x:v>0</x:v>
      </x:c>
    </x:row>
    <x:row r="33">
      <x:c r="A33" s="30" t="n">
        <x:v>45231</x:v>
      </x:c>
      <x:c r="B33" s="30" t="str">
        <x:v>Growth</x:v>
      </x:c>
      <x:c r="C33" s="30" t="n">
        <x:v>201</x:v>
      </x:c>
      <x:c r="D33" s="30" t="n">
        <x:v>10</x:v>
      </x:c>
      <x:c r="E33" s="30" t="n">
        <x:v>3</x:v>
      </x:c>
      <x:c r="F33" s="30" t="n">
        <x:v>208</x:v>
      </x:c>
      <x:c r="G33" s="30" t="n">
        <x:v>349</x:v>
      </x:c>
      <x:c r="H33" s="30" t="n">
        <x:v>73463.104</x:v>
      </x:c>
      <x:c r="I33" s="48" t="b">
        <x:v>0</x:v>
      </x:c>
    </x:row>
    <x:row r="34">
      <x:c r="A34" s="30" t="n">
        <x:v>45231</x:v>
      </x:c>
      <x:c r="B34" s="30" t="str">
        <x:v>Enterprise</x:v>
      </x:c>
      <x:c r="C34" s="30" t="n">
        <x:v>38</x:v>
      </x:c>
      <x:c r="D34" s="30" t="n">
        <x:v>1</x:v>
      </x:c>
      <x:c r="E34" s="30" t="n">
        <x:v>0</x:v>
      </x:c>
      <x:c r="F34" s="30" t="n">
        <x:v>39</x:v>
      </x:c>
      <x:c r="G34" s="30" t="n">
        <x:v>1499</x:v>
      </x:c>
      <x:c r="H34" s="30" t="n">
        <x:v>59747.142</x:v>
      </x:c>
      <x:c r="I34" s="48" t="b">
        <x:v>0</x:v>
      </x:c>
    </x:row>
    <x:row r="35">
      <x:c r="A35" s="30" t="n">
        <x:v>45261</x:v>
      </x:c>
      <x:c r="B35" s="30" t="str">
        <x:v>Starter</x:v>
      </x:c>
      <x:c r="C35" s="30" t="n">
        <x:v>376</x:v>
      </x:c>
      <x:c r="D35" s="30" t="n">
        <x:v>15</x:v>
      </x:c>
      <x:c r="E35" s="30" t="n">
        <x:v>8</x:v>
      </x:c>
      <x:c r="F35" s="30" t="n">
        <x:v>383</x:v>
      </x:c>
      <x:c r="G35" s="30" t="n">
        <x:v>99</x:v>
      </x:c>
      <x:c r="H35" s="30" t="n">
        <x:v>37917</x:v>
      </x:c>
      <x:c r="I35" s="48" t="b">
        <x:v>0</x:v>
      </x:c>
    </x:row>
    <x:row r="36">
      <x:c r="A36" s="30" t="n">
        <x:v>45261</x:v>
      </x:c>
      <x:c r="B36" s="30" t="str">
        <x:v>Growth</x:v>
      </x:c>
      <x:c r="C36" s="30" t="n">
        <x:v>208</x:v>
      </x:c>
      <x:c r="D36" s="30" t="n">
        <x:v>10</x:v>
      </x:c>
      <x:c r="E36" s="30" t="n">
        <x:v>3</x:v>
      </x:c>
      <x:c r="F36" s="30" t="n">
        <x:v>215</x:v>
      </x:c>
      <x:c r="G36" s="30" t="n">
        <x:v>349</x:v>
      </x:c>
      <x:c r="H36" s="30" t="n">
        <x:v>75935.42</x:v>
      </x:c>
      <x:c r="I36" s="48" t="b">
        <x:v>0</x:v>
      </x:c>
    </x:row>
    <x:row r="37">
      <x:c r="A37" s="30" t="n">
        <x:v>45261</x:v>
      </x:c>
      <x:c r="B37" s="30" t="str">
        <x:v>Enterprise</x:v>
      </x:c>
      <x:c r="C37" s="30" t="n">
        <x:v>39</x:v>
      </x:c>
      <x:c r="D37" s="30" t="n">
        <x:v>1</x:v>
      </x:c>
      <x:c r="E37" s="30" t="n">
        <x:v>0</x:v>
      </x:c>
      <x:c r="F37" s="30" t="n">
        <x:v>40</x:v>
      </x:c>
      <x:c r="G37" s="30" t="n">
        <x:v>1499</x:v>
      </x:c>
      <x:c r="H37" s="30" t="n">
        <x:v>61279.12</x:v>
      </x:c>
      <x:c r="I37" s="48" t="b">
        <x:v>0</x:v>
      </x:c>
    </x:row>
    <x:row r="38">
      <x:c r="A38" s="30" t="n">
        <x:v>45292</x:v>
      </x:c>
      <x:c r="B38" s="30" t="str">
        <x:v>Starter</x:v>
      </x:c>
      <x:c r="C38" s="30" t="n">
        <x:v>383</x:v>
      </x:c>
      <x:c r="D38" s="30" t="n">
        <x:v>15</x:v>
      </x:c>
      <x:c r="E38" s="30" t="n">
        <x:v>10</x:v>
      </x:c>
      <x:c r="F38" s="30" t="n">
        <x:v>388</x:v>
      </x:c>
      <x:c r="G38" s="30" t="n">
        <x:v>102.46499999999999</x:v>
      </x:c>
      <x:c r="H38" s="30" t="n">
        <x:v>39756.42</x:v>
      </x:c>
      <x:c r="I38" s="48" t="b">
        <x:v>0</x:v>
      </x:c>
    </x:row>
    <x:row r="39">
      <x:c r="A39" s="30" t="n">
        <x:v>45292</x:v>
      </x:c>
      <x:c r="B39" s="30" t="str">
        <x:v>Growth</x:v>
      </x:c>
      <x:c r="C39" s="30" t="n">
        <x:v>215</x:v>
      </x:c>
      <x:c r="D39" s="30" t="n">
        <x:v>10</x:v>
      </x:c>
      <x:c r="E39" s="30" t="n">
        <x:v>4</x:v>
      </x:c>
      <x:c r="F39" s="30" t="n">
        <x:v>221</x:v>
      </x:c>
      <x:c r="G39" s="30" t="n">
        <x:v>361.215</x:v>
      </x:c>
      <x:c r="H39" s="30" t="n">
        <x:v>80786.45718</x:v>
      </x:c>
      <x:c r="I39" s="48" t="b">
        <x:v>0</x:v>
      </x:c>
    </x:row>
    <x:row r="40">
      <x:c r="A40" s="30" t="n">
        <x:v>45292</x:v>
      </x:c>
      <x:c r="B40" s="30" t="str">
        <x:v>Enterprise</x:v>
      </x:c>
      <x:c r="C40" s="30" t="n">
        <x:v>40</x:v>
      </x:c>
      <x:c r="D40" s="30" t="n">
        <x:v>1</x:v>
      </x:c>
      <x:c r="E40" s="30" t="n">
        <x:v>0</x:v>
      </x:c>
      <x:c r="F40" s="30" t="n">
        <x:v>41</x:v>
      </x:c>
      <x:c r="G40" s="30" t="n">
        <x:v>1551.465</x:v>
      </x:c>
      <x:c r="H40" s="30" t="n">
        <x:v>65009.48643</x:v>
      </x:c>
      <x:c r="I40" s="48" t="b">
        <x:v>0</x:v>
      </x:c>
    </x:row>
    <x:row r="41">
      <x:c r="A41" s="30" t="n">
        <x:v>45323</x:v>
      </x:c>
      <x:c r="B41" s="30" t="str">
        <x:v>Starter</x:v>
      </x:c>
      <x:c r="C41" s="30" t="n">
        <x:v>388</x:v>
      </x:c>
      <x:c r="D41" s="30" t="n">
        <x:v>15</x:v>
      </x:c>
      <x:c r="E41" s="30" t="n">
        <x:v>9</x:v>
      </x:c>
      <x:c r="F41" s="30" t="n">
        <x:v>394</x:v>
      </x:c>
      <x:c r="G41" s="30" t="n">
        <x:v>102.46499999999999</x:v>
      </x:c>
      <x:c r="H41" s="30" t="n">
        <x:v>40371.21</x:v>
      </x:c>
      <x:c r="I41" s="48" t="b">
        <x:v>0</x:v>
      </x:c>
    </x:row>
    <x:row r="42">
      <x:c r="A42" s="30" t="n">
        <x:v>45323</x:v>
      </x:c>
      <x:c r="B42" s="30" t="str">
        <x:v>Growth</x:v>
      </x:c>
      <x:c r="C42" s="30" t="n">
        <x:v>221</x:v>
      </x:c>
      <x:c r="D42" s="30" t="n">
        <x:v>11</x:v>
      </x:c>
      <x:c r="E42" s="30" t="n">
        <x:v>4</x:v>
      </x:c>
      <x:c r="F42" s="30" t="n">
        <x:v>228</x:v>
      </x:c>
      <x:c r="G42" s="30" t="n">
        <x:v>361.215</x:v>
      </x:c>
      <x:c r="H42" s="30" t="n">
        <x:v>83345.30423999998</x:v>
      </x:c>
      <x:c r="I42" s="48" t="b">
        <x:v>0</x:v>
      </x:c>
    </x:row>
    <x:row r="43">
      <x:c r="A43" s="30" t="n">
        <x:v>45323</x:v>
      </x:c>
      <x:c r="B43" s="30" t="str">
        <x:v>Enterprise</x:v>
      </x:c>
      <x:c r="C43" s="30" t="n">
        <x:v>41</x:v>
      </x:c>
      <x:c r="D43" s="30" t="n">
        <x:v>1</x:v>
      </x:c>
      <x:c r="E43" s="30" t="n">
        <x:v>0</x:v>
      </x:c>
      <x:c r="F43" s="30" t="n">
        <x:v>42</x:v>
      </x:c>
      <x:c r="G43" s="30" t="n">
        <x:v>1551.465</x:v>
      </x:c>
      <x:c r="H43" s="30" t="n">
        <x:v>66595.08366</x:v>
      </x:c>
      <x:c r="I43" s="48" t="b">
        <x:v>0</x:v>
      </x:c>
    </x:row>
    <x:row r="44">
      <x:c r="A44" s="30" t="n">
        <x:v>45352</x:v>
      </x:c>
      <x:c r="B44" s="30" t="str">
        <x:v>Starter</x:v>
      </x:c>
      <x:c r="C44" s="30" t="n">
        <x:v>394</x:v>
      </x:c>
      <x:c r="D44" s="30" t="n">
        <x:v>17</x:v>
      </x:c>
      <x:c r="E44" s="30" t="n">
        <x:v>7</x:v>
      </x:c>
      <x:c r="F44" s="30" t="n">
        <x:v>404</x:v>
      </x:c>
      <x:c r="G44" s="30" t="n">
        <x:v>102.46499999999999</x:v>
      </x:c>
      <x:c r="H44" s="30" t="n">
        <x:v>41395.85999999999</x:v>
      </x:c>
      <x:c r="I44" s="48" t="b">
        <x:v>0</x:v>
      </x:c>
    </x:row>
    <x:row r="45">
      <x:c r="A45" s="30" t="n">
        <x:v>45352</x:v>
      </x:c>
      <x:c r="B45" s="30" t="str">
        <x:v>Growth</x:v>
      </x:c>
      <x:c r="C45" s="30" t="n">
        <x:v>228</x:v>
      </x:c>
      <x:c r="D45" s="30" t="n">
        <x:v>13</x:v>
      </x:c>
      <x:c r="E45" s="30" t="n">
        <x:v>4</x:v>
      </x:c>
      <x:c r="F45" s="30" t="n">
        <x:v>237</x:v>
      </x:c>
      <x:c r="G45" s="30" t="n">
        <x:v>361.215</x:v>
      </x:c>
      <x:c r="H45" s="30" t="n">
        <x:v>86635.25045999998</x:v>
      </x:c>
      <x:c r="I45" s="48" t="b">
        <x:v>0</x:v>
      </x:c>
    </x:row>
    <x:row r="46">
      <x:c r="A46" s="30" t="n">
        <x:v>45352</x:v>
      </x:c>
      <x:c r="B46" s="30" t="str">
        <x:v>Enterprise</x:v>
      </x:c>
      <x:c r="C46" s="30" t="n">
        <x:v>42</x:v>
      </x:c>
      <x:c r="D46" s="30" t="n">
        <x:v>1</x:v>
      </x:c>
      <x:c r="E46" s="30" t="n">
        <x:v>0</x:v>
      </x:c>
      <x:c r="F46" s="30" t="n">
        <x:v>43</x:v>
      </x:c>
      <x:c r="G46" s="30" t="n">
        <x:v>1551.465</x:v>
      </x:c>
      <x:c r="H46" s="30" t="n">
        <x:v>68180.68089</x:v>
      </x:c>
      <x:c r="I46" s="48" t="b">
        <x:v>0</x:v>
      </x:c>
    </x:row>
    <x:row r="47">
      <x:c r="A47" s="30" t="n">
        <x:v>45383</x:v>
      </x:c>
      <x:c r="B47" s="30" t="str">
        <x:v>Starter</x:v>
      </x:c>
      <x:c r="C47" s="30" t="n">
        <x:v>404</x:v>
      </x:c>
      <x:c r="D47" s="30" t="n">
        <x:v>19</x:v>
      </x:c>
      <x:c r="E47" s="30" t="n">
        <x:v>9</x:v>
      </x:c>
      <x:c r="F47" s="30" t="n">
        <x:v>414</x:v>
      </x:c>
      <x:c r="G47" s="30" t="n">
        <x:v>102.46499999999999</x:v>
      </x:c>
      <x:c r="H47" s="30" t="n">
        <x:v>42420.509999999995</x:v>
      </x:c>
      <x:c r="I47" s="48" t="b">
        <x:v>0</x:v>
      </x:c>
    </x:row>
    <x:row r="48">
      <x:c r="A48" s="30" t="n">
        <x:v>45383</x:v>
      </x:c>
      <x:c r="B48" s="30" t="str">
        <x:v>Growth</x:v>
      </x:c>
      <x:c r="C48" s="30" t="n">
        <x:v>237</x:v>
      </x:c>
      <x:c r="D48" s="30" t="n">
        <x:v>12</x:v>
      </x:c>
      <x:c r="E48" s="30" t="n">
        <x:v>4</x:v>
      </x:c>
      <x:c r="F48" s="30" t="n">
        <x:v>245</x:v>
      </x:c>
      <x:c r="G48" s="30" t="n">
        <x:v>361.215</x:v>
      </x:c>
      <x:c r="H48" s="30" t="n">
        <x:v>89559.64709999999</x:v>
      </x:c>
      <x:c r="I48" s="48" t="b">
        <x:v>0</x:v>
      </x:c>
    </x:row>
    <x:row r="49">
      <x:c r="A49" s="30" t="n">
        <x:v>45383</x:v>
      </x:c>
      <x:c r="B49" s="30" t="str">
        <x:v>Enterprise</x:v>
      </x:c>
      <x:c r="C49" s="30" t="n">
        <x:v>43</x:v>
      </x:c>
      <x:c r="D49" s="30" t="n">
        <x:v>2</x:v>
      </x:c>
      <x:c r="E49" s="30" t="n">
        <x:v>0</x:v>
      </x:c>
      <x:c r="F49" s="30" t="n">
        <x:v>45</x:v>
      </x:c>
      <x:c r="G49" s="30" t="n">
        <x:v>1551.465</x:v>
      </x:c>
      <x:c r="H49" s="30" t="n">
        <x:v>71351.87535</x:v>
      </x:c>
      <x:c r="I49" s="48" t="b">
        <x:v>0</x:v>
      </x:c>
    </x:row>
    <x:row r="50">
      <x:c r="A50" s="30" t="n">
        <x:v>45413</x:v>
      </x:c>
      <x:c r="B50" s="30" t="str">
        <x:v>Starter</x:v>
      </x:c>
      <x:c r="C50" s="30" t="n">
        <x:v>414</x:v>
      </x:c>
      <x:c r="D50" s="30" t="n">
        <x:v>17</x:v>
      </x:c>
      <x:c r="E50" s="30" t="n">
        <x:v>11</x:v>
      </x:c>
      <x:c r="F50" s="30" t="n">
        <x:v>420</x:v>
      </x:c>
      <x:c r="G50" s="30" t="n">
        <x:v>102.46499999999999</x:v>
      </x:c>
      <x:c r="H50" s="30" t="n">
        <x:v>43035.299999999996</x:v>
      </x:c>
      <x:c r="I50" s="48" t="b">
        <x:v>0</x:v>
      </x:c>
    </x:row>
    <x:row r="51">
      <x:c r="A51" s="30" t="n">
        <x:v>45413</x:v>
      </x:c>
      <x:c r="B51" s="30" t="str">
        <x:v>Growth</x:v>
      </x:c>
      <x:c r="C51" s="30" t="n">
        <x:v>245</x:v>
      </x:c>
      <x:c r="D51" s="30" t="n">
        <x:v>11</x:v>
      </x:c>
      <x:c r="E51" s="30" t="n">
        <x:v>4</x:v>
      </x:c>
      <x:c r="F51" s="30" t="n">
        <x:v>252</x:v>
      </x:c>
      <x:c r="G51" s="30" t="n">
        <x:v>361.215</x:v>
      </x:c>
      <x:c r="H51" s="30" t="n">
        <x:v>92118.49415999999</x:v>
      </x:c>
      <x:c r="I51" s="48" t="b">
        <x:v>0</x:v>
      </x:c>
    </x:row>
    <x:row r="52">
      <x:c r="A52" s="30" t="n">
        <x:v>45413</x:v>
      </x:c>
      <x:c r="B52" s="30" t="str">
        <x:v>Enterprise</x:v>
      </x:c>
      <x:c r="C52" s="30" t="n">
        <x:v>45</x:v>
      </x:c>
      <x:c r="D52" s="30" t="n">
        <x:v>2</x:v>
      </x:c>
      <x:c r="E52" s="30" t="n">
        <x:v>0</x:v>
      </x:c>
      <x:c r="F52" s="30" t="n">
        <x:v>47</x:v>
      </x:c>
      <x:c r="G52" s="30" t="n">
        <x:v>1551.465</x:v>
      </x:c>
      <x:c r="H52" s="30" t="n">
        <x:v>74523.06981</x:v>
      </x:c>
      <x:c r="I52" s="48" t="b">
        <x:v>0</x:v>
      </x:c>
    </x:row>
    <x:row r="53">
      <x:c r="A53" s="30" t="n">
        <x:v>45444</x:v>
      </x:c>
      <x:c r="B53" s="30" t="str">
        <x:v>Starter</x:v>
      </x:c>
      <x:c r="C53" s="30" t="n">
        <x:v>420</x:v>
      </x:c>
      <x:c r="D53" s="30" t="n">
        <x:v>17</x:v>
      </x:c>
      <x:c r="E53" s="30" t="n">
        <x:v>12</x:v>
      </x:c>
      <x:c r="F53" s="30" t="n">
        <x:v>425</x:v>
      </x:c>
      <x:c r="G53" s="30" t="n">
        <x:v>102.46499999999999</x:v>
      </x:c>
      <x:c r="H53" s="30" t="n">
        <x:v>43547.62499999999</x:v>
      </x:c>
      <x:c r="I53" s="48" t="b">
        <x:v>0</x:v>
      </x:c>
    </x:row>
    <x:row r="54">
      <x:c r="A54" s="30" t="n">
        <x:v>45444</x:v>
      </x:c>
      <x:c r="B54" s="30" t="str">
        <x:v>Growth</x:v>
      </x:c>
      <x:c r="C54" s="30" t="n">
        <x:v>252</x:v>
      </x:c>
      <x:c r="D54" s="30" t="n">
        <x:v>13</x:v>
      </x:c>
      <x:c r="E54" s="30" t="n">
        <x:v>3</x:v>
      </x:c>
      <x:c r="F54" s="30" t="n">
        <x:v>262</x:v>
      </x:c>
      <x:c r="G54" s="30" t="n">
        <x:v>361.215</x:v>
      </x:c>
      <x:c r="H54" s="30" t="n">
        <x:v>95773.98995999999</x:v>
      </x:c>
      <x:c r="I54" s="48" t="b">
        <x:v>0</x:v>
      </x:c>
    </x:row>
    <x:row r="55">
      <x:c r="A55" s="30" t="n">
        <x:v>45444</x:v>
      </x:c>
      <x:c r="B55" s="30" t="str">
        <x:v>Enterprise</x:v>
      </x:c>
      <x:c r="C55" s="30" t="n">
        <x:v>47</x:v>
      </x:c>
      <x:c r="D55" s="30" t="n">
        <x:v>2</x:v>
      </x:c>
      <x:c r="E55" s="30" t="n">
        <x:v>0</x:v>
      </x:c>
      <x:c r="F55" s="30" t="n">
        <x:v>49</x:v>
      </x:c>
      <x:c r="G55" s="30" t="n">
        <x:v>1551.465</x:v>
      </x:c>
      <x:c r="H55" s="30" t="n">
        <x:v>77694.26426999999</x:v>
      </x:c>
      <x:c r="I55" s="48" t="b">
        <x:v>0</x:v>
      </x:c>
    </x:row>
    <x:row r="56">
      <x:c r="A56" s="30" t="n">
        <x:v>45474</x:v>
      </x:c>
      <x:c r="B56" s="30" t="str">
        <x:v>Starter</x:v>
      </x:c>
      <x:c r="C56" s="30" t="n">
        <x:v>425</x:v>
      </x:c>
      <x:c r="D56" s="30" t="n">
        <x:v>17</x:v>
      </x:c>
      <x:c r="E56" s="30" t="n">
        <x:v>7</x:v>
      </x:c>
      <x:c r="F56" s="30" t="n">
        <x:v>435</x:v>
      </x:c>
      <x:c r="G56" s="30" t="n">
        <x:v>102.46499999999999</x:v>
      </x:c>
      <x:c r="H56" s="30" t="n">
        <x:v>44572.274999999994</x:v>
      </x:c>
      <x:c r="I56" s="48" t="b">
        <x:v>0</x:v>
      </x:c>
    </x:row>
    <x:row r="57">
      <x:c r="A57" s="30" t="n">
        <x:v>45474</x:v>
      </x:c>
      <x:c r="B57" s="30" t="str">
        <x:v>Growth</x:v>
      </x:c>
      <x:c r="C57" s="30" t="n">
        <x:v>262</x:v>
      </x:c>
      <x:c r="D57" s="30" t="n">
        <x:v>11</x:v>
      </x:c>
      <x:c r="E57" s="30" t="n">
        <x:v>4</x:v>
      </x:c>
      <x:c r="F57" s="30" t="n">
        <x:v>269</x:v>
      </x:c>
      <x:c r="G57" s="30" t="n">
        <x:v>361.215</x:v>
      </x:c>
      <x:c r="H57" s="30" t="n">
        <x:v>98332.83701999999</x:v>
      </x:c>
      <x:c r="I57" s="48" t="b">
        <x:v>0</x:v>
      </x:c>
    </x:row>
    <x:row r="58">
      <x:c r="A58" s="30" t="n">
        <x:v>45474</x:v>
      </x:c>
      <x:c r="B58" s="30" t="str">
        <x:v>Enterprise</x:v>
      </x:c>
      <x:c r="C58" s="30" t="n">
        <x:v>49</x:v>
      </x:c>
      <x:c r="D58" s="30" t="n">
        <x:v>2</x:v>
      </x:c>
      <x:c r="E58" s="30" t="n">
        <x:v>0</x:v>
      </x:c>
      <x:c r="F58" s="30" t="n">
        <x:v>51</x:v>
      </x:c>
      <x:c r="G58" s="30" t="n">
        <x:v>1551.465</x:v>
      </x:c>
      <x:c r="H58" s="30" t="n">
        <x:v>80865.45873</x:v>
      </x:c>
      <x:c r="I58" s="48" t="b">
        <x:v>0</x:v>
      </x:c>
    </x:row>
    <x:row r="59">
      <x:c r="A59" s="30" t="n">
        <x:v>45505</x:v>
      </x:c>
      <x:c r="B59" s="30" t="str">
        <x:v>Starter</x:v>
      </x:c>
      <x:c r="C59" s="30" t="n">
        <x:v>435</x:v>
      </x:c>
      <x:c r="D59" s="30" t="n">
        <x:v>16</x:v>
      </x:c>
      <x:c r="E59" s="30" t="n">
        <x:v>10</x:v>
      </x:c>
      <x:c r="F59" s="30" t="n">
        <x:v>441</x:v>
      </x:c>
      <x:c r="G59" s="30" t="n">
        <x:v>102.46499999999999</x:v>
      </x:c>
      <x:c r="H59" s="30" t="n">
        <x:v>45187.064999999995</x:v>
      </x:c>
      <x:c r="I59" s="48" t="b">
        <x:v>0</x:v>
      </x:c>
    </x:row>
    <x:row r="60">
      <x:c r="A60" s="30" t="n">
        <x:v>45505</x:v>
      </x:c>
      <x:c r="B60" s="30" t="str">
        <x:v>Growth</x:v>
      </x:c>
      <x:c r="C60" s="30" t="n">
        <x:v>269</x:v>
      </x:c>
      <x:c r="D60" s="30" t="n">
        <x:v>12</x:v>
      </x:c>
      <x:c r="E60" s="30" t="n">
        <x:v>4</x:v>
      </x:c>
      <x:c r="F60" s="30" t="n">
        <x:v>277</x:v>
      </x:c>
      <x:c r="G60" s="30" t="n">
        <x:v>361.215</x:v>
      </x:c>
      <x:c r="H60" s="30" t="n">
        <x:v>101257.23366</x:v>
      </x:c>
      <x:c r="I60" s="48" t="b">
        <x:v>0</x:v>
      </x:c>
    </x:row>
    <x:row r="61">
      <x:c r="A61" s="30" t="n">
        <x:v>45505</x:v>
      </x:c>
      <x:c r="B61" s="30" t="str">
        <x:v>Enterprise</x:v>
      </x:c>
      <x:c r="C61" s="30" t="n">
        <x:v>51</x:v>
      </x:c>
      <x:c r="D61" s="30" t="n">
        <x:v>2</x:v>
      </x:c>
      <x:c r="E61" s="30" t="n">
        <x:v>0</x:v>
      </x:c>
      <x:c r="F61" s="30" t="n">
        <x:v>53</x:v>
      </x:c>
      <x:c r="G61" s="30" t="n">
        <x:v>1551.465</x:v>
      </x:c>
      <x:c r="H61" s="30" t="n">
        <x:v>84036.65319</x:v>
      </x:c>
      <x:c r="I61" s="48" t="b">
        <x:v>0</x:v>
      </x:c>
    </x:row>
    <x:row r="62">
      <x:c r="A62" s="30" t="n">
        <x:v>45536</x:v>
      </x:c>
      <x:c r="B62" s="30" t="str">
        <x:v>Starter</x:v>
      </x:c>
      <x:c r="C62" s="30" t="n">
        <x:v>441</x:v>
      </x:c>
      <x:c r="D62" s="30" t="n">
        <x:v>16</x:v>
      </x:c>
      <x:c r="E62" s="30" t="n">
        <x:v>11</x:v>
      </x:c>
      <x:c r="F62" s="30" t="n">
        <x:v>446</x:v>
      </x:c>
      <x:c r="G62" s="30" t="n">
        <x:v>102.46499999999999</x:v>
      </x:c>
      <x:c r="H62" s="30" t="n">
        <x:v>45699.38999999999</x:v>
      </x:c>
      <x:c r="I62" s="48" t="b">
        <x:v>0</x:v>
      </x:c>
    </x:row>
    <x:row r="63">
      <x:c r="A63" s="30" t="n">
        <x:v>45536</x:v>
      </x:c>
      <x:c r="B63" s="30" t="str">
        <x:v>Growth</x:v>
      </x:c>
      <x:c r="C63" s="30" t="n">
        <x:v>277</x:v>
      </x:c>
      <x:c r="D63" s="30" t="n">
        <x:v>13</x:v>
      </x:c>
      <x:c r="E63" s="30" t="n">
        <x:v>4</x:v>
      </x:c>
      <x:c r="F63" s="30" t="n">
        <x:v>286</x:v>
      </x:c>
      <x:c r="G63" s="30" t="n">
        <x:v>361.215</x:v>
      </x:c>
      <x:c r="H63" s="30" t="n">
        <x:v>104547.17988</x:v>
      </x:c>
      <x:c r="I63" s="48" t="b">
        <x:v>0</x:v>
      </x:c>
    </x:row>
    <x:row r="64">
      <x:c r="A64" s="30" t="n">
        <x:v>45536</x:v>
      </x:c>
      <x:c r="B64" s="30" t="str">
        <x:v>Enterprise</x:v>
      </x:c>
      <x:c r="C64" s="30" t="n">
        <x:v>53</x:v>
      </x:c>
      <x:c r="D64" s="30" t="n">
        <x:v>1</x:v>
      </x:c>
      <x:c r="E64" s="30" t="n">
        <x:v>0</x:v>
      </x:c>
      <x:c r="F64" s="30" t="n">
        <x:v>54</x:v>
      </x:c>
      <x:c r="G64" s="30" t="n">
        <x:v>1551.465</x:v>
      </x:c>
      <x:c r="H64" s="30" t="n">
        <x:v>85622.25042</x:v>
      </x:c>
      <x:c r="I64" s="48" t="b">
        <x:v>0</x:v>
      </x:c>
    </x:row>
    <x:row r="65">
      <x:c r="A65" s="30" t="n">
        <x:v>45566</x:v>
      </x:c>
      <x:c r="B65" s="30" t="str">
        <x:v>Starter</x:v>
      </x:c>
      <x:c r="C65" s="30" t="n">
        <x:v>446</x:v>
      </x:c>
      <x:c r="D65" s="30" t="n">
        <x:v>18</x:v>
      </x:c>
      <x:c r="E65" s="30" t="n">
        <x:v>11</x:v>
      </x:c>
      <x:c r="F65" s="30" t="n">
        <x:v>453</x:v>
      </x:c>
      <x:c r="G65" s="30" t="n">
        <x:v>102.46499999999999</x:v>
      </x:c>
      <x:c r="H65" s="30" t="n">
        <x:v>46416.645</x:v>
      </x:c>
      <x:c r="I65" s="48" t="b">
        <x:v>0</x:v>
      </x:c>
    </x:row>
    <x:row r="66">
      <x:c r="A66" s="30" t="n">
        <x:v>45566</x:v>
      </x:c>
      <x:c r="B66" s="30" t="str">
        <x:v>Growth</x:v>
      </x:c>
      <x:c r="C66" s="30" t="n">
        <x:v>286</x:v>
      </x:c>
      <x:c r="D66" s="30" t="n">
        <x:v>14</x:v>
      </x:c>
      <x:c r="E66" s="30" t="n">
        <x:v>5</x:v>
      </x:c>
      <x:c r="F66" s="30" t="n">
        <x:v>295</x:v>
      </x:c>
      <x:c r="G66" s="30" t="n">
        <x:v>361.215</x:v>
      </x:c>
      <x:c r="H66" s="30" t="n">
        <x:v>107837.1261</x:v>
      </x:c>
      <x:c r="I66" s="48" t="b">
        <x:v>0</x:v>
      </x:c>
    </x:row>
    <x:row r="67">
      <x:c r="A67" s="30" t="n">
        <x:v>45566</x:v>
      </x:c>
      <x:c r="B67" s="30" t="str">
        <x:v>Enterprise</x:v>
      </x:c>
      <x:c r="C67" s="30" t="n">
        <x:v>54</x:v>
      </x:c>
      <x:c r="D67" s="30" t="n">
        <x:v>1</x:v>
      </x:c>
      <x:c r="E67" s="30" t="n">
        <x:v>0</x:v>
      </x:c>
      <x:c r="F67" s="30" t="n">
        <x:v>55</x:v>
      </x:c>
      <x:c r="G67" s="30" t="n">
        <x:v>1551.465</x:v>
      </x:c>
      <x:c r="H67" s="30" t="n">
        <x:v>87207.84765</x:v>
      </x:c>
      <x:c r="I67" s="48" t="b">
        <x:v>0</x:v>
      </x:c>
    </x:row>
    <x:row r="68">
      <x:c r="A68" s="30" t="n">
        <x:v>45597</x:v>
      </x:c>
      <x:c r="B68" s="30" t="str">
        <x:v>Starter</x:v>
      </x:c>
      <x:c r="C68" s="30" t="n">
        <x:v>453</x:v>
      </x:c>
      <x:c r="D68" s="30" t="n">
        <x:v>17</x:v>
      </x:c>
      <x:c r="E68" s="30" t="n">
        <x:v>11</x:v>
      </x:c>
      <x:c r="F68" s="30" t="n">
        <x:v>459</x:v>
      </x:c>
      <x:c r="G68" s="30" t="n">
        <x:v>102.46499999999999</x:v>
      </x:c>
      <x:c r="H68" s="30" t="n">
        <x:v>47031.435</x:v>
      </x:c>
      <x:c r="I68" s="48" t="b">
        <x:v>0</x:v>
      </x:c>
    </x:row>
    <x:row r="69">
      <x:c r="A69" s="30" t="n">
        <x:v>45597</x:v>
      </x:c>
      <x:c r="B69" s="30" t="str">
        <x:v>Growth</x:v>
      </x:c>
      <x:c r="C69" s="30" t="n">
        <x:v>295</x:v>
      </x:c>
      <x:c r="D69" s="30" t="n">
        <x:v>14</x:v>
      </x:c>
      <x:c r="E69" s="30" t="n">
        <x:v>5</x:v>
      </x:c>
      <x:c r="F69" s="30" t="n">
        <x:v>304</x:v>
      </x:c>
      <x:c r="G69" s="30" t="n">
        <x:v>361.215</x:v>
      </x:c>
      <x:c r="H69" s="30" t="n">
        <x:v>111127.07231999999</x:v>
      </x:c>
      <x:c r="I69" s="48" t="b">
        <x:v>0</x:v>
      </x:c>
    </x:row>
    <x:row r="70">
      <x:c r="A70" s="30" t="n">
        <x:v>45597</x:v>
      </x:c>
      <x:c r="B70" s="30" t="str">
        <x:v>Enterprise</x:v>
      </x:c>
      <x:c r="C70" s="30" t="n">
        <x:v>55</x:v>
      </x:c>
      <x:c r="D70" s="30" t="n">
        <x:v>1</x:v>
      </x:c>
      <x:c r="E70" s="30" t="n">
        <x:v>0</x:v>
      </x:c>
      <x:c r="F70" s="30" t="n">
        <x:v>56</x:v>
      </x:c>
      <x:c r="G70" s="30" t="n">
        <x:v>1551.465</x:v>
      </x:c>
      <x:c r="H70" s="30" t="n">
        <x:v>88793.44488</x:v>
      </x:c>
      <x:c r="I70" s="48" t="b">
        <x:v>0</x:v>
      </x:c>
    </x:row>
    <x:row r="71">
      <x:c r="A71" s="30" t="n">
        <x:v>45627</x:v>
      </x:c>
      <x:c r="B71" s="30" t="str">
        <x:v>Starter</x:v>
      </x:c>
      <x:c r="C71" s="30" t="n">
        <x:v>459</x:v>
      </x:c>
      <x:c r="D71" s="30" t="n">
        <x:v>18</x:v>
      </x:c>
      <x:c r="E71" s="30" t="n">
        <x:v>11</x:v>
      </x:c>
      <x:c r="F71" s="30" t="n">
        <x:v>466</x:v>
      </x:c>
      <x:c r="G71" s="30" t="n">
        <x:v>102.46499999999999</x:v>
      </x:c>
      <x:c r="H71" s="30" t="n">
        <x:v>47748.689999999995</x:v>
      </x:c>
      <x:c r="I71" s="48" t="b">
        <x:v>0</x:v>
      </x:c>
    </x:row>
    <x:row r="72">
      <x:c r="A72" s="30" t="n">
        <x:v>45627</x:v>
      </x:c>
      <x:c r="B72" s="30" t="str">
        <x:v>Growth</x:v>
      </x:c>
      <x:c r="C72" s="30" t="n">
        <x:v>304</x:v>
      </x:c>
      <x:c r="D72" s="30" t="n">
        <x:v>13</x:v>
      </x:c>
      <x:c r="E72" s="30" t="n">
        <x:v>5</x:v>
      </x:c>
      <x:c r="F72" s="30" t="n">
        <x:v>312</x:v>
      </x:c>
      <x:c r="G72" s="30" t="n">
        <x:v>361.215</x:v>
      </x:c>
      <x:c r="H72" s="30" t="n">
        <x:v>114051.46895999998</x:v>
      </x:c>
      <x:c r="I72" s="48" t="b">
        <x:v>0</x:v>
      </x:c>
    </x:row>
    <x:row r="73">
      <x:c r="A73" s="30" t="n">
        <x:v>45627</x:v>
      </x:c>
      <x:c r="B73" s="30" t="str">
        <x:v>Enterprise</x:v>
      </x:c>
      <x:c r="C73" s="30" t="n">
        <x:v>56</x:v>
      </x:c>
      <x:c r="D73" s="30" t="n">
        <x:v>1</x:v>
      </x:c>
      <x:c r="E73" s="30" t="n">
        <x:v>0</x:v>
      </x:c>
      <x:c r="F73" s="30" t="n">
        <x:v>57</x:v>
      </x:c>
      <x:c r="G73" s="30" t="n">
        <x:v>1551.465</x:v>
      </x:c>
      <x:c r="H73" s="30" t="n">
        <x:v>90379.04211</x:v>
      </x:c>
      <x:c r="I73" s="48" t="b">
        <x:v>0</x:v>
      </x:c>
    </x:row>
    <x:row r="74">
      <x:c r="A74" s="30" t="n">
        <x:v>45658</x:v>
      </x:c>
      <x:c r="B74" s="30" t="str">
        <x:v>Starter</x:v>
      </x:c>
      <x:c r="C74" s="30" t="n">
        <x:v>466</x:v>
      </x:c>
      <x:c r="D74" s="30" t="n">
        <x:v>19</x:v>
      </x:c>
      <x:c r="E74" s="30" t="n">
        <x:v>10</x:v>
      </x:c>
      <x:c r="F74" s="30" t="n">
        <x:v>475</x:v>
      </x:c>
      <x:c r="G74" s="30" t="n">
        <x:v>106.05127499999999</x:v>
      </x:c>
      <x:c r="H74" s="30" t="n">
        <x:v>50374.355625</x:v>
      </x:c>
      <x:c r="I74" s="48" t="b">
        <x:v>0</x:v>
      </x:c>
    </x:row>
    <x:row r="75">
      <x:c r="A75" s="30" t="n">
        <x:v>45658</x:v>
      </x:c>
      <x:c r="B75" s="30" t="str">
        <x:v>Growth</x:v>
      </x:c>
      <x:c r="C75" s="30" t="n">
        <x:v>312</x:v>
      </x:c>
      <x:c r="D75" s="30" t="n">
        <x:v>13</x:v>
      </x:c>
      <x:c r="E75" s="30" t="n">
        <x:v>5</x:v>
      </x:c>
      <x:c r="F75" s="30" t="n">
        <x:v>320</x:v>
      </x:c>
      <x:c r="G75" s="30" t="n">
        <x:v>373.85752499999995</x:v>
      </x:c>
      <x:c r="H75" s="30" t="n">
        <x:v>121070.02089599999</x:v>
      </x:c>
      <x:c r="I75" s="48" t="b">
        <x:v>0</x:v>
      </x:c>
    </x:row>
    <x:row r="76">
      <x:c r="A76" s="30" t="n">
        <x:v>45658</x:v>
      </x:c>
      <x:c r="B76" s="30" t="str">
        <x:v>Enterprise</x:v>
      </x:c>
      <x:c r="C76" s="30" t="n">
        <x:v>57</x:v>
      </x:c>
      <x:c r="D76" s="30" t="n">
        <x:v>2</x:v>
      </x:c>
      <x:c r="E76" s="30" t="n">
        <x:v>0</x:v>
      </x:c>
      <x:c r="F76" s="30" t="n">
        <x:v>59</x:v>
      </x:c>
      <x:c r="G76" s="30" t="n">
        <x:v>1605.7662749999997</x:v>
      </x:c>
      <x:c r="H76" s="30" t="n">
        <x:v>96824.49484994999</x:v>
      </x:c>
      <x:c r="I76" s="48" t="b">
        <x:v>0</x:v>
      </x:c>
    </x:row>
    <x:row r="77">
      <x:c r="A77" s="30" t="n">
        <x:v>45689</x:v>
      </x:c>
      <x:c r="B77" s="30" t="str">
        <x:v>Starter</x:v>
      </x:c>
      <x:c r="C77" s="30" t="n">
        <x:v>475</x:v>
      </x:c>
      <x:c r="D77" s="30" t="n">
        <x:v>20</x:v>
      </x:c>
      <x:c r="E77" s="30" t="n">
        <x:v>14</x:v>
      </x:c>
      <x:c r="F77" s="30" t="n">
        <x:v>481</x:v>
      </x:c>
      <x:c r="G77" s="30" t="n">
        <x:v>106.05127499999999</x:v>
      </x:c>
      <x:c r="H77" s="30" t="n">
        <x:v>51010.66327499999</x:v>
      </x:c>
      <x:c r="I77" s="48" t="b">
        <x:v>0</x:v>
      </x:c>
    </x:row>
    <x:row r="78">
      <x:c r="A78" s="30" t="n">
        <x:v>45689</x:v>
      </x:c>
      <x:c r="B78" s="30" t="str">
        <x:v>Growth</x:v>
      </x:c>
      <x:c r="C78" s="30" t="n">
        <x:v>320</x:v>
      </x:c>
      <x:c r="D78" s="30" t="n">
        <x:v>16</x:v>
      </x:c>
      <x:c r="E78" s="30" t="n">
        <x:v>5</x:v>
      </x:c>
      <x:c r="F78" s="30" t="n">
        <x:v>331</x:v>
      </x:c>
      <x:c r="G78" s="30" t="n">
        <x:v>373.85752499999995</x:v>
      </x:c>
      <x:c r="H78" s="30" t="n">
        <x:v>125231.80286429999</x:v>
      </x:c>
      <x:c r="I78" s="48" t="b">
        <x:v>0</x:v>
      </x:c>
    </x:row>
    <x:row r="79">
      <x:c r="A79" s="30" t="n">
        <x:v>45689</x:v>
      </x:c>
      <x:c r="B79" s="30" t="str">
        <x:v>Enterprise</x:v>
      </x:c>
      <x:c r="C79" s="30" t="n">
        <x:v>59</x:v>
      </x:c>
      <x:c r="D79" s="30" t="n">
        <x:v>2</x:v>
      </x:c>
      <x:c r="E79" s="30" t="n">
        <x:v>0</x:v>
      </x:c>
      <x:c r="F79" s="30" t="n">
        <x:v>61</x:v>
      </x:c>
      <x:c r="G79" s="30" t="n">
        <x:v>1605.7662749999997</x:v>
      </x:c>
      <x:c r="H79" s="30" t="n">
        <x:v>100106.68111604998</x:v>
      </x:c>
      <x:c r="I79" s="48" t="b">
        <x:v>0</x:v>
      </x:c>
    </x:row>
    <x:row r="80">
      <x:c r="A80" s="30" t="n">
        <x:v>45717</x:v>
      </x:c>
      <x:c r="B80" s="30" t="str">
        <x:v>Starter</x:v>
      </x:c>
      <x:c r="C80" s="30" t="n">
        <x:v>481</x:v>
      </x:c>
      <x:c r="D80" s="30" t="n">
        <x:v>21</x:v>
      </x:c>
      <x:c r="E80" s="30" t="n">
        <x:v>11</x:v>
      </x:c>
      <x:c r="F80" s="30" t="n">
        <x:v>491</x:v>
      </x:c>
      <x:c r="G80" s="30" t="n">
        <x:v>106.05127499999999</x:v>
      </x:c>
      <x:c r="H80" s="30" t="n">
        <x:v>52071.17602499999</x:v>
      </x:c>
      <x:c r="I80" s="48" t="b">
        <x:v>0</x:v>
      </x:c>
    </x:row>
    <x:row r="81">
      <x:c r="A81" s="30" t="n">
        <x:v>45717</x:v>
      </x:c>
      <x:c r="B81" s="30" t="str">
        <x:v>Growth</x:v>
      </x:c>
      <x:c r="C81" s="30" t="n">
        <x:v>331</x:v>
      </x:c>
      <x:c r="D81" s="30" t="n">
        <x:v>17</x:v>
      </x:c>
      <x:c r="E81" s="30" t="n">
        <x:v>5</x:v>
      </x:c>
      <x:c r="F81" s="30" t="n">
        <x:v>343</x:v>
      </x:c>
      <x:c r="G81" s="30" t="n">
        <x:v>373.85752499999995</x:v>
      </x:c>
      <x:c r="H81" s="30" t="n">
        <x:v>129771.92864789999</x:v>
      </x:c>
      <x:c r="I81" s="48" t="b">
        <x:v>0</x:v>
      </x:c>
    </x:row>
    <x:row r="82">
      <x:c r="A82" s="30" t="n">
        <x:v>45717</x:v>
      </x:c>
      <x:c r="B82" s="30" t="str">
        <x:v>Enterprise</x:v>
      </x:c>
      <x:c r="C82" s="30" t="n">
        <x:v>61</x:v>
      </x:c>
      <x:c r="D82" s="30" t="n">
        <x:v>2</x:v>
      </x:c>
      <x:c r="E82" s="30" t="n">
        <x:v>0</x:v>
      </x:c>
      <x:c r="F82" s="30" t="n">
        <x:v>63</x:v>
      </x:c>
      <x:c r="G82" s="30" t="n">
        <x:v>1605.7662749999997</x:v>
      </x:c>
      <x:c r="H82" s="30" t="n">
        <x:v>103388.86738214998</x:v>
      </x:c>
      <x:c r="I82" s="48" t="b">
        <x:v>0</x:v>
      </x:c>
    </x:row>
    <x:row r="83">
      <x:c r="A83" s="30" t="n">
        <x:v>45748</x:v>
      </x:c>
      <x:c r="B83" s="30" t="str">
        <x:v>Starter</x:v>
      </x:c>
      <x:c r="C83" s="30" t="n">
        <x:v>491</x:v>
      </x:c>
      <x:c r="D83" s="30" t="n">
        <x:v>20</x:v>
      </x:c>
      <x:c r="E83" s="30" t="n">
        <x:v>8</x:v>
      </x:c>
      <x:c r="F83" s="30" t="n">
        <x:v>503</x:v>
      </x:c>
      <x:c r="G83" s="30" t="n">
        <x:v>106.05127499999999</x:v>
      </x:c>
      <x:c r="H83" s="30" t="n">
        <x:v>53343.791325</x:v>
      </x:c>
      <x:c r="I83" s="48" t="b">
        <x:v>0</x:v>
      </x:c>
    </x:row>
    <x:row r="84">
      <x:c r="A84" s="30" t="n">
        <x:v>45748</x:v>
      </x:c>
      <x:c r="B84" s="30" t="str">
        <x:v>Growth</x:v>
      </x:c>
      <x:c r="C84" s="30" t="n">
        <x:v>343</x:v>
      </x:c>
      <x:c r="D84" s="30" t="n">
        <x:v>18</x:v>
      </x:c>
      <x:c r="E84" s="30" t="n">
        <x:v>6</x:v>
      </x:c>
      <x:c r="F84" s="30" t="n">
        <x:v>355</x:v>
      </x:c>
      <x:c r="G84" s="30" t="n">
        <x:v>373.85752499999995</x:v>
      </x:c>
      <x:c r="H84" s="30" t="n">
        <x:v>134312.05443149997</x:v>
      </x:c>
      <x:c r="I84" s="48" t="b">
        <x:v>0</x:v>
      </x:c>
    </x:row>
    <x:row r="85">
      <x:c r="A85" s="30" t="n">
        <x:v>45748</x:v>
      </x:c>
      <x:c r="B85" s="30" t="str">
        <x:v>Enterprise</x:v>
      </x:c>
      <x:c r="C85" s="30" t="n">
        <x:v>63</x:v>
      </x:c>
      <x:c r="D85" s="30" t="n">
        <x:v>2</x:v>
      </x:c>
      <x:c r="E85" s="30" t="n">
        <x:v>1</x:v>
      </x:c>
      <x:c r="F85" s="30" t="n">
        <x:v>64</x:v>
      </x:c>
      <x:c r="G85" s="30" t="n">
        <x:v>1605.7662749999997</x:v>
      </x:c>
      <x:c r="H85" s="30" t="n">
        <x:v>105029.96051519999</x:v>
      </x:c>
      <x:c r="I85" s="48" t="b">
        <x:v>0</x:v>
      </x:c>
    </x:row>
    <x:row r="86">
      <x:c r="A86" s="30" t="n">
        <x:v>45778</x:v>
      </x:c>
      <x:c r="B86" s="30" t="str">
        <x:v>Starter</x:v>
      </x:c>
      <x:c r="C86" s="30" t="n">
        <x:v>503</x:v>
      </x:c>
      <x:c r="D86" s="30" t="n">
        <x:v>23</x:v>
      </x:c>
      <x:c r="E86" s="30" t="n">
        <x:v>16</x:v>
      </x:c>
      <x:c r="F86" s="30" t="n">
        <x:v>510</x:v>
      </x:c>
      <x:c r="G86" s="30" t="n">
        <x:v>106.05127499999999</x:v>
      </x:c>
      <x:c r="H86" s="30" t="n">
        <x:v>54086.15024999999</x:v>
      </x:c>
      <x:c r="I86" s="48" t="b">
        <x:v>0</x:v>
      </x:c>
    </x:row>
    <x:row r="87">
      <x:c r="A87" s="30" t="n">
        <x:v>45778</x:v>
      </x:c>
      <x:c r="B87" s="30" t="str">
        <x:v>Growth</x:v>
      </x:c>
      <x:c r="C87" s="30" t="n">
        <x:v>355</x:v>
      </x:c>
      <x:c r="D87" s="30" t="n">
        <x:v>21</x:v>
      </x:c>
      <x:c r="E87" s="30" t="n">
        <x:v>6</x:v>
      </x:c>
      <x:c r="F87" s="30" t="n">
        <x:v>370</x:v>
      </x:c>
      <x:c r="G87" s="30" t="n">
        <x:v>373.85752499999995</x:v>
      </x:c>
      <x:c r="H87" s="30" t="n">
        <x:v>139987.211661</x:v>
      </x:c>
      <x:c r="I87" s="48" t="b">
        <x:v>0</x:v>
      </x:c>
    </x:row>
    <x:row r="88">
      <x:c r="A88" s="30" t="n">
        <x:v>45778</x:v>
      </x:c>
      <x:c r="B88" s="30" t="str">
        <x:v>Enterprise</x:v>
      </x:c>
      <x:c r="C88" s="30" t="n">
        <x:v>64</x:v>
      </x:c>
      <x:c r="D88" s="30" t="n">
        <x:v>2</x:v>
      </x:c>
      <x:c r="E88" s="30" t="n">
        <x:v>0</x:v>
      </x:c>
      <x:c r="F88" s="30" t="n">
        <x:v>66</x:v>
      </x:c>
      <x:c r="G88" s="30" t="n">
        <x:v>1605.7662749999997</x:v>
      </x:c>
      <x:c r="H88" s="30" t="n">
        <x:v>108312.14678129999</x:v>
      </x:c>
      <x:c r="I88" s="48" t="b">
        <x:v>0</x:v>
      </x:c>
    </x:row>
    <x:row r="89">
      <x:c r="A89" s="30" t="n">
        <x:v>45809</x:v>
      </x:c>
      <x:c r="B89" s="30" t="str">
        <x:v>Starter</x:v>
      </x:c>
      <x:c r="C89" s="30" t="n">
        <x:v>510</x:v>
      </x:c>
      <x:c r="D89" s="30" t="n">
        <x:v>21</x:v>
      </x:c>
      <x:c r="E89" s="30" t="n">
        <x:v>13</x:v>
      </x:c>
      <x:c r="F89" s="30" t="n">
        <x:v>518</x:v>
      </x:c>
      <x:c r="G89" s="30" t="n">
        <x:v>106.05127499999999</x:v>
      </x:c>
      <x:c r="H89" s="30" t="n">
        <x:v>54934.56045</x:v>
      </x:c>
      <x:c r="I89" s="48" t="b">
        <x:v>0</x:v>
      </x:c>
    </x:row>
    <x:row r="90">
      <x:c r="A90" s="30" t="n">
        <x:v>45809</x:v>
      </x:c>
      <x:c r="B90" s="30" t="str">
        <x:v>Growth</x:v>
      </x:c>
      <x:c r="C90" s="30" t="n">
        <x:v>370</x:v>
      </x:c>
      <x:c r="D90" s="30" t="n">
        <x:v>20</x:v>
      </x:c>
      <x:c r="E90" s="30" t="n">
        <x:v>5</x:v>
      </x:c>
      <x:c r="F90" s="30" t="n">
        <x:v>385</x:v>
      </x:c>
      <x:c r="G90" s="30" t="n">
        <x:v>373.85752499999995</x:v>
      </x:c>
      <x:c r="H90" s="30" t="n">
        <x:v>145662.3688905</x:v>
      </x:c>
      <x:c r="I90" s="48" t="b">
        <x:v>0</x:v>
      </x:c>
    </x:row>
    <x:row r="91">
      <x:c r="A91" s="30" t="n">
        <x:v>45809</x:v>
      </x:c>
      <x:c r="B91" s="30" t="str">
        <x:v>Enterprise</x:v>
      </x:c>
      <x:c r="C91" s="30" t="n">
        <x:v>66</x:v>
      </x:c>
      <x:c r="D91" s="30" t="n">
        <x:v>2</x:v>
      </x:c>
      <x:c r="E91" s="30" t="n">
        <x:v>1</x:v>
      </x:c>
      <x:c r="F91" s="30" t="n">
        <x:v>67</x:v>
      </x:c>
      <x:c r="G91" s="30" t="n">
        <x:v>1605.7662749999997</x:v>
      </x:c>
      <x:c r="H91" s="30" t="n">
        <x:v>109953.23991435</x:v>
      </x:c>
      <x:c r="I91" s="48" t="b">
        <x:v>0</x:v>
      </x:c>
    </x:row>
    <x:row r="92">
      <x:c r="A92" s="30" t="n">
        <x:v>45839</x:v>
      </x:c>
      <x:c r="B92" s="30" t="str">
        <x:v>Starter</x:v>
      </x:c>
      <x:c r="C92" s="30" t="n">
        <x:v>518</x:v>
      </x:c>
      <x:c r="D92" s="30" t="n">
        <x:v>21</x:v>
      </x:c>
      <x:c r="E92" s="30" t="n">
        <x:v>15</x:v>
      </x:c>
      <x:c r="F92" s="30" t="n">
        <x:v>524</x:v>
      </x:c>
      <x:c r="G92" s="30" t="n">
        <x:v>106.05127499999999</x:v>
      </x:c>
      <x:c r="H92" s="30" t="n">
        <x:v>55570.86809999999</x:v>
      </x:c>
      <x:c r="I92" s="48" t="b">
        <x:v>0</x:v>
      </x:c>
    </x:row>
    <x:row r="93">
      <x:c r="A93" s="30" t="n">
        <x:v>45839</x:v>
      </x:c>
      <x:c r="B93" s="30" t="str">
        <x:v>Growth</x:v>
      </x:c>
      <x:c r="C93" s="30" t="n">
        <x:v>385</x:v>
      </x:c>
      <x:c r="D93" s="30" t="n">
        <x:v>21</x:v>
      </x:c>
      <x:c r="E93" s="30" t="n">
        <x:v>5</x:v>
      </x:c>
      <x:c r="F93" s="30" t="n">
        <x:v>401</x:v>
      </x:c>
      <x:c r="G93" s="30" t="n">
        <x:v>373.85752499999995</x:v>
      </x:c>
      <x:c r="H93" s="30" t="n">
        <x:v>151715.86993529997</x:v>
      </x:c>
      <x:c r="I93" s="48" t="b">
        <x:v>0</x:v>
      </x:c>
    </x:row>
    <x:row r="94">
      <x:c r="A94" s="30" t="n">
        <x:v>45839</x:v>
      </x:c>
      <x:c r="B94" s="30" t="str">
        <x:v>Enterprise</x:v>
      </x:c>
      <x:c r="C94" s="30" t="n">
        <x:v>67</x:v>
      </x:c>
      <x:c r="D94" s="30" t="n">
        <x:v>2</x:v>
      </x:c>
      <x:c r="E94" s="30" t="n">
        <x:v>1</x:v>
      </x:c>
      <x:c r="F94" s="30" t="n">
        <x:v>68</x:v>
      </x:c>
      <x:c r="G94" s="30" t="n">
        <x:v>1605.7662749999997</x:v>
      </x:c>
      <x:c r="H94" s="30" t="n">
        <x:v>111594.33304739998</x:v>
      </x:c>
      <x:c r="I94" s="48" t="b">
        <x:v>0</x:v>
      </x:c>
    </x:row>
    <x:row r="95">
      <x:c r="A95" s="30" t="n">
        <x:v>45870</x:v>
      </x:c>
      <x:c r="B95" s="30" t="str">
        <x:v>Starter</x:v>
      </x:c>
      <x:c r="C95" s="30" t="n">
        <x:v>524</x:v>
      </x:c>
      <x:c r="D95" s="30" t="n">
        <x:v>21</x:v>
      </x:c>
      <x:c r="E95" s="30" t="n">
        <x:v>10</x:v>
      </x:c>
      <x:c r="F95" s="30" t="n">
        <x:v>535</x:v>
      </x:c>
      <x:c r="G95" s="30" t="n">
        <x:v>106.05127499999999</x:v>
      </x:c>
      <x:c r="H95" s="30" t="n">
        <x:v>56737.43212499999</x:v>
      </x:c>
      <x:c r="I95" s="48" t="b">
        <x:v>0</x:v>
      </x:c>
    </x:row>
    <x:row r="96">
      <x:c r="A96" s="30" t="n">
        <x:v>45870</x:v>
      </x:c>
      <x:c r="B96" s="30" t="str">
        <x:v>Growth</x:v>
      </x:c>
      <x:c r="C96" s="30" t="n">
        <x:v>401</x:v>
      </x:c>
      <x:c r="D96" s="30" t="n">
        <x:v>16</x:v>
      </x:c>
      <x:c r="E96" s="30" t="n">
        <x:v>7</x:v>
      </x:c>
      <x:c r="F96" s="30" t="n">
        <x:v>410</x:v>
      </x:c>
      <x:c r="G96" s="30" t="n">
        <x:v>373.85752499999995</x:v>
      </x:c>
      <x:c r="H96" s="30" t="n">
        <x:v>155120.964273</x:v>
      </x:c>
      <x:c r="I96" s="48" t="b">
        <x:v>0</x:v>
      </x:c>
    </x:row>
    <x:row r="97">
      <x:c r="A97" s="30" t="n">
        <x:v>45870</x:v>
      </x:c>
      <x:c r="B97" s="30" t="str">
        <x:v>Enterprise</x:v>
      </x:c>
      <x:c r="C97" s="30" t="n">
        <x:v>68</x:v>
      </x:c>
      <x:c r="D97" s="30" t="n">
        <x:v>2</x:v>
      </x:c>
      <x:c r="E97" s="30" t="n">
        <x:v>0</x:v>
      </x:c>
      <x:c r="F97" s="30" t="n">
        <x:v>70</x:v>
      </x:c>
      <x:c r="G97" s="30" t="n">
        <x:v>1605.7662749999997</x:v>
      </x:c>
      <x:c r="H97" s="30" t="n">
        <x:v>114876.51931349999</x:v>
      </x:c>
      <x:c r="I97" s="48" t="b">
        <x:v>0</x:v>
      </x:c>
    </x:row>
    <x:row r="98">
      <x:c r="A98" s="30" t="n">
        <x:v>45901</x:v>
      </x:c>
      <x:c r="B98" s="30" t="str">
        <x:v>Starter</x:v>
      </x:c>
      <x:c r="C98" s="30" t="n">
        <x:v>535</x:v>
      </x:c>
      <x:c r="D98" s="30" t="n">
        <x:v>16</x:v>
      </x:c>
      <x:c r="E98" s="30" t="n">
        <x:v>12</x:v>
      </x:c>
      <x:c r="F98" s="30" t="n">
        <x:v>539</x:v>
      </x:c>
      <x:c r="G98" s="30" t="n">
        <x:v>106.05127499999999</x:v>
      </x:c>
      <x:c r="H98" s="30" t="n">
        <x:v>57161.63722499999</x:v>
      </x:c>
      <x:c r="I98" s="48" t="b">
        <x:v>0</x:v>
      </x:c>
    </x:row>
    <x:row r="99">
      <x:c r="A99" s="30" t="n">
        <x:v>45901</x:v>
      </x:c>
      <x:c r="B99" s="30" t="str">
        <x:v>Growth</x:v>
      </x:c>
      <x:c r="C99" s="30" t="n">
        <x:v>410</x:v>
      </x:c>
      <x:c r="D99" s="30" t="n">
        <x:v>18</x:v>
      </x:c>
      <x:c r="E99" s="30" t="n">
        <x:v>7</x:v>
      </x:c>
      <x:c r="F99" s="30" t="n">
        <x:v>421</x:v>
      </x:c>
      <x:c r="G99" s="30" t="n">
        <x:v>373.85752499999995</x:v>
      </x:c>
      <x:c r="H99" s="30" t="n">
        <x:v>159282.74624129996</x:v>
      </x:c>
      <x:c r="I99" s="48" t="b">
        <x:v>0</x:v>
      </x:c>
    </x:row>
    <x:row r="100">
      <x:c r="A100" s="30" t="n">
        <x:v>45901</x:v>
      </x:c>
      <x:c r="B100" s="30" t="str">
        <x:v>Enterprise</x:v>
      </x:c>
      <x:c r="C100" s="30" t="n">
        <x:v>70</x:v>
      </x:c>
      <x:c r="D100" s="30" t="n">
        <x:v>2</x:v>
      </x:c>
      <x:c r="E100" s="30" t="n">
        <x:v>1</x:v>
      </x:c>
      <x:c r="F100" s="30" t="n">
        <x:v>71</x:v>
      </x:c>
      <x:c r="G100" s="30" t="n">
        <x:v>1605.7662749999997</x:v>
      </x:c>
      <x:c r="H100" s="30" t="n">
        <x:v>116517.61244654999</x:v>
      </x:c>
      <x:c r="I100" s="48" t="b">
        <x:v>0</x:v>
      </x:c>
    </x:row>
    <x:row r="101">
      <x:c r="A101" s="30" t="n">
        <x:v>45931</x:v>
      </x:c>
      <x:c r="B101" s="30" t="str">
        <x:v>Starter</x:v>
      </x:c>
      <x:c r="C101" s="30" t="n">
        <x:v>539</x:v>
      </x:c>
      <x:c r="D101" s="30" t="n">
        <x:v>21</x:v>
      </x:c>
      <x:c r="E101" s="30" t="n">
        <x:v>14</x:v>
      </x:c>
      <x:c r="F101" s="30" t="n">
        <x:v>546</x:v>
      </x:c>
      <x:c r="G101" s="30" t="n">
        <x:v>106.05127499999999</x:v>
      </x:c>
      <x:c r="H101" s="30" t="n">
        <x:v>57903.99614999999</x:v>
      </x:c>
      <x:c r="I101" s="48" t="b">
        <x:v>0</x:v>
      </x:c>
    </x:row>
    <x:row r="102">
      <x:c r="A102" s="30" t="n">
        <x:v>45931</x:v>
      </x:c>
      <x:c r="B102" s="30" t="str">
        <x:v>Growth</x:v>
      </x:c>
      <x:c r="C102" s="30" t="n">
        <x:v>421</x:v>
      </x:c>
      <x:c r="D102" s="30" t="n">
        <x:v>19</x:v>
      </x:c>
      <x:c r="E102" s="30" t="n">
        <x:v>7</x:v>
      </x:c>
      <x:c r="F102" s="30" t="n">
        <x:v>433</x:v>
      </x:c>
      <x:c r="G102" s="30" t="n">
        <x:v>373.85752499999995</x:v>
      </x:c>
      <x:c r="H102" s="30" t="n">
        <x:v>163822.8720249</x:v>
      </x:c>
      <x:c r="I102" s="48" t="b">
        <x:v>0</x:v>
      </x:c>
    </x:row>
    <x:row r="103">
      <x:c r="A103" s="30" t="n">
        <x:v>45931</x:v>
      </x:c>
      <x:c r="B103" s="30" t="str">
        <x:v>Enterprise</x:v>
      </x:c>
      <x:c r="C103" s="30" t="n">
        <x:v>71</x:v>
      </x:c>
      <x:c r="D103" s="30" t="n">
        <x:v>2</x:v>
      </x:c>
      <x:c r="E103" s="30" t="n">
        <x:v>1</x:v>
      </x:c>
      <x:c r="F103" s="30" t="n">
        <x:v>72</x:v>
      </x:c>
      <x:c r="G103" s="30" t="n">
        <x:v>1605.7662749999997</x:v>
      </x:c>
      <x:c r="H103" s="30" t="n">
        <x:v>118158.70557959998</x:v>
      </x:c>
      <x:c r="I103" s="48" t="b">
        <x:v>0</x:v>
      </x:c>
    </x:row>
    <x:row r="104">
      <x:c r="A104" s="30" t="n">
        <x:v>45962</x:v>
      </x:c>
      <x:c r="B104" s="30" t="str">
        <x:v>Starter</x:v>
      </x:c>
      <x:c r="C104" s="30" t="n">
        <x:v>546</x:v>
      </x:c>
      <x:c r="D104" s="30" t="n">
        <x:v>22</x:v>
      </x:c>
      <x:c r="E104" s="30" t="n">
        <x:v>12</x:v>
      </x:c>
      <x:c r="F104" s="30" t="n">
        <x:v>556</x:v>
      </x:c>
      <x:c r="G104" s="30" t="n">
        <x:v>106.05127499999999</x:v>
      </x:c>
      <x:c r="H104" s="30" t="n">
        <x:v>58964.50889999999</x:v>
      </x:c>
      <x:c r="I104" s="48" t="b">
        <x:v>0</x:v>
      </x:c>
    </x:row>
    <x:row r="105">
      <x:c r="A105" s="30" t="n">
        <x:v>45962</x:v>
      </x:c>
      <x:c r="B105" s="30" t="str">
        <x:v>Growth</x:v>
      </x:c>
      <x:c r="C105" s="30" t="n">
        <x:v>433</x:v>
      </x:c>
      <x:c r="D105" s="30" t="n">
        <x:v>17</x:v>
      </x:c>
      <x:c r="E105" s="30" t="n">
        <x:v>5</x:v>
      </x:c>
      <x:c r="F105" s="30" t="n">
        <x:v>445</x:v>
      </x:c>
      <x:c r="G105" s="30" t="n">
        <x:v>373.85752499999995</x:v>
      </x:c>
      <x:c r="H105" s="30" t="n">
        <x:v>168362.9978085</x:v>
      </x:c>
      <x:c r="I105" s="48" t="b">
        <x:v>0</x:v>
      </x:c>
    </x:row>
    <x:row r="106">
      <x:c r="A106" s="30" t="n">
        <x:v>45962</x:v>
      </x:c>
      <x:c r="B106" s="30" t="str">
        <x:v>Enterprise</x:v>
      </x:c>
      <x:c r="C106" s="30" t="n">
        <x:v>72</x:v>
      </x:c>
      <x:c r="D106" s="30" t="n">
        <x:v>2</x:v>
      </x:c>
      <x:c r="E106" s="30" t="n">
        <x:v>1</x:v>
      </x:c>
      <x:c r="F106" s="30" t="n">
        <x:v>73</x:v>
      </x:c>
      <x:c r="G106" s="30" t="n">
        <x:v>1605.7662749999997</x:v>
      </x:c>
      <x:c r="H106" s="30" t="n">
        <x:v>119799.79871264998</x:v>
      </x:c>
      <x:c r="I106" s="48" t="b">
        <x:v>0</x:v>
      </x:c>
    </x:row>
    <x:row r="107">
      <x:c r="A107" s="30" t="n">
        <x:v>45992</x:v>
      </x:c>
      <x:c r="B107" s="30" t="str">
        <x:v>Starter</x:v>
      </x:c>
      <x:c r="C107" s="30" t="n">
        <x:v>556</x:v>
      </x:c>
      <x:c r="D107" s="30" t="n">
        <x:v>21</x:v>
      </x:c>
      <x:c r="E107" s="30" t="n">
        <x:v>17</x:v>
      </x:c>
      <x:c r="F107" s="30" t="n">
        <x:v>560</x:v>
      </x:c>
      <x:c r="G107" s="30" t="n">
        <x:v>106.05127499999999</x:v>
      </x:c>
      <x:c r="H107" s="30" t="n">
        <x:v>59388.71399999999</x:v>
      </x:c>
      <x:c r="I107" s="48" t="b">
        <x:v>0</x:v>
      </x:c>
    </x:row>
    <x:row r="108">
      <x:c r="A108" s="30" t="n">
        <x:v>45992</x:v>
      </x:c>
      <x:c r="B108" s="30" t="str">
        <x:v>Growth</x:v>
      </x:c>
      <x:c r="C108" s="30" t="n">
        <x:v>445</x:v>
      </x:c>
      <x:c r="D108" s="30" t="n">
        <x:v>16</x:v>
      </x:c>
      <x:c r="E108" s="30" t="n">
        <x:v>7</x:v>
      </x:c>
      <x:c r="F108" s="30" t="n">
        <x:v>454</x:v>
      </x:c>
      <x:c r="G108" s="30" t="n">
        <x:v>373.85752499999995</x:v>
      </x:c>
      <x:c r="H108" s="30" t="n">
        <x:v>171768.09214619998</x:v>
      </x:c>
      <x:c r="I108" s="48" t="b">
        <x:v>0</x:v>
      </x:c>
    </x:row>
    <x:row r="109">
      <x:c r="A109" s="30" t="n">
        <x:v>45992</x:v>
      </x:c>
      <x:c r="B109" s="30" t="str">
        <x:v>Enterprise</x:v>
      </x:c>
      <x:c r="C109" s="30" t="n">
        <x:v>73</x:v>
      </x:c>
      <x:c r="D109" s="30" t="n">
        <x:v>2</x:v>
      </x:c>
      <x:c r="E109" s="30" t="n">
        <x:v>1</x:v>
      </x:c>
      <x:c r="F109" s="30" t="n">
        <x:v>74</x:v>
      </x:c>
      <x:c r="G109" s="30" t="n">
        <x:v>1605.7662749999997</x:v>
      </x:c>
      <x:c r="H109" s="30" t="n">
        <x:v>121440.89184569998</x:v>
      </x:c>
      <x:c r="I109" s="48" t="b">
        <x:v>0</x:v>
      </x:c>
    </x:row>
    <x:row r="110">
      <x:c r="A110" s="30" t="n">
        <x:v>46023</x:v>
      </x:c>
      <x:c r="B110" s="30" t="str">
        <x:v>Starter</x:v>
      </x:c>
      <x:c r="C110" s="30" t="n">
        <x:v>560</x:v>
      </x:c>
      <x:c r="D110" s="30" t="n">
        <x:v>24</x:v>
      </x:c>
      <x:c r="E110" s="30" t="n">
        <x:v>10</x:v>
      </x:c>
      <x:c r="F110" s="30" t="n">
        <x:v>574</x:v>
      </x:c>
      <x:c r="G110" s="30" t="n">
        <x:v>109.76306962499997</x:v>
      </x:c>
      <x:c r="H110" s="30" t="n">
        <x:v>63004.00196474999</x:v>
      </x:c>
      <x:c r="I110" s="48" t="b">
        <x:v>0</x:v>
      </x:c>
    </x:row>
    <x:row r="111">
      <x:c r="A111" s="30" t="n">
        <x:v>46023</x:v>
      </x:c>
      <x:c r="B111" s="30" t="str">
        <x:v>Growth</x:v>
      </x:c>
      <x:c r="C111" s="30" t="n">
        <x:v>454</x:v>
      </x:c>
      <x:c r="D111" s="30" t="n">
        <x:v>21</x:v>
      </x:c>
      <x:c r="E111" s="30" t="n">
        <x:v>6</x:v>
      </x:c>
      <x:c r="F111" s="30" t="n">
        <x:v>469</x:v>
      </x:c>
      <x:c r="G111" s="30" t="n">
        <x:v>386.9425383749999</x:v>
      </x:c>
      <x:c r="H111" s="30" t="n">
        <x:v>183653.76310384946</x:v>
      </x:c>
      <x:c r="I111" s="48" t="b">
        <x:v>0</x:v>
      </x:c>
    </x:row>
    <x:row r="112">
      <x:c r="A112" s="30" t="n">
        <x:v>46023</x:v>
      </x:c>
      <x:c r="B112" s="30" t="str">
        <x:v>Enterprise</x:v>
      </x:c>
      <x:c r="C112" s="30" t="n">
        <x:v>74</x:v>
      </x:c>
      <x:c r="D112" s="30" t="n">
        <x:v>2</x:v>
      </x:c>
      <x:c r="E112" s="30" t="n">
        <x:v>1</x:v>
      </x:c>
      <x:c r="F112" s="30" t="n">
        <x:v>75</x:v>
      </x:c>
      <x:c r="G112" s="30" t="n">
        <x:v>1661.9680946249996</x:v>
      </x:c>
      <x:c r="H112" s="30" t="n">
        <x:v>127389.85445300622</x:v>
      </x:c>
      <x:c r="I112" s="48" t="b">
        <x:v>0</x:v>
      </x:c>
    </x:row>
    <x:row r="113">
      <x:c r="A113" s="30" t="n">
        <x:v>46054</x:v>
      </x:c>
      <x:c r="B113" s="30" t="str">
        <x:v>Starter</x:v>
      </x:c>
      <x:c r="C113" s="30" t="n">
        <x:v>574</x:v>
      </x:c>
      <x:c r="D113" s="30" t="n">
        <x:v>27</x:v>
      </x:c>
      <x:c r="E113" s="30" t="n">
        <x:v>12</x:v>
      </x:c>
      <x:c r="F113" s="30" t="n">
        <x:v>589</x:v>
      </x:c>
      <x:c r="G113" s="30" t="n">
        <x:v>109.76306962499997</x:v>
      </x:c>
      <x:c r="H113" s="30" t="n">
        <x:v>64650.448009124986</x:v>
      </x:c>
      <x:c r="I113" s="48" t="b">
        <x:v>0</x:v>
      </x:c>
    </x:row>
    <x:row r="114">
      <x:c r="A114" s="30" t="n">
        <x:v>46054</x:v>
      </x:c>
      <x:c r="B114" s="30" t="str">
        <x:v>Growth</x:v>
      </x:c>
      <x:c r="C114" s="30" t="n">
        <x:v>469</x:v>
      </x:c>
      <x:c r="D114" s="30" t="n">
        <x:v>25</x:v>
      </x:c>
      <x:c r="E114" s="30" t="n">
        <x:v>7</x:v>
      </x:c>
      <x:c r="F114" s="30" t="n">
        <x:v>487</x:v>
      </x:c>
      <x:c r="G114" s="30" t="n">
        <x:v>386.9425383749999</x:v>
      </x:c>
      <x:c r="H114" s="30" t="n">
        <x:v>190702.30838288847</x:v>
      </x:c>
      <x:c r="I114" s="48" t="b">
        <x:v>0</x:v>
      </x:c>
    </x:row>
    <x:row r="115">
      <x:c r="A115" s="30" t="n">
        <x:v>46054</x:v>
      </x:c>
      <x:c r="B115" s="30" t="str">
        <x:v>Enterprise</x:v>
      </x:c>
      <x:c r="C115" s="30" t="n">
        <x:v>75</x:v>
      </x:c>
      <x:c r="D115" s="30" t="n">
        <x:v>3</x:v>
      </x:c>
      <x:c r="E115" s="30" t="n">
        <x:v>1</x:v>
      </x:c>
      <x:c r="F115" s="30" t="n">
        <x:v>77</x:v>
      </x:c>
      <x:c r="G115" s="30" t="n">
        <x:v>1661.9680946249996</x:v>
      </x:c>
      <x:c r="H115" s="30" t="n">
        <x:v>130786.91723841973</x:v>
      </x:c>
      <x:c r="I115" s="48" t="b">
        <x:v>0</x:v>
      </x:c>
    </x:row>
    <x:row r="116">
      <x:c r="A116" s="30" t="n">
        <x:v>46082</x:v>
      </x:c>
      <x:c r="B116" s="30" t="str">
        <x:v>Starter</x:v>
      </x:c>
      <x:c r="C116" s="30" t="n">
        <x:v>589</x:v>
      </x:c>
      <x:c r="D116" s="30" t="n">
        <x:v>22</x:v>
      </x:c>
      <x:c r="E116" s="30" t="n">
        <x:v>13</x:v>
      </x:c>
      <x:c r="F116" s="30" t="n">
        <x:v>598</x:v>
      </x:c>
      <x:c r="G116" s="30" t="n">
        <x:v>109.76306962499997</x:v>
      </x:c>
      <x:c r="H116" s="30" t="n">
        <x:v>65638.31563574998</x:v>
      </x:c>
      <x:c r="I116" s="48" t="b">
        <x:v>0</x:v>
      </x:c>
    </x:row>
    <x:row r="117">
      <x:c r="A117" s="30" t="n">
        <x:v>46082</x:v>
      </x:c>
      <x:c r="B117" s="30" t="str">
        <x:v>Growth</x:v>
      </x:c>
      <x:c r="C117" s="30" t="n">
        <x:v>487</x:v>
      </x:c>
      <x:c r="D117" s="30" t="n">
        <x:v>25</x:v>
      </x:c>
      <x:c r="E117" s="30" t="n">
        <x:v>8</x:v>
      </x:c>
      <x:c r="F117" s="30" t="n">
        <x:v>504</x:v>
      </x:c>
      <x:c r="G117" s="30" t="n">
        <x:v>386.9425383749999</x:v>
      </x:c>
      <x:c r="H117" s="30" t="n">
        <x:v>197359.26781309198</x:v>
      </x:c>
      <x:c r="I117" s="48" t="b">
        <x:v>0</x:v>
      </x:c>
    </x:row>
    <x:row r="118">
      <x:c r="A118" s="30" t="n">
        <x:v>46082</x:v>
      </x:c>
      <x:c r="B118" s="30" t="str">
        <x:v>Enterprise</x:v>
      </x:c>
      <x:c r="C118" s="30" t="n">
        <x:v>77</x:v>
      </x:c>
      <x:c r="D118" s="30" t="n">
        <x:v>3</x:v>
      </x:c>
      <x:c r="E118" s="30" t="n">
        <x:v>1</x:v>
      </x:c>
      <x:c r="F118" s="30" t="n">
        <x:v>79</x:v>
      </x:c>
      <x:c r="G118" s="30" t="n">
        <x:v>1661.9680946249996</x:v>
      </x:c>
      <x:c r="H118" s="30" t="n">
        <x:v>134183.98002383322</x:v>
      </x:c>
      <x:c r="I118" s="48" t="b">
        <x:v>0</x:v>
      </x:c>
    </x:row>
    <x:row r="119">
      <x:c r="A119" s="30" t="n">
        <x:v>46113</x:v>
      </x:c>
      <x:c r="B119" s="30" t="str">
        <x:v>Starter</x:v>
      </x:c>
      <x:c r="C119" s="30" t="n">
        <x:v>598</x:v>
      </x:c>
      <x:c r="D119" s="30" t="n">
        <x:v>27</x:v>
      </x:c>
      <x:c r="E119" s="30" t="n">
        <x:v>12</x:v>
      </x:c>
      <x:c r="F119" s="30" t="n">
        <x:v>613</x:v>
      </x:c>
      <x:c r="G119" s="30" t="n">
        <x:v>109.76306962499997</x:v>
      </x:c>
      <x:c r="H119" s="30" t="n">
        <x:v>67284.76168012498</x:v>
      </x:c>
      <x:c r="I119" s="48" t="b">
        <x:v>0</x:v>
      </x:c>
    </x:row>
    <x:row r="120">
      <x:c r="A120" s="30" t="n">
        <x:v>46113</x:v>
      </x:c>
      <x:c r="B120" s="30" t="str">
        <x:v>Growth</x:v>
      </x:c>
      <x:c r="C120" s="30" t="n">
        <x:v>504</x:v>
      </x:c>
      <x:c r="D120" s="30" t="n">
        <x:v>29</x:v>
      </x:c>
      <x:c r="E120" s="30" t="n">
        <x:v>8</x:v>
      </x:c>
      <x:c r="F120" s="30" t="n">
        <x:v>525</x:v>
      </x:c>
      <x:c r="G120" s="30" t="n">
        <x:v>386.9425383749999</x:v>
      </x:c>
      <x:c r="H120" s="30" t="n">
        <x:v>205582.57063863744</x:v>
      </x:c>
      <x:c r="I120" s="48" t="b">
        <x:v>0</x:v>
      </x:c>
    </x:row>
    <x:row r="121">
      <x:c r="A121" s="30" t="n">
        <x:v>46113</x:v>
      </x:c>
      <x:c r="B121" s="30" t="str">
        <x:v>Enterprise</x:v>
      </x:c>
      <x:c r="C121" s="30" t="n">
        <x:v>79</x:v>
      </x:c>
      <x:c r="D121" s="30" t="n">
        <x:v>3</x:v>
      </x:c>
      <x:c r="E121" s="30" t="n">
        <x:v>1</x:v>
      </x:c>
      <x:c r="F121" s="30" t="n">
        <x:v>81</x:v>
      </x:c>
      <x:c r="G121" s="30" t="n">
        <x:v>1661.9680946249996</x:v>
      </x:c>
      <x:c r="H121" s="30" t="n">
        <x:v>137581.04280924672</x:v>
      </x:c>
      <x:c r="I121" s="48" t="b">
        <x:v>0</x:v>
      </x:c>
    </x:row>
    <x:row r="122">
      <x:c r="A122" s="30" t="n">
        <x:v>46143</x:v>
      </x:c>
      <x:c r="B122" s="30" t="str">
        <x:v>Starter</x:v>
      </x:c>
      <x:c r="C122" s="30" t="n">
        <x:v>613</x:v>
      </x:c>
      <x:c r="D122" s="30" t="n">
        <x:v>24</x:v>
      </x:c>
      <x:c r="E122" s="30" t="n">
        <x:v>15</x:v>
      </x:c>
      <x:c r="F122" s="30" t="n">
        <x:v>622</x:v>
      </x:c>
      <x:c r="G122" s="30" t="n">
        <x:v>109.76306962499997</x:v>
      </x:c>
      <x:c r="H122" s="30" t="n">
        <x:v>68272.62930674998</x:v>
      </x:c>
      <x:c r="I122" s="48" t="b">
        <x:v>0</x:v>
      </x:c>
    </x:row>
    <x:row r="123">
      <x:c r="A123" s="30" t="n">
        <x:v>46143</x:v>
      </x:c>
      <x:c r="B123" s="30" t="str">
        <x:v>Growth</x:v>
      </x:c>
      <x:c r="C123" s="30" t="n">
        <x:v>525</x:v>
      </x:c>
      <x:c r="D123" s="30" t="n">
        <x:v>27</x:v>
      </x:c>
      <x:c r="E123" s="30" t="n">
        <x:v>8</x:v>
      </x:c>
      <x:c r="F123" s="30" t="n">
        <x:v>544</x:v>
      </x:c>
      <x:c r="G123" s="30" t="n">
        <x:v>386.9425383749999</x:v>
      </x:c>
      <x:c r="H123" s="30" t="n">
        <x:v>213022.70176651198</x:v>
      </x:c>
      <x:c r="I123" s="48" t="b">
        <x:v>0</x:v>
      </x:c>
    </x:row>
    <x:row r="124">
      <x:c r="A124" s="30" t="n">
        <x:v>46143</x:v>
      </x:c>
      <x:c r="B124" s="30" t="str">
        <x:v>Enterprise</x:v>
      </x:c>
      <x:c r="C124" s="30" t="n">
        <x:v>81</x:v>
      </x:c>
      <x:c r="D124" s="30" t="n">
        <x:v>2</x:v>
      </x:c>
      <x:c r="E124" s="30" t="n">
        <x:v>1</x:v>
      </x:c>
      <x:c r="F124" s="30" t="n">
        <x:v>82</x:v>
      </x:c>
      <x:c r="G124" s="30" t="n">
        <x:v>1661.9680946249996</x:v>
      </x:c>
      <x:c r="H124" s="30" t="n">
        <x:v>139279.57420195345</x:v>
      </x:c>
      <x:c r="I124" s="48" t="b">
        <x:v>0</x:v>
      </x:c>
    </x:row>
    <x:row r="125">
      <x:c r="A125" s="30" t="n">
        <x:v>46174</x:v>
      </x:c>
      <x:c r="B125" s="30" t="str">
        <x:v>Starter</x:v>
      </x:c>
      <x:c r="C125" s="30" t="n">
        <x:v>622</x:v>
      </x:c>
      <x:c r="D125" s="30" t="n">
        <x:v>28</x:v>
      </x:c>
      <x:c r="E125" s="30" t="n">
        <x:v>15</x:v>
      </x:c>
      <x:c r="F125" s="30" t="n">
        <x:v>635</x:v>
      </x:c>
      <x:c r="G125" s="30" t="n">
        <x:v>109.76306962499997</x:v>
      </x:c>
      <x:c r="H125" s="30" t="n">
        <x:v>69699.54921187498</x:v>
      </x:c>
      <x:c r="I125" s="48" t="b">
        <x:v>0</x:v>
      </x:c>
    </x:row>
    <x:row r="126">
      <x:c r="A126" s="30" t="n">
        <x:v>46174</x:v>
      </x:c>
      <x:c r="B126" s="30" t="str">
        <x:v>Growth</x:v>
      </x:c>
      <x:c r="C126" s="30" t="n">
        <x:v>544</x:v>
      </x:c>
      <x:c r="D126" s="30" t="n">
        <x:v>26</x:v>
      </x:c>
      <x:c r="E126" s="30" t="n">
        <x:v>9</x:v>
      </x:c>
      <x:c r="F126" s="30" t="n">
        <x:v>561</x:v>
      </x:c>
      <x:c r="G126" s="30" t="n">
        <x:v>386.9425383749999</x:v>
      </x:c>
      <x:c r="H126" s="30" t="n">
        <x:v>219679.66119671546</x:v>
      </x:c>
      <x:c r="I126" s="48" t="b">
        <x:v>0</x:v>
      </x:c>
    </x:row>
    <x:row r="127">
      <x:c r="A127" s="30" t="n">
        <x:v>46174</x:v>
      </x:c>
      <x:c r="B127" s="30" t="str">
        <x:v>Enterprise</x:v>
      </x:c>
      <x:c r="C127" s="30" t="n">
        <x:v>82</x:v>
      </x:c>
      <x:c r="D127" s="30" t="n">
        <x:v>2</x:v>
      </x:c>
      <x:c r="E127" s="30" t="n">
        <x:v>1</x:v>
      </x:c>
      <x:c r="F127" s="30" t="n">
        <x:v>83</x:v>
      </x:c>
      <x:c r="G127" s="30" t="n">
        <x:v>1661.9680946249996</x:v>
      </x:c>
      <x:c r="H127" s="30" t="n">
        <x:v>140978.10559466024</x:v>
      </x:c>
      <x:c r="I127" s="48" t="b">
        <x:v>0</x:v>
      </x:c>
    </x:row>
    <x:row r="128">
      <x:c r="A128" s="30" t="n">
        <x:v>46204</x:v>
      </x:c>
      <x:c r="B128" s="30" t="str">
        <x:v>Starter</x:v>
      </x:c>
      <x:c r="C128" s="30" t="n">
        <x:v>635</x:v>
      </x:c>
      <x:c r="D128" s="30" t="n">
        <x:v>25</x:v>
      </x:c>
      <x:c r="E128" s="30" t="n">
        <x:v>15</x:v>
      </x:c>
      <x:c r="F128" s="30" t="n">
        <x:v>645</x:v>
      </x:c>
      <x:c r="G128" s="30" t="n">
        <x:v>109.76306962499997</x:v>
      </x:c>
      <x:c r="H128" s="30" t="n">
        <x:v>70797.17990812498</x:v>
      </x:c>
      <x:c r="I128" s="48" t="b">
        <x:v>1</x:v>
      </x:c>
    </x:row>
    <x:row r="129">
      <x:c r="A129" s="30" t="n">
        <x:v>46204</x:v>
      </x:c>
      <x:c r="B129" s="30" t="str">
        <x:v>Growth</x:v>
      </x:c>
      <x:c r="C129" s="30" t="n">
        <x:v>561</x:v>
      </x:c>
      <x:c r="D129" s="30" t="n">
        <x:v>27</x:v>
      </x:c>
      <x:c r="E129" s="30" t="n">
        <x:v>8</x:v>
      </x:c>
      <x:c r="F129" s="30" t="n">
        <x:v>580</x:v>
      </x:c>
      <x:c r="G129" s="30" t="n">
        <x:v>386.9425383749999</x:v>
      </x:c>
      <x:c r="H129" s="30" t="n">
        <x:v>227119.79232458994</x:v>
      </x:c>
      <x:c r="I129" s="48" t="b">
        <x:v>1</x:v>
      </x:c>
    </x:row>
    <x:row r="130">
      <x:c r="A130" s="30" t="n">
        <x:v>46204</x:v>
      </x:c>
      <x:c r="B130" s="30" t="str">
        <x:v>Enterprise</x:v>
      </x:c>
      <x:c r="C130" s="30" t="n">
        <x:v>83</x:v>
      </x:c>
      <x:c r="D130" s="30" t="n">
        <x:v>2</x:v>
      </x:c>
      <x:c r="E130" s="30" t="n">
        <x:v>1</x:v>
      </x:c>
      <x:c r="F130" s="30" t="n">
        <x:v>84</x:v>
      </x:c>
      <x:c r="G130" s="30" t="n">
        <x:v>1661.9680946249996</x:v>
      </x:c>
      <x:c r="H130" s="30" t="n">
        <x:v>142676.63698736698</x:v>
      </x:c>
      <x:c r="I130" s="48" t="b">
        <x:v>1</x:v>
      </x:c>
    </x:row>
    <x:row r="131">
      <x:c r="A131" s="30" t="n">
        <x:v>46235</x:v>
      </x:c>
      <x:c r="B131" s="30" t="str">
        <x:v>Starter</x:v>
      </x:c>
      <x:c r="C131" s="30" t="n">
        <x:v>645</x:v>
      </x:c>
      <x:c r="D131" s="30" t="n">
        <x:v>24</x:v>
      </x:c>
      <x:c r="E131" s="30" t="n">
        <x:v>15</x:v>
      </x:c>
      <x:c r="F131" s="30" t="n">
        <x:v>654</x:v>
      </x:c>
      <x:c r="G131" s="30" t="n">
        <x:v>109.76306962499997</x:v>
      </x:c>
      <x:c r="H131" s="30" t="n">
        <x:v>71785.04753474997</x:v>
      </x:c>
      <x:c r="I131" s="48" t="b">
        <x:v>1</x:v>
      </x:c>
    </x:row>
    <x:row r="132">
      <x:c r="A132" s="30" t="n">
        <x:v>46235</x:v>
      </x:c>
      <x:c r="B132" s="30" t="str">
        <x:v>Growth</x:v>
      </x:c>
      <x:c r="C132" s="30" t="n">
        <x:v>580</x:v>
      </x:c>
      <x:c r="D132" s="30" t="n">
        <x:v>26</x:v>
      </x:c>
      <x:c r="E132" s="30" t="n">
        <x:v>9</x:v>
      </x:c>
      <x:c r="F132" s="30" t="n">
        <x:v>597</x:v>
      </x:c>
      <x:c r="G132" s="30" t="n">
        <x:v>386.9425383749999</x:v>
      </x:c>
      <x:c r="H132" s="30" t="n">
        <x:v>233776.75175479345</x:v>
      </x:c>
      <x:c r="I132" s="48" t="b">
        <x:v>1</x:v>
      </x:c>
    </x:row>
    <x:row r="133">
      <x:c r="A133" s="30" t="n">
        <x:v>46235</x:v>
      </x:c>
      <x:c r="B133" s="30" t="str">
        <x:v>Enterprise</x:v>
      </x:c>
      <x:c r="C133" s="30" t="n">
        <x:v>84</x:v>
      </x:c>
      <x:c r="D133" s="30" t="n">
        <x:v>2</x:v>
      </x:c>
      <x:c r="E133" s="30" t="n">
        <x:v>1</x:v>
      </x:c>
      <x:c r="F133" s="30" t="n">
        <x:v>85</x:v>
      </x:c>
      <x:c r="G133" s="30" t="n">
        <x:v>1661.9680946249996</x:v>
      </x:c>
      <x:c r="H133" s="30" t="n">
        <x:v>144375.16838007374</x:v>
      </x:c>
      <x:c r="I133" s="48" t="b">
        <x:v>1</x:v>
      </x:c>
    </x:row>
    <x:row r="134">
      <x:c r="A134" s="30" t="n">
        <x:v>46266</x:v>
      </x:c>
      <x:c r="B134" s="30" t="str">
        <x:v>Starter</x:v>
      </x:c>
      <x:c r="C134" s="30" t="n">
        <x:v>654</x:v>
      </x:c>
      <x:c r="D134" s="30" t="n">
        <x:v>23</x:v>
      </x:c>
      <x:c r="E134" s="30" t="n">
        <x:v>16</x:v>
      </x:c>
      <x:c r="F134" s="30" t="n">
        <x:v>661</x:v>
      </x:c>
      <x:c r="G134" s="30" t="n">
        <x:v>109.76306962499997</x:v>
      </x:c>
      <x:c r="H134" s="30" t="n">
        <x:v>72553.38902212497</x:v>
      </x:c>
      <x:c r="I134" s="48" t="b">
        <x:v>1</x:v>
      </x:c>
    </x:row>
    <x:row r="135">
      <x:c r="A135" s="30" t="n">
        <x:v>46266</x:v>
      </x:c>
      <x:c r="B135" s="30" t="str">
        <x:v>Growth</x:v>
      </x:c>
      <x:c r="C135" s="30" t="n">
        <x:v>597</x:v>
      </x:c>
      <x:c r="D135" s="30" t="n">
        <x:v>26</x:v>
      </x:c>
      <x:c r="E135" s="30" t="n">
        <x:v>9</x:v>
      </x:c>
      <x:c r="F135" s="30" t="n">
        <x:v>614</x:v>
      </x:c>
      <x:c r="G135" s="30" t="n">
        <x:v>386.9425383749999</x:v>
      </x:c>
      <x:c r="H135" s="30" t="n">
        <x:v>240433.71118499694</x:v>
      </x:c>
      <x:c r="I135" s="48" t="b">
        <x:v>1</x:v>
      </x:c>
    </x:row>
    <x:row r="136">
      <x:c r="A136" s="30" t="n">
        <x:v>46266</x:v>
      </x:c>
      <x:c r="B136" s="30" t="str">
        <x:v>Enterprise</x:v>
      </x:c>
      <x:c r="C136" s="30" t="n">
        <x:v>85</x:v>
      </x:c>
      <x:c r="D136" s="30" t="n">
        <x:v>2</x:v>
      </x:c>
      <x:c r="E136" s="30" t="n">
        <x:v>1</x:v>
      </x:c>
      <x:c r="F136" s="30" t="n">
        <x:v>86</x:v>
      </x:c>
      <x:c r="G136" s="30" t="n">
        <x:v>1661.9680946249996</x:v>
      </x:c>
      <x:c r="H136" s="30" t="n">
        <x:v>146073.69977278047</x:v>
      </x:c>
      <x:c r="I136" s="48" t="b">
        <x:v>1</x:v>
      </x:c>
    </x:row>
    <x:row r="137">
      <x:c r="A137" s="30" t="n">
        <x:v>46296</x:v>
      </x:c>
      <x:c r="B137" s="30" t="str">
        <x:v>Starter</x:v>
      </x:c>
      <x:c r="C137" s="30" t="n">
        <x:v>661</x:v>
      </x:c>
      <x:c r="D137" s="30" t="n">
        <x:v>23</x:v>
      </x:c>
      <x:c r="E137" s="30" t="n">
        <x:v>16</x:v>
      </x:c>
      <x:c r="F137" s="30" t="n">
        <x:v>668</x:v>
      </x:c>
      <x:c r="G137" s="30" t="n">
        <x:v>109.76306962499997</x:v>
      </x:c>
      <x:c r="H137" s="30" t="n">
        <x:v>73321.73050949998</x:v>
      </x:c>
      <x:c r="I137" s="48" t="b">
        <x:v>1</x:v>
      </x:c>
    </x:row>
    <x:row r="138">
      <x:c r="A138" s="30" t="n">
        <x:v>46296</x:v>
      </x:c>
      <x:c r="B138" s="30" t="str">
        <x:v>Growth</x:v>
      </x:c>
      <x:c r="C138" s="30" t="n">
        <x:v>614</x:v>
      </x:c>
      <x:c r="D138" s="30" t="n">
        <x:v>26</x:v>
      </x:c>
      <x:c r="E138" s="30" t="n">
        <x:v>9</x:v>
      </x:c>
      <x:c r="F138" s="30" t="n">
        <x:v>631</x:v>
      </x:c>
      <x:c r="G138" s="30" t="n">
        <x:v>386.9425383749999</x:v>
      </x:c>
      <x:c r="H138" s="30" t="n">
        <x:v>247090.67061520045</x:v>
      </x:c>
      <x:c r="I138" s="48" t="b">
        <x:v>1</x:v>
      </x:c>
    </x:row>
    <x:row r="139">
      <x:c r="A139" s="30" t="n">
        <x:v>46296</x:v>
      </x:c>
      <x:c r="B139" s="30" t="str">
        <x:v>Enterprise</x:v>
      </x:c>
      <x:c r="C139" s="30" t="n">
        <x:v>86</x:v>
      </x:c>
      <x:c r="D139" s="30" t="n">
        <x:v>2</x:v>
      </x:c>
      <x:c r="E139" s="30" t="n">
        <x:v>1</x:v>
      </x:c>
      <x:c r="F139" s="30" t="n">
        <x:v>87</x:v>
      </x:c>
      <x:c r="G139" s="30" t="n">
        <x:v>1661.9680946249996</x:v>
      </x:c>
      <x:c r="H139" s="30" t="n">
        <x:v>147772.2311654872</x:v>
      </x:c>
      <x:c r="I139" s="48" t="b">
        <x:v>1</x:v>
      </x:c>
    </x:row>
    <x:row r="140">
      <x:c r="A140" s="30" t="n">
        <x:v>46327</x:v>
      </x:c>
      <x:c r="B140" s="30" t="str">
        <x:v>Starter</x:v>
      </x:c>
      <x:c r="C140" s="30" t="n">
        <x:v>668</x:v>
      </x:c>
      <x:c r="D140" s="30" t="n">
        <x:v>24</x:v>
      </x:c>
      <x:c r="E140" s="30" t="n">
        <x:v>16</x:v>
      </x:c>
      <x:c r="F140" s="30" t="n">
        <x:v>676</x:v>
      </x:c>
      <x:c r="G140" s="30" t="n">
        <x:v>109.76306962499997</x:v>
      </x:c>
      <x:c r="H140" s="30" t="n">
        <x:v>74199.83506649997</x:v>
      </x:c>
      <x:c r="I140" s="48" t="b">
        <x:v>1</x:v>
      </x:c>
    </x:row>
    <x:row r="141">
      <x:c r="A141" s="30" t="n">
        <x:v>46327</x:v>
      </x:c>
      <x:c r="B141" s="30" t="str">
        <x:v>Growth</x:v>
      </x:c>
      <x:c r="C141" s="30" t="n">
        <x:v>631</x:v>
      </x:c>
      <x:c r="D141" s="30" t="n">
        <x:v>27</x:v>
      </x:c>
      <x:c r="E141" s="30" t="n">
        <x:v>9</x:v>
      </x:c>
      <x:c r="F141" s="30" t="n">
        <x:v>649</x:v>
      </x:c>
      <x:c r="G141" s="30" t="n">
        <x:v>386.9425383749999</x:v>
      </x:c>
      <x:c r="H141" s="30" t="n">
        <x:v>254139.21589423943</x:v>
      </x:c>
      <x:c r="I141" s="48" t="b">
        <x:v>1</x:v>
      </x:c>
    </x:row>
    <x:row r="142">
      <x:c r="A142" s="30" t="n">
        <x:v>46327</x:v>
      </x:c>
      <x:c r="B142" s="30" t="str">
        <x:v>Enterprise</x:v>
      </x:c>
      <x:c r="C142" s="30" t="n">
        <x:v>87</x:v>
      </x:c>
      <x:c r="D142" s="30" t="n">
        <x:v>2</x:v>
      </x:c>
      <x:c r="E142" s="30" t="n">
        <x:v>1</x:v>
      </x:c>
      <x:c r="F142" s="30" t="n">
        <x:v>88</x:v>
      </x:c>
      <x:c r="G142" s="30" t="n">
        <x:v>1661.9680946249996</x:v>
      </x:c>
      <x:c r="H142" s="30" t="n">
        <x:v>149470.76255819396</x:v>
      </x:c>
      <x:c r="I142" s="48" t="b">
        <x:v>1</x:v>
      </x:c>
    </x:row>
    <x:row r="143">
      <x:c r="A143" s="30" t="n">
        <x:v>46357</x:v>
      </x:c>
      <x:c r="B143" s="30" t="str">
        <x:v>Starter</x:v>
      </x:c>
      <x:c r="C143" s="30" t="n">
        <x:v>676</x:v>
      </x:c>
      <x:c r="D143" s="30" t="n">
        <x:v>25</x:v>
      </x:c>
      <x:c r="E143" s="30" t="n">
        <x:v>16</x:v>
      </x:c>
      <x:c r="F143" s="30" t="n">
        <x:v>685</x:v>
      </x:c>
      <x:c r="G143" s="30" t="n">
        <x:v>109.76306962499997</x:v>
      </x:c>
      <x:c r="H143" s="30" t="n">
        <x:v>75187.70269312499</x:v>
      </x:c>
      <x:c r="I143" s="48" t="b">
        <x:v>1</x:v>
      </x:c>
    </x:row>
    <x:row r="144">
      <x:c r="A144" s="30" t="n">
        <x:v>46357</x:v>
      </x:c>
      <x:c r="B144" s="30" t="str">
        <x:v>Growth</x:v>
      </x:c>
      <x:c r="C144" s="30" t="n">
        <x:v>649</x:v>
      </x:c>
      <x:c r="D144" s="30" t="n">
        <x:v>29</x:v>
      </x:c>
      <x:c r="E144" s="30" t="n">
        <x:v>10</x:v>
      </x:c>
      <x:c r="F144" s="30" t="n">
        <x:v>668</x:v>
      </x:c>
      <x:c r="G144" s="30" t="n">
        <x:v>386.9425383749999</x:v>
      </x:c>
      <x:c r="H144" s="30" t="n">
        <x:v>261579.34702211394</x:v>
      </x:c>
      <x:c r="I144" s="48" t="b">
        <x:v>1</x:v>
      </x:c>
    </x:row>
    <x:row r="145">
      <x:c r="A145" s="30" t="n">
        <x:v>46357</x:v>
      </x:c>
      <x:c r="B145" s="30" t="str">
        <x:v>Enterprise</x:v>
      </x:c>
      <x:c r="C145" s="30" t="n">
        <x:v>88</x:v>
      </x:c>
      <x:c r="D145" s="30" t="n">
        <x:v>2</x:v>
      </x:c>
      <x:c r="E145" s="30" t="n">
        <x:v>1</x:v>
      </x:c>
      <x:c r="F145" s="30" t="n">
        <x:v>89</x:v>
      </x:c>
      <x:c r="G145" s="30" t="n">
        <x:v>1661.9680946249996</x:v>
      </x:c>
      <x:c r="H145" s="30" t="n">
        <x:v>151169.2939509007</x:v>
      </x:c>
      <x:c r="I145" s="4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ec8cb68195c4ecc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.380000114440918" hidden="0" customWidth="1"/>
    <x:col min="2" max="2" width="13.880000114440918" hidden="0" customWidth="1"/>
    <x:col min="3" max="3" width="15" hidden="0" customWidth="1"/>
    <x:col min="4" max="4" width="13.380000114440918" hidden="0" customWidth="1"/>
    <x:col min="5" max="5" width="11.25" hidden="0" customWidth="1"/>
    <x:col min="6" max="6" width="10.75" hidden="0" customWidth="1"/>
  </x:cols>
  <x:sheetData>
    <x:row r="1">
      <x:c r="A1" s="46" t="str">
        <x:v>employee_id</x:v>
      </x:c>
      <x:c r="B1" s="26" t="str">
        <x:v>department</x:v>
      </x:c>
      <x:c r="C1" s="26" t="str">
        <x:v>planned_hire_date</x:v>
      </x:c>
      <x:c r="D1" s="26" t="str">
        <x:v>actual_hire_date</x:v>
      </x:c>
      <x:c r="E1" s="26" t="str">
        <x:v>annual_salary</x:v>
      </x:c>
      <x:c r="F1" s="26" t="str">
        <x:v>benefits_rate</x:v>
      </x:c>
    </x:row>
    <x:row r="2">
      <x:c r="A2" s="30" t="str">
        <x:v>E1001</x:v>
      </x:c>
      <x:c r="B2" s="30" t="str">
        <x:v>Engineering</x:v>
      </x:c>
      <x:c r="C2" s="30" t="n">
        <x:v>45200</x:v>
      </x:c>
      <x:c r="D2" s="30" t="n">
        <x:v>45217</x:v>
      </x:c>
      <x:c r="E2" s="30" t="n">
        <x:v>138100</x:v>
      </x:c>
      <x:c r="F2" s="30" t="n">
        <x:v>0.22</x:v>
      </x:c>
    </x:row>
    <x:row r="3">
      <x:c r="A3" s="30" t="str">
        <x:v>E1002</x:v>
      </x:c>
      <x:c r="B3" s="30" t="str">
        <x:v>Engineering</x:v>
      </x:c>
      <x:c r="C3" s="30" t="n">
        <x:v>45689</x:v>
      </x:c>
      <x:c r="D3" s="30" t="n">
        <x:v>45714</x:v>
      </x:c>
      <x:c r="E3" s="30" t="n">
        <x:v>175900</x:v>
      </x:c>
      <x:c r="F3" s="30" t="n">
        <x:v>0.22</x:v>
      </x:c>
    </x:row>
    <x:row r="4">
      <x:c r="A4" s="30" t="str">
        <x:v>E1003</x:v>
      </x:c>
      <x:c r="B4" s="30" t="str">
        <x:v>Engineering</x:v>
      </x:c>
      <x:c r="C4" s="30" t="n">
        <x:v>44958</x:v>
      </x:c>
      <x:c r="D4" s="30" t="n">
        <x:v>44948</x:v>
      </x:c>
      <x:c r="E4" s="30" t="n">
        <x:v>144100</x:v>
      </x:c>
      <x:c r="F4" s="30" t="n">
        <x:v>0.22</x:v>
      </x:c>
    </x:row>
    <x:row r="5">
      <x:c r="A5" s="30" t="str">
        <x:v>E1004</x:v>
      </x:c>
      <x:c r="B5" s="30" t="str">
        <x:v>Engineering</x:v>
      </x:c>
      <x:c r="C5" s="30" t="n">
        <x:v>45323</x:v>
      </x:c>
      <x:c r="D5" s="30" t="n">
        <x:v>45314</x:v>
      </x:c>
      <x:c r="E5" s="30" t="n">
        <x:v>140400</x:v>
      </x:c>
      <x:c r="F5" s="30" t="n">
        <x:v>0.22</x:v>
      </x:c>
    </x:row>
    <x:row r="6">
      <x:c r="A6" s="30" t="str">
        <x:v>E1005</x:v>
      </x:c>
      <x:c r="B6" s="30" t="str">
        <x:v>Engineering</x:v>
      </x:c>
      <x:c r="C6" s="30" t="n">
        <x:v>44986</x:v>
      </x:c>
      <x:c r="D6" s="30" t="n">
        <x:v>44987</x:v>
      </x:c>
      <x:c r="E6" s="30" t="n">
        <x:v>115200</x:v>
      </x:c>
      <x:c r="F6" s="30" t="n">
        <x:v>0.22</x:v>
      </x:c>
    </x:row>
    <x:row r="7">
      <x:c r="A7" s="30" t="str">
        <x:v>E1006</x:v>
      </x:c>
      <x:c r="B7" s="30" t="str">
        <x:v>Engineering</x:v>
      </x:c>
      <x:c r="C7" s="30" t="n">
        <x:v>45597</x:v>
      </x:c>
      <x:c r="D7" s="30" t="n">
        <x:v>45642</x:v>
      </x:c>
      <x:c r="E7" s="30" t="n">
        <x:v>162600</x:v>
      </x:c>
      <x:c r="F7" s="30" t="n">
        <x:v>0.22</x:v>
      </x:c>
    </x:row>
    <x:row r="8">
      <x:c r="A8" s="30" t="str">
        <x:v>E1007</x:v>
      </x:c>
      <x:c r="B8" s="30" t="str">
        <x:v>Engineering</x:v>
      </x:c>
      <x:c r="C8" s="30" t="n">
        <x:v>45383</x:v>
      </x:c>
      <x:c r="D8" s="30" t="n">
        <x:v>45399</x:v>
      </x:c>
      <x:c r="E8" s="30" t="n">
        <x:v>146800</x:v>
      </x:c>
      <x:c r="F8" s="30" t="n">
        <x:v>0.22</x:v>
      </x:c>
    </x:row>
    <x:row r="9">
      <x:c r="A9" s="30" t="str">
        <x:v>E1008</x:v>
      </x:c>
      <x:c r="B9" s="30" t="str">
        <x:v>Engineering</x:v>
      </x:c>
      <x:c r="C9" s="30" t="n">
        <x:v>45170</x:v>
      </x:c>
      <x:c r="D9" s="30" t="n">
        <x:v>45197</x:v>
      </x:c>
      <x:c r="E9" s="30" t="n">
        <x:v>175200</x:v>
      </x:c>
      <x:c r="F9" s="30" t="n">
        <x:v>0.22</x:v>
      </x:c>
    </x:row>
    <x:row r="10">
      <x:c r="A10" s="30" t="str">
        <x:v>E1009</x:v>
      </x:c>
      <x:c r="B10" s="30" t="str">
        <x:v>Engineering</x:v>
      </x:c>
      <x:c r="C10" s="30" t="n">
        <x:v>45139</x:v>
      </x:c>
      <x:c r="D10" s="30" t="n">
        <x:v>45164</x:v>
      </x:c>
      <x:c r="E10" s="30" t="n">
        <x:v>175400</x:v>
      </x:c>
      <x:c r="F10" s="30" t="n">
        <x:v>0.22</x:v>
      </x:c>
    </x:row>
    <x:row r="11">
      <x:c r="A11" s="30" t="str">
        <x:v>E1010</x:v>
      </x:c>
      <x:c r="B11" s="30" t="str">
        <x:v>Engineering</x:v>
      </x:c>
      <x:c r="C11" s="30" t="n">
        <x:v>45536</x:v>
      </x:c>
      <x:c r="D11" s="30" t="n">
        <x:v>45536</x:v>
      </x:c>
      <x:c r="E11" s="30" t="n">
        <x:v>141300</x:v>
      </x:c>
      <x:c r="F11" s="30" t="n">
        <x:v>0.22</x:v>
      </x:c>
    </x:row>
    <x:row r="12">
      <x:c r="A12" s="30" t="str">
        <x:v>E1011</x:v>
      </x:c>
      <x:c r="B12" s="30" t="str">
        <x:v>Engineering</x:v>
      </x:c>
      <x:c r="C12" s="30" t="n">
        <x:v>45962</x:v>
      </x:c>
      <x:c r="D12" s="30" t="n">
        <x:v>45995</x:v>
      </x:c>
      <x:c r="E12" s="30" t="n">
        <x:v>175300</x:v>
      </x:c>
      <x:c r="F12" s="30" t="n">
        <x:v>0.22</x:v>
      </x:c>
    </x:row>
    <x:row r="13">
      <x:c r="A13" s="30" t="str">
        <x:v>E1012</x:v>
      </x:c>
      <x:c r="B13" s="30" t="str">
        <x:v>Engineering</x:v>
      </x:c>
      <x:c r="C13" s="30" t="n">
        <x:v>45170</x:v>
      </x:c>
      <x:c r="D13" s="30" t="n">
        <x:v>45188</x:v>
      </x:c>
      <x:c r="E13" s="30" t="n">
        <x:v>159700</x:v>
      </x:c>
      <x:c r="F13" s="30" t="n">
        <x:v>0.22</x:v>
      </x:c>
    </x:row>
    <x:row r="14">
      <x:c r="A14" s="30" t="str">
        <x:v>E1013</x:v>
      </x:c>
      <x:c r="B14" s="30" t="str">
        <x:v>Engineering</x:v>
      </x:c>
      <x:c r="C14" s="30" t="n">
        <x:v>45566</x:v>
      </x:c>
      <x:c r="D14" s="30" t="n">
        <x:v>45566</x:v>
      </x:c>
      <x:c r="E14" s="30" t="n">
        <x:v>171500</x:v>
      </x:c>
      <x:c r="F14" s="30" t="n">
        <x:v>0.22</x:v>
      </x:c>
    </x:row>
    <x:row r="15">
      <x:c r="A15" s="30" t="str">
        <x:v>E1014</x:v>
      </x:c>
      <x:c r="B15" s="30" t="str">
        <x:v>Engineering</x:v>
      </x:c>
      <x:c r="C15" s="30" t="n">
        <x:v>45170</x:v>
      </x:c>
      <x:c r="D15" s="30" t="n">
        <x:v>45175</x:v>
      </x:c>
      <x:c r="E15" s="30" t="n">
        <x:v>113100</x:v>
      </x:c>
      <x:c r="F15" s="30" t="n">
        <x:v>0.22</x:v>
      </x:c>
    </x:row>
    <x:row r="16">
      <x:c r="A16" s="30" t="str">
        <x:v>E1015</x:v>
      </x:c>
      <x:c r="B16" s="30" t="str">
        <x:v>Engineering</x:v>
      </x:c>
      <x:c r="C16" s="30" t="n">
        <x:v>46054</x:v>
      </x:c>
      <x:c r="D16" s="30" t="n">
        <x:v>46069</x:v>
      </x:c>
      <x:c r="E16" s="30" t="n">
        <x:v>171900</x:v>
      </x:c>
      <x:c r="F16" s="30" t="n">
        <x:v>0.22</x:v>
      </x:c>
    </x:row>
    <x:row r="17">
      <x:c r="A17" s="30" t="str">
        <x:v>E1016</x:v>
      </x:c>
      <x:c r="B17" s="30" t="str">
        <x:v>Engineering</x:v>
      </x:c>
      <x:c r="C17" s="30" t="n">
        <x:v>45413</x:v>
      </x:c>
      <x:c r="D17" s="30" t="n">
        <x:v>45400</x:v>
      </x:c>
      <x:c r="E17" s="30" t="n">
        <x:v>129100</x:v>
      </x:c>
      <x:c r="F17" s="30" t="n">
        <x:v>0.22</x:v>
      </x:c>
    </x:row>
    <x:row r="18">
      <x:c r="A18" s="30" t="str">
        <x:v>E1017</x:v>
      </x:c>
      <x:c r="B18" s="30" t="str">
        <x:v>Engineering</x:v>
      </x:c>
      <x:c r="C18" s="30" t="n">
        <x:v>45261</x:v>
      </x:c>
      <x:c r="D18" s="30" t="n">
        <x:v>45243</x:v>
      </x:c>
      <x:c r="E18" s="30" t="n">
        <x:v>129700</x:v>
      </x:c>
      <x:c r="F18" s="30" t="n">
        <x:v>0.22</x:v>
      </x:c>
    </x:row>
    <x:row r="19">
      <x:c r="A19" s="30" t="str">
        <x:v>E1018</x:v>
      </x:c>
      <x:c r="B19" s="30" t="str">
        <x:v>Engineering</x:v>
      </x:c>
      <x:c r="C19" s="30" t="n">
        <x:v>45383</x:v>
      </x:c>
      <x:c r="D19" s="30" t="n">
        <x:v>45373</x:v>
      </x:c>
      <x:c r="E19" s="30" t="n">
        <x:v>160500</x:v>
      </x:c>
      <x:c r="F19" s="30" t="n">
        <x:v>0.22</x:v>
      </x:c>
    </x:row>
    <x:row r="20">
      <x:c r="A20" s="30" t="str">
        <x:v>E1019</x:v>
      </x:c>
      <x:c r="B20" s="30" t="str">
        <x:v>Engineering</x:v>
      </x:c>
      <x:c r="C20" s="30" t="n">
        <x:v>45658</x:v>
      </x:c>
      <x:c r="D20" s="30" t="n">
        <x:v>45676</x:v>
      </x:c>
      <x:c r="E20" s="30" t="n">
        <x:v>147100</x:v>
      </x:c>
      <x:c r="F20" s="30" t="n">
        <x:v>0.22</x:v>
      </x:c>
    </x:row>
    <x:row r="21">
      <x:c r="A21" s="30" t="str">
        <x:v>E1020</x:v>
      </x:c>
      <x:c r="B21" s="30" t="str">
        <x:v>Sales</x:v>
      </x:c>
      <x:c r="C21" s="30" t="n">
        <x:v>45748</x:v>
      </x:c>
      <x:c r="D21" s="30" t="n">
        <x:v>45747</x:v>
      </x:c>
      <x:c r="E21" s="30" t="n">
        <x:v>111900</x:v>
      </x:c>
      <x:c r="F21" s="30" t="n">
        <x:v>0.22</x:v>
      </x:c>
    </x:row>
    <x:row r="22">
      <x:c r="A22" s="30" t="str">
        <x:v>E1021</x:v>
      </x:c>
      <x:c r="B22" s="30" t="str">
        <x:v>Sales</x:v>
      </x:c>
      <x:c r="C22" s="30" t="n">
        <x:v>45170</x:v>
      </x:c>
      <x:c r="D22" s="30" t="n">
        <x:v>45184</x:v>
      </x:c>
      <x:c r="E22" s="30" t="n">
        <x:v>105300</x:v>
      </x:c>
      <x:c r="F22" s="30" t="n">
        <x:v>0.22</x:v>
      </x:c>
    </x:row>
    <x:row r="23">
      <x:c r="A23" s="30" t="str">
        <x:v>E1022</x:v>
      </x:c>
      <x:c r="B23" s="30" t="str">
        <x:v>Sales</x:v>
      </x:c>
      <x:c r="C23" s="30" t="n">
        <x:v>45017</x:v>
      </x:c>
      <x:c r="D23" s="30" t="n">
        <x:v>45004</x:v>
      </x:c>
      <x:c r="E23" s="30" t="n">
        <x:v>133200</x:v>
      </x:c>
      <x:c r="F23" s="30" t="n">
        <x:v>0.22</x:v>
      </x:c>
    </x:row>
    <x:row r="24">
      <x:c r="A24" s="30" t="str">
        <x:v>E1023</x:v>
      </x:c>
      <x:c r="B24" s="30" t="str">
        <x:v>Sales</x:v>
      </x:c>
      <x:c r="C24" s="30" t="n">
        <x:v>45658</x:v>
      </x:c>
      <x:c r="D24" s="30" t="n">
        <x:v>45698</x:v>
      </x:c>
      <x:c r="E24" s="30" t="n">
        <x:v>141700</x:v>
      </x:c>
      <x:c r="F24" s="30" t="n">
        <x:v>0.22</x:v>
      </x:c>
    </x:row>
    <x:row r="25">
      <x:c r="A25" s="30" t="str">
        <x:v>E1024</x:v>
      </x:c>
      <x:c r="B25" s="30" t="str">
        <x:v>Sales</x:v>
      </x:c>
      <x:c r="C25" s="30" t="n">
        <x:v>46113</x:v>
      </x:c>
      <x:c r="D25" s="30" t="n">
        <x:v>46124</x:v>
      </x:c>
      <x:c r="E25" s="30" t="n">
        <x:v>98400</x:v>
      </x:c>
      <x:c r="F25" s="30" t="n">
        <x:v>0.22</x:v>
      </x:c>
    </x:row>
    <x:row r="26">
      <x:c r="A26" s="30" t="str">
        <x:v>E1025</x:v>
      </x:c>
      <x:c r="B26" s="30" t="str">
        <x:v>Sales</x:v>
      </x:c>
      <x:c r="C26" s="30" t="n">
        <x:v>45352</x:v>
      </x:c>
      <x:c r="D26" s="30" t="n">
        <x:v>45367</x:v>
      </x:c>
      <x:c r="E26" s="30" t="n">
        <x:v>101600</x:v>
      </x:c>
      <x:c r="F26" s="30" t="n">
        <x:v>0.22</x:v>
      </x:c>
    </x:row>
    <x:row r="27">
      <x:c r="A27" s="30" t="str">
        <x:v>E1026</x:v>
      </x:c>
      <x:c r="B27" s="30" t="str">
        <x:v>Sales</x:v>
      </x:c>
      <x:c r="C27" s="30" t="n">
        <x:v>45748</x:v>
      </x:c>
      <x:c r="D27" s="30" t="n">
        <x:v>45776</x:v>
      </x:c>
      <x:c r="E27" s="30" t="n">
        <x:v>110800</x:v>
      </x:c>
      <x:c r="F27" s="30" t="n">
        <x:v>0.22</x:v>
      </x:c>
    </x:row>
    <x:row r="28">
      <x:c r="A28" s="30" t="str">
        <x:v>E1027</x:v>
      </x:c>
      <x:c r="B28" s="30" t="str">
        <x:v>Sales</x:v>
      </x:c>
      <x:c r="C28" s="30" t="n">
        <x:v>45323</x:v>
      </x:c>
      <x:c r="D28" s="30" t="n">
        <x:v>45327</x:v>
      </x:c>
      <x:c r="E28" s="30" t="n">
        <x:v>88600</x:v>
      </x:c>
      <x:c r="F28" s="30" t="n">
        <x:v>0.22</x:v>
      </x:c>
    </x:row>
    <x:row r="29">
      <x:c r="A29" s="30" t="str">
        <x:v>E1028</x:v>
      </x:c>
      <x:c r="B29" s="30" t="str">
        <x:v>Sales</x:v>
      </x:c>
      <x:c r="C29" s="30" t="n">
        <x:v>45352</x:v>
      </x:c>
      <x:c r="D29" s="30" t="n">
        <x:v>45350</x:v>
      </x:c>
      <x:c r="E29" s="30" t="n">
        <x:v>117500</x:v>
      </x:c>
      <x:c r="F29" s="30" t="n">
        <x:v>0.22</x:v>
      </x:c>
    </x:row>
    <x:row r="30">
      <x:c r="A30" s="30" t="str">
        <x:v>E1029</x:v>
      </x:c>
      <x:c r="B30" s="30" t="str">
        <x:v>Sales</x:v>
      </x:c>
      <x:c r="C30" s="30" t="n">
        <x:v>46054</x:v>
      </x:c>
      <x:c r="D30" s="30" t="n">
        <x:v>46083</x:v>
      </x:c>
      <x:c r="E30" s="30" t="n">
        <x:v>123900</x:v>
      </x:c>
      <x:c r="F30" s="30" t="n">
        <x:v>0.22</x:v>
      </x:c>
    </x:row>
    <x:row r="31">
      <x:c r="A31" s="30" t="str">
        <x:v>E1030</x:v>
      </x:c>
      <x:c r="B31" s="30" t="str">
        <x:v>Sales</x:v>
      </x:c>
      <x:c r="C31" s="30" t="n">
        <x:v>46143</x:v>
      </x:c>
      <x:c r="D31" s="30" t="n">
        <x:v>46180</x:v>
      </x:c>
      <x:c r="E31" s="30" t="n">
        <x:v>136700</x:v>
      </x:c>
      <x:c r="F31" s="30" t="n">
        <x:v>0.22</x:v>
      </x:c>
    </x:row>
    <x:row r="32">
      <x:c r="A32" s="30" t="str">
        <x:v>E1031</x:v>
      </x:c>
      <x:c r="B32" s="30" t="str">
        <x:v>Sales</x:v>
      </x:c>
      <x:c r="C32" s="30" t="n">
        <x:v>45505</x:v>
      </x:c>
      <x:c r="D32" s="30" t="n">
        <x:v>45521</x:v>
      </x:c>
      <x:c r="E32" s="30" t="n">
        <x:v>113100</x:v>
      </x:c>
      <x:c r="F32" s="30" t="n">
        <x:v>0.22</x:v>
      </x:c>
    </x:row>
    <x:row r="33">
      <x:c r="A33" s="30" t="str">
        <x:v>E1032</x:v>
      </x:c>
      <x:c r="B33" s="30" t="str">
        <x:v>Marketing</x:v>
      </x:c>
      <x:c r="C33" s="30" t="n">
        <x:v>46023</x:v>
      </x:c>
      <x:c r="D33" s="30" t="n">
        <x:v>46028</x:v>
      </x:c>
      <x:c r="E33" s="30" t="n">
        <x:v>103700</x:v>
      </x:c>
      <x:c r="F33" s="30" t="n">
        <x:v>0.22</x:v>
      </x:c>
    </x:row>
    <x:row r="34">
      <x:c r="A34" s="30" t="str">
        <x:v>E1033</x:v>
      </x:c>
      <x:c r="B34" s="30" t="str">
        <x:v>Marketing</x:v>
      </x:c>
      <x:c r="C34" s="30" t="n">
        <x:v>45566</x:v>
      </x:c>
      <x:c r="D34" s="30" t="n">
        <x:v>45562</x:v>
      </x:c>
      <x:c r="E34" s="30" t="n">
        <x:v>118800</x:v>
      </x:c>
      <x:c r="F34" s="30" t="n">
        <x:v>0.22</x:v>
      </x:c>
    </x:row>
    <x:row r="35">
      <x:c r="A35" s="30" t="str">
        <x:v>E1034</x:v>
      </x:c>
      <x:c r="B35" s="30" t="str">
        <x:v>Marketing</x:v>
      </x:c>
      <x:c r="C35" s="30" t="n">
        <x:v>45901</x:v>
      </x:c>
      <x:c r="D35" s="30" t="n">
        <x:v>45923</x:v>
      </x:c>
      <x:c r="E35" s="30" t="n">
        <x:v>107000</x:v>
      </x:c>
      <x:c r="F35" s="30" t="n">
        <x:v>0.22</x:v>
      </x:c>
    </x:row>
    <x:row r="36">
      <x:c r="A36" s="30" t="str">
        <x:v>E1035</x:v>
      </x:c>
      <x:c r="B36" s="30" t="str">
        <x:v>Marketing</x:v>
      </x:c>
      <x:c r="C36" s="30" t="n">
        <x:v>46054</x:v>
      </x:c>
      <x:c r="D36" s="30" t="n">
        <x:v>46088</x:v>
      </x:c>
      <x:c r="E36" s="30" t="n">
        <x:v>92400</x:v>
      </x:c>
      <x:c r="F36" s="30" t="n">
        <x:v>0.22</x:v>
      </x:c>
    </x:row>
    <x:row r="37">
      <x:c r="A37" s="30" t="str">
        <x:v>E1036</x:v>
      </x:c>
      <x:c r="B37" s="30" t="str">
        <x:v>Marketing</x:v>
      </x:c>
      <x:c r="C37" s="30" t="n">
        <x:v>45413</x:v>
      </x:c>
      <x:c r="D37" s="30" t="n">
        <x:v>45423</x:v>
      </x:c>
      <x:c r="E37" s="30" t="n">
        <x:v>118400</x:v>
      </x:c>
      <x:c r="F37" s="30" t="n">
        <x:v>0.22</x:v>
      </x:c>
    </x:row>
    <x:row r="38">
      <x:c r="A38" s="30" t="str">
        <x:v>E1037</x:v>
      </x:c>
      <x:c r="B38" s="30" t="str">
        <x:v>Marketing</x:v>
      </x:c>
      <x:c r="C38" s="30" t="n">
        <x:v>45931</x:v>
      </x:c>
      <x:c r="D38" s="30" t="n">
        <x:v>45925</x:v>
      </x:c>
      <x:c r="E38" s="30" t="n">
        <x:v>123600</x:v>
      </x:c>
      <x:c r="F38" s="30" t="n">
        <x:v>0.22</x:v>
      </x:c>
    </x:row>
    <x:row r="39">
      <x:c r="A39" s="30" t="str">
        <x:v>E1038</x:v>
      </x:c>
      <x:c r="B39" s="30" t="str">
        <x:v>Marketing</x:v>
      </x:c>
      <x:c r="C39" s="30" t="n">
        <x:v>45047</x:v>
      </x:c>
      <x:c r="D39" s="30" t="n">
        <x:v>45091</x:v>
      </x:c>
      <x:c r="E39" s="30" t="n">
        <x:v>86700</x:v>
      </x:c>
      <x:c r="F39" s="30" t="n">
        <x:v>0.22</x:v>
      </x:c>
    </x:row>
    <x:row r="40">
      <x:c r="A40" s="30" t="str">
        <x:v>E1039</x:v>
      </x:c>
      <x:c r="B40" s="30" t="str">
        <x:v>Customer Success</x:v>
      </x:c>
      <x:c r="C40" s="30" t="n">
        <x:v>45078</x:v>
      </x:c>
      <x:c r="D40" s="30" t="n">
        <x:v>45074</x:v>
      </x:c>
      <x:c r="E40" s="30" t="n">
        <x:v>82900</x:v>
      </x:c>
      <x:c r="F40" s="30" t="n">
        <x:v>0.22</x:v>
      </x:c>
    </x:row>
    <x:row r="41">
      <x:c r="A41" s="30" t="str">
        <x:v>E1040</x:v>
      </x:c>
      <x:c r="B41" s="30" t="str">
        <x:v>Customer Success</x:v>
      </x:c>
      <x:c r="C41" s="30" t="n">
        <x:v>46023</x:v>
      </x:c>
      <x:c r="D41" s="30" t="n">
        <x:v>46039</x:v>
      </x:c>
      <x:c r="E41" s="30" t="n">
        <x:v>104100</x:v>
      </x:c>
      <x:c r="F41" s="30" t="n">
        <x:v>0.22</x:v>
      </x:c>
    </x:row>
    <x:row r="42">
      <x:c r="A42" s="30" t="str">
        <x:v>E1041</x:v>
      </x:c>
      <x:c r="B42" s="30" t="str">
        <x:v>Customer Success</x:v>
      </x:c>
      <x:c r="C42" s="30" t="n">
        <x:v>44805</x:v>
      </x:c>
      <x:c r="D42" s="30" t="n">
        <x:v>44804</x:v>
      </x:c>
      <x:c r="E42" s="30" t="n">
        <x:v>107100</x:v>
      </x:c>
      <x:c r="F42" s="30" t="n">
        <x:v>0.22</x:v>
      </x:c>
    </x:row>
    <x:row r="43">
      <x:c r="A43" s="30" t="str">
        <x:v>E1042</x:v>
      </x:c>
      <x:c r="B43" s="30" t="str">
        <x:v>Customer Success</x:v>
      </x:c>
      <x:c r="C43" s="30" t="n">
        <x:v>45078</x:v>
      </x:c>
      <x:c r="D43" s="30" t="n">
        <x:v>45117</x:v>
      </x:c>
      <x:c r="E43" s="30" t="n">
        <x:v>106900</x:v>
      </x:c>
      <x:c r="F43" s="30" t="n">
        <x:v>0.22</x:v>
      </x:c>
    </x:row>
    <x:row r="44">
      <x:c r="A44" s="30" t="str">
        <x:v>E1043</x:v>
      </x:c>
      <x:c r="B44" s="30" t="str">
        <x:v>Customer Success</x:v>
      </x:c>
      <x:c r="C44" s="30" t="n">
        <x:v>45139</x:v>
      </x:c>
      <x:c r="D44" s="30" t="n">
        <x:v>45165</x:v>
      </x:c>
      <x:c r="E44" s="30" t="n">
        <x:v>87200</x:v>
      </x:c>
      <x:c r="F44" s="30" t="n">
        <x:v>0.22</x:v>
      </x:c>
    </x:row>
    <x:row r="45">
      <x:c r="A45" s="30" t="str">
        <x:v>E1044</x:v>
      </x:c>
      <x:c r="B45" s="30" t="str">
        <x:v>Customer Success</x:v>
      </x:c>
      <x:c r="C45" s="30" t="n">
        <x:v>45352</x:v>
      </x:c>
      <x:c r="D45" s="30" t="n">
        <x:v>45388</x:v>
      </x:c>
      <x:c r="E45" s="30" t="n">
        <x:v>99300</x:v>
      </x:c>
      <x:c r="F45" s="30" t="n">
        <x:v>0.22</x:v>
      </x:c>
    </x:row>
    <x:row r="46">
      <x:c r="A46" s="30" t="str">
        <x:v>E1045</x:v>
      </x:c>
      <x:c r="B46" s="30" t="str">
        <x:v>Customer Success</x:v>
      </x:c>
      <x:c r="C46" s="30" t="n">
        <x:v>46113</x:v>
      </x:c>
      <x:c r="D46" s="30" t="n">
        <x:v>46158</x:v>
      </x:c>
      <x:c r="E46" s="30" t="n">
        <x:v>101500</x:v>
      </x:c>
      <x:c r="F46" s="30" t="n">
        <x:v>0.22</x:v>
      </x:c>
    </x:row>
    <x:row r="47">
      <x:c r="A47" s="30" t="str">
        <x:v>E1046</x:v>
      </x:c>
      <x:c r="B47" s="30" t="str">
        <x:v>Customer Success</x:v>
      </x:c>
      <x:c r="C47" s="30" t="n">
        <x:v>45047</x:v>
      </x:c>
      <x:c r="D47" s="30" t="n">
        <x:v>45044</x:v>
      </x:c>
      <x:c r="E47" s="30" t="n">
        <x:v>116300</x:v>
      </x:c>
      <x:c r="F47" s="30" t="n">
        <x:v>0.22</x:v>
      </x:c>
    </x:row>
    <x:row r="48">
      <x:c r="A48" s="30" t="str">
        <x:v>E1047</x:v>
      </x:c>
      <x:c r="B48" s="30" t="str">
        <x:v>G&amp;A</x:v>
      </x:c>
      <x:c r="C48" s="30" t="n">
        <x:v>45474</x:v>
      </x:c>
      <x:c r="D48" s="30" t="n">
        <x:v>45510</x:v>
      </x:c>
      <x:c r="E48" s="30" t="n">
        <x:v>117700</x:v>
      </x:c>
      <x:c r="F48" s="30" t="n">
        <x:v>0.22</x:v>
      </x:c>
    </x:row>
    <x:row r="49">
      <x:c r="A49" s="30" t="str">
        <x:v>E1048</x:v>
      </x:c>
      <x:c r="B49" s="30" t="str">
        <x:v>G&amp;A</x:v>
      </x:c>
      <x:c r="C49" s="30" t="n">
        <x:v>45689</x:v>
      </x:c>
      <x:c r="D49" s="30" t="n">
        <x:v>45715</x:v>
      </x:c>
      <x:c r="E49" s="30" t="n">
        <x:v>157900</x:v>
      </x:c>
      <x:c r="F49" s="30" t="n">
        <x:v>0.22</x:v>
      </x:c>
    </x:row>
    <x:row r="50">
      <x:c r="A50" s="30" t="str">
        <x:v>E1049</x:v>
      </x:c>
      <x:c r="B50" s="30" t="str">
        <x:v>G&amp;A</x:v>
      </x:c>
      <x:c r="C50" s="30" t="n">
        <x:v>45474</x:v>
      </x:c>
      <x:c r="D50" s="30" t="n">
        <x:v>45459</x:v>
      </x:c>
      <x:c r="E50" s="30" t="n">
        <x:v>99500</x:v>
      </x:c>
      <x:c r="F50" s="30" t="n">
        <x:v>0.22</x:v>
      </x:c>
    </x:row>
    <x:row r="51">
      <x:c r="A51" s="30" t="str">
        <x:v>E1050</x:v>
      </x:c>
      <x:c r="B51" s="30" t="str">
        <x:v>G&amp;A</x:v>
      </x:c>
      <x:c r="C51" s="30" t="n">
        <x:v>46023</x:v>
      </x:c>
      <x:c r="D51" s="30" t="n">
        <x:v>46063</x:v>
      </x:c>
      <x:c r="E51" s="30" t="n">
        <x:v>101200</x:v>
      </x:c>
      <x:c r="F51" s="30" t="n">
        <x:v>0.22</x:v>
      </x:c>
    </x:row>
    <x:row r="52">
      <x:c r="A52" s="30" t="str">
        <x:v>E1051</x:v>
      </x:c>
      <x:c r="B52" s="30" t="str">
        <x:v>G&amp;A</x:v>
      </x:c>
      <x:c r="C52" s="30" t="n">
        <x:v>46113</x:v>
      </x:c>
      <x:c r="D52" s="30" t="n">
        <x:v>46145</x:v>
      </x:c>
      <x:c r="E52" s="30" t="n">
        <x:v>124600</x:v>
      </x:c>
      <x:c r="F52" s="30" t="n">
        <x:v>0.22</x:v>
      </x:c>
    </x:row>
    <x:row r="53">
      <x:c r="A53" s="30" t="str">
        <x:v>E1052</x:v>
      </x:c>
      <x:c r="B53" s="30" t="str">
        <x:v>G&amp;A</x:v>
      </x:c>
      <x:c r="C53" s="30" t="n">
        <x:v>44986</x:v>
      </x:c>
      <x:c r="D53" s="30" t="n">
        <x:v>45020</x:v>
      </x:c>
      <x:c r="E53" s="30" t="n">
        <x:v>139700</x:v>
      </x:c>
      <x:c r="F53" s="30" t="n">
        <x:v>0.22</x:v>
      </x:c>
    </x:row>
  </x:sheetData>
  <x:pageMargins left="0.7" right="0.7" top="0.75" bottom="0.75" header="0.3" footer="0.3"/>
  <x:tableParts count="1">
    <x:tablePart xmlns:r="http://schemas.openxmlformats.org/officeDocument/2006/relationships" r:id="Rdd045eb578c845bb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16.1299991607666" hidden="0" customWidth="1"/>
    <x:col min="3" max="3" width="7.5" hidden="0" customWidth="1"/>
    <x:col min="4" max="4" width="8.5" hidden="0" customWidth="1"/>
    <x:col min="5" max="5" width="8" hidden="0" customWidth="1"/>
  </x:cols>
  <x:sheetData>
    <x:row r="1">
      <x:c r="A1" s="46" t="str">
        <x:v>month</x:v>
      </x:c>
      <x:c r="B1" s="26" t="str">
        <x:v>category</x:v>
      </x:c>
      <x:c r="C1" s="26" t="str">
        <x:v>budget</x:v>
      </x:c>
      <x:c r="D1" s="26" t="str">
        <x:v>actual</x:v>
      </x:c>
      <x:c r="E1" s="26" t="str">
        <x:v>cost_type</x:v>
      </x:c>
    </x:row>
    <x:row r="2">
      <x:c r="A2" s="30" t="n">
        <x:v>44927</x:v>
      </x:c>
      <x:c r="B2" s="30" t="str">
        <x:v>Marketing</x:v>
      </x:c>
      <x:c r="C2" s="30" t="n">
        <x:v>90000</x:v>
      </x:c>
      <x:c r="D2" s="30" t="n">
        <x:v>96347.05</x:v>
      </x:c>
      <x:c r="E2" s="30" t="str">
        <x:v>Variable</x:v>
      </x:c>
    </x:row>
    <x:row r="3">
      <x:c r="A3" s="30" t="n">
        <x:v>44927</x:v>
      </x:c>
      <x:c r="B3" s="30" t="str">
        <x:v>Cloud &amp; API</x:v>
      </x:c>
      <x:c r="C3" s="30" t="n">
        <x:v>14861.15</x:v>
      </x:c>
      <x:c r="D3" s="30" t="n">
        <x:v>17194.55</x:v>
      </x:c>
      <x:c r="E3" s="30" t="str">
        <x:v>Variable</x:v>
      </x:c>
    </x:row>
    <x:row r="4">
      <x:c r="A4" s="30" t="n">
        <x:v>44927</x:v>
      </x:c>
      <x:c r="B4" s="30" t="str">
        <x:v>Software</x:v>
      </x:c>
      <x:c r="C4" s="30" t="n">
        <x:v>26000</x:v>
      </x:c>
      <x:c r="D4" s="30" t="n">
        <x:v>28176.08</x:v>
      </x:c>
      <x:c r="E4" s="30" t="str">
        <x:v>Fixed</x:v>
      </x:c>
    </x:row>
    <x:row r="5">
      <x:c r="A5" s="30" t="n">
        <x:v>44927</x:v>
      </x:c>
      <x:c r="B5" s="30" t="str">
        <x:v>Office &amp; Admin</x:v>
      </x:c>
      <x:c r="C5" s="30" t="n">
        <x:v>31000</x:v>
      </x:c>
      <x:c r="D5" s="30" t="n">
        <x:v>32335.15</x:v>
      </x:c>
      <x:c r="E5" s="30" t="str">
        <x:v>Fixed</x:v>
      </x:c>
    </x:row>
    <x:row r="6">
      <x:c r="A6" s="30" t="n">
        <x:v>44927</x:v>
      </x:c>
      <x:c r="B6" s="30" t="str">
        <x:v>Professional Services</x:v>
      </x:c>
      <x:c r="C6" s="30" t="n">
        <x:v>18000</x:v>
      </x:c>
      <x:c r="D6" s="30" t="n">
        <x:v>18341.94</x:v>
      </x:c>
      <x:c r="E6" s="30" t="str">
        <x:v>Fixed</x:v>
      </x:c>
    </x:row>
    <x:row r="7">
      <x:c r="A7" s="30" t="n">
        <x:v>44958</x:v>
      </x:c>
      <x:c r="B7" s="30" t="str">
        <x:v>Marketing</x:v>
      </x:c>
      <x:c r="C7" s="30" t="n">
        <x:v>91080</x:v>
      </x:c>
      <x:c r="D7" s="30" t="n">
        <x:v>92636.06</x:v>
      </x:c>
      <x:c r="E7" s="30" t="str">
        <x:v>Variable</x:v>
      </x:c>
    </x:row>
    <x:row r="8">
      <x:c r="A8" s="30" t="n">
        <x:v>44958</x:v>
      </x:c>
      <x:c r="B8" s="30" t="str">
        <x:v>Cloud &amp; API</x:v>
      </x:c>
      <x:c r="C8" s="30" t="n">
        <x:v>15320.1</x:v>
      </x:c>
      <x:c r="D8" s="30" t="n">
        <x:v>16912.23</x:v>
      </x:c>
      <x:c r="E8" s="30" t="str">
        <x:v>Variable</x:v>
      </x:c>
    </x:row>
    <x:row r="9">
      <x:c r="A9" s="30" t="n">
        <x:v>44958</x:v>
      </x:c>
      <x:c r="B9" s="30" t="str">
        <x:v>Software</x:v>
      </x:c>
      <x:c r="C9" s="30" t="n">
        <x:v>26312</x:v>
      </x:c>
      <x:c r="D9" s="30" t="n">
        <x:v>27224.84</x:v>
      </x:c>
      <x:c r="E9" s="30" t="str">
        <x:v>Fixed</x:v>
      </x:c>
    </x:row>
    <x:row r="10">
      <x:c r="A10" s="30" t="n">
        <x:v>44958</x:v>
      </x:c>
      <x:c r="B10" s="30" t="str">
        <x:v>Office &amp; Admin</x:v>
      </x:c>
      <x:c r="C10" s="30" t="n">
        <x:v>31372</x:v>
      </x:c>
      <x:c r="D10" s="30" t="n">
        <x:v>32886.64</x:v>
      </x:c>
      <x:c r="E10" s="30" t="str">
        <x:v>Fixed</x:v>
      </x:c>
    </x:row>
    <x:row r="11">
      <x:c r="A11" s="30" t="n">
        <x:v>44958</x:v>
      </x:c>
      <x:c r="B11" s="30" t="str">
        <x:v>Professional Services</x:v>
      </x:c>
      <x:c r="C11" s="30" t="n">
        <x:v>18216</x:v>
      </x:c>
      <x:c r="D11" s="30" t="n">
        <x:v>20069.62</x:v>
      </x:c>
      <x:c r="E11" s="30" t="str">
        <x:v>Fixed</x:v>
      </x:c>
    </x:row>
    <x:row r="12">
      <x:c r="A12" s="30" t="n">
        <x:v>44986</x:v>
      </x:c>
      <x:c r="B12" s="30" t="str">
        <x:v>Marketing</x:v>
      </x:c>
      <x:c r="C12" s="30" t="n">
        <x:v>92160</x:v>
      </x:c>
      <x:c r="D12" s="30" t="n">
        <x:v>107534.07</x:v>
      </x:c>
      <x:c r="E12" s="30" t="str">
        <x:v>Variable</x:v>
      </x:c>
    </x:row>
    <x:row r="13">
      <x:c r="A13" s="30" t="n">
        <x:v>44986</x:v>
      </x:c>
      <x:c r="B13" s="30" t="str">
        <x:v>Cloud &amp; API</x:v>
      </x:c>
      <x:c r="C13" s="30" t="n">
        <x:v>15796.91</x:v>
      </x:c>
      <x:c r="D13" s="30" t="n">
        <x:v>17614.49</x:v>
      </x:c>
      <x:c r="E13" s="30" t="str">
        <x:v>Variable</x:v>
      </x:c>
    </x:row>
    <x:row r="14">
      <x:c r="A14" s="30" t="n">
        <x:v>44986</x:v>
      </x:c>
      <x:c r="B14" s="30" t="str">
        <x:v>Software</x:v>
      </x:c>
      <x:c r="C14" s="30" t="n">
        <x:v>26624</x:v>
      </x:c>
      <x:c r="D14" s="30" t="n">
        <x:v>28086.27</x:v>
      </x:c>
      <x:c r="E14" s="30" t="str">
        <x:v>Fixed</x:v>
      </x:c>
    </x:row>
    <x:row r="15">
      <x:c r="A15" s="30" t="n">
        <x:v>44986</x:v>
      </x:c>
      <x:c r="B15" s="30" t="str">
        <x:v>Office &amp; Admin</x:v>
      </x:c>
      <x:c r="C15" s="30" t="n">
        <x:v>31744</x:v>
      </x:c>
      <x:c r="D15" s="30" t="n">
        <x:v>30473.09</x:v>
      </x:c>
      <x:c r="E15" s="30" t="str">
        <x:v>Fixed</x:v>
      </x:c>
    </x:row>
    <x:row r="16">
      <x:c r="A16" s="30" t="n">
        <x:v>44986</x:v>
      </x:c>
      <x:c r="B16" s="30" t="str">
        <x:v>Professional Services</x:v>
      </x:c>
      <x:c r="C16" s="30" t="n">
        <x:v>18432</x:v>
      </x:c>
      <x:c r="D16" s="30" t="n">
        <x:v>18666.23</x:v>
      </x:c>
      <x:c r="E16" s="30" t="str">
        <x:v>Fixed</x:v>
      </x:c>
    </x:row>
    <x:row r="17">
      <x:c r="A17" s="30" t="n">
        <x:v>45017</x:v>
      </x:c>
      <x:c r="B17" s="30" t="str">
        <x:v>Marketing</x:v>
      </x:c>
      <x:c r="C17" s="30" t="n">
        <x:v>93240</x:v>
      </x:c>
      <x:c r="D17" s="30" t="n">
        <x:v>98850</x:v>
      </x:c>
      <x:c r="E17" s="30" t="str">
        <x:v>Variable</x:v>
      </x:c>
    </x:row>
    <x:row r="18">
      <x:c r="A18" s="30" t="n">
        <x:v>45017</x:v>
      </x:c>
      <x:c r="B18" s="30" t="str">
        <x:v>Cloud &amp; API</x:v>
      </x:c>
      <x:c r="C18" s="30" t="n">
        <x:v>16325.71</x:v>
      </x:c>
      <x:c r="D18" s="30" t="n">
        <x:v>16780.59</x:v>
      </x:c>
      <x:c r="E18" s="30" t="str">
        <x:v>Variable</x:v>
      </x:c>
    </x:row>
    <x:row r="19">
      <x:c r="A19" s="30" t="n">
        <x:v>45017</x:v>
      </x:c>
      <x:c r="B19" s="30" t="str">
        <x:v>Software</x:v>
      </x:c>
      <x:c r="C19" s="30" t="n">
        <x:v>26936</x:v>
      </x:c>
      <x:c r="D19" s="30" t="n">
        <x:v>29314.91</x:v>
      </x:c>
      <x:c r="E19" s="30" t="str">
        <x:v>Fixed</x:v>
      </x:c>
    </x:row>
    <x:row r="20">
      <x:c r="A20" s="30" t="n">
        <x:v>45017</x:v>
      </x:c>
      <x:c r="B20" s="30" t="str">
        <x:v>Office &amp; Admin</x:v>
      </x:c>
      <x:c r="C20" s="30" t="n">
        <x:v>32116</x:v>
      </x:c>
      <x:c r="D20" s="30" t="n">
        <x:v>30343.99</x:v>
      </x:c>
      <x:c r="E20" s="30" t="str">
        <x:v>Fixed</x:v>
      </x:c>
    </x:row>
    <x:row r="21">
      <x:c r="A21" s="30" t="n">
        <x:v>45017</x:v>
      </x:c>
      <x:c r="B21" s="30" t="str">
        <x:v>Professional Services</x:v>
      </x:c>
      <x:c r="C21" s="30" t="n">
        <x:v>18648</x:v>
      </x:c>
      <x:c r="D21" s="30" t="n">
        <x:v>20504.42</x:v>
      </x:c>
      <x:c r="E21" s="30" t="str">
        <x:v>Fixed</x:v>
      </x:c>
    </x:row>
    <x:row r="22">
      <x:c r="A22" s="30" t="n">
        <x:v>45047</x:v>
      </x:c>
      <x:c r="B22" s="30" t="str">
        <x:v>Marketing</x:v>
      </x:c>
      <x:c r="C22" s="30" t="n">
        <x:v>94320</x:v>
      </x:c>
      <x:c r="D22" s="30" t="n">
        <x:v>99048.52</x:v>
      </x:c>
      <x:c r="E22" s="30" t="str">
        <x:v>Variable</x:v>
      </x:c>
    </x:row>
    <x:row r="23">
      <x:c r="A23" s="30" t="n">
        <x:v>45047</x:v>
      </x:c>
      <x:c r="B23" s="30" t="str">
        <x:v>Cloud &amp; API</x:v>
      </x:c>
      <x:c r="C23" s="30" t="n">
        <x:v>16865.9</x:v>
      </x:c>
      <x:c r="D23" s="30" t="n">
        <x:v>19671.71</x:v>
      </x:c>
      <x:c r="E23" s="30" t="str">
        <x:v>Variable</x:v>
      </x:c>
    </x:row>
    <x:row r="24">
      <x:c r="A24" s="30" t="n">
        <x:v>45047</x:v>
      </x:c>
      <x:c r="B24" s="30" t="str">
        <x:v>Software</x:v>
      </x:c>
      <x:c r="C24" s="30" t="n">
        <x:v>27248</x:v>
      </x:c>
      <x:c r="D24" s="30" t="n">
        <x:v>25481.25</x:v>
      </x:c>
      <x:c r="E24" s="30" t="str">
        <x:v>Fixed</x:v>
      </x:c>
    </x:row>
    <x:row r="25">
      <x:c r="A25" s="30" t="n">
        <x:v>45047</x:v>
      </x:c>
      <x:c r="B25" s="30" t="str">
        <x:v>Office &amp; Admin</x:v>
      </x:c>
      <x:c r="C25" s="30" t="n">
        <x:v>32488</x:v>
      </x:c>
      <x:c r="D25" s="30" t="n">
        <x:v>29966.14</x:v>
      </x:c>
      <x:c r="E25" s="30" t="str">
        <x:v>Fixed</x:v>
      </x:c>
    </x:row>
    <x:row r="26">
      <x:c r="A26" s="30" t="n">
        <x:v>45047</x:v>
      </x:c>
      <x:c r="B26" s="30" t="str">
        <x:v>Professional Services</x:v>
      </x:c>
      <x:c r="C26" s="30" t="n">
        <x:v>18864</x:v>
      </x:c>
      <x:c r="D26" s="30" t="n">
        <x:v>20256.03</x:v>
      </x:c>
      <x:c r="E26" s="30" t="str">
        <x:v>Fixed</x:v>
      </x:c>
    </x:row>
    <x:row r="27">
      <x:c r="A27" s="30" t="n">
        <x:v>45078</x:v>
      </x:c>
      <x:c r="B27" s="30" t="str">
        <x:v>Marketing</x:v>
      </x:c>
      <x:c r="C27" s="30" t="n">
        <x:v>95400</x:v>
      </x:c>
      <x:c r="D27" s="30" t="n">
        <x:v>95038.31</x:v>
      </x:c>
      <x:c r="E27" s="30" t="str">
        <x:v>Variable</x:v>
      </x:c>
    </x:row>
    <x:row r="28">
      <x:c r="A28" s="30" t="n">
        <x:v>45078</x:v>
      </x:c>
      <x:c r="B28" s="30" t="str">
        <x:v>Cloud &amp; API</x:v>
      </x:c>
      <x:c r="C28" s="30" t="n">
        <x:v>17261.47</x:v>
      </x:c>
      <x:c r="D28" s="30" t="n">
        <x:v>19535.09</x:v>
      </x:c>
      <x:c r="E28" s="30" t="str">
        <x:v>Variable</x:v>
      </x:c>
    </x:row>
    <x:row r="29">
      <x:c r="A29" s="30" t="n">
        <x:v>45078</x:v>
      </x:c>
      <x:c r="B29" s="30" t="str">
        <x:v>Software</x:v>
      </x:c>
      <x:c r="C29" s="30" t="n">
        <x:v>27560</x:v>
      </x:c>
      <x:c r="D29" s="30" t="n">
        <x:v>29331.53</x:v>
      </x:c>
      <x:c r="E29" s="30" t="str">
        <x:v>Fixed</x:v>
      </x:c>
    </x:row>
    <x:row r="30">
      <x:c r="A30" s="30" t="n">
        <x:v>45078</x:v>
      </x:c>
      <x:c r="B30" s="30" t="str">
        <x:v>Office &amp; Admin</x:v>
      </x:c>
      <x:c r="C30" s="30" t="n">
        <x:v>32860</x:v>
      </x:c>
      <x:c r="D30" s="30" t="n">
        <x:v>34400.25</x:v>
      </x:c>
      <x:c r="E30" s="30" t="str">
        <x:v>Fixed</x:v>
      </x:c>
    </x:row>
    <x:row r="31">
      <x:c r="A31" s="30" t="n">
        <x:v>45078</x:v>
      </x:c>
      <x:c r="B31" s="30" t="str">
        <x:v>Professional Services</x:v>
      </x:c>
      <x:c r="C31" s="30" t="n">
        <x:v>19080</x:v>
      </x:c>
      <x:c r="D31" s="30" t="n">
        <x:v>19260.17</x:v>
      </x:c>
      <x:c r="E31" s="30" t="str">
        <x:v>Fixed</x:v>
      </x:c>
    </x:row>
    <x:row r="32">
      <x:c r="A32" s="30" t="n">
        <x:v>45108</x:v>
      </x:c>
      <x:c r="B32" s="30" t="str">
        <x:v>Marketing</x:v>
      </x:c>
      <x:c r="C32" s="30" t="n">
        <x:v>96480</x:v>
      </x:c>
      <x:c r="D32" s="30" t="n">
        <x:v>107423.37</x:v>
      </x:c>
      <x:c r="E32" s="30" t="str">
        <x:v>Variable</x:v>
      </x:c>
    </x:row>
    <x:row r="33">
      <x:c r="A33" s="30" t="n">
        <x:v>45108</x:v>
      </x:c>
      <x:c r="B33" s="30" t="str">
        <x:v>Cloud &amp; API</x:v>
      </x:c>
      <x:c r="C33" s="30" t="n">
        <x:v>17842.27</x:v>
      </x:c>
      <x:c r="D33" s="30" t="n">
        <x:v>18116.76</x:v>
      </x:c>
      <x:c r="E33" s="30" t="str">
        <x:v>Variable</x:v>
      </x:c>
    </x:row>
    <x:row r="34">
      <x:c r="A34" s="30" t="n">
        <x:v>45108</x:v>
      </x:c>
      <x:c r="B34" s="30" t="str">
        <x:v>Software</x:v>
      </x:c>
      <x:c r="C34" s="30" t="n">
        <x:v>27872</x:v>
      </x:c>
      <x:c r="D34" s="30" t="n">
        <x:v>28425.62</x:v>
      </x:c>
      <x:c r="E34" s="30" t="str">
        <x:v>Fixed</x:v>
      </x:c>
    </x:row>
    <x:row r="35">
      <x:c r="A35" s="30" t="n">
        <x:v>45108</x:v>
      </x:c>
      <x:c r="B35" s="30" t="str">
        <x:v>Office &amp; Admin</x:v>
      </x:c>
      <x:c r="C35" s="30" t="n">
        <x:v>33232</x:v>
      </x:c>
      <x:c r="D35" s="30" t="n">
        <x:v>30572.28</x:v>
      </x:c>
      <x:c r="E35" s="30" t="str">
        <x:v>Fixed</x:v>
      </x:c>
    </x:row>
    <x:row r="36">
      <x:c r="A36" s="30" t="n">
        <x:v>45108</x:v>
      </x:c>
      <x:c r="B36" s="30" t="str">
        <x:v>Professional Services</x:v>
      </x:c>
      <x:c r="C36" s="30" t="n">
        <x:v>19296</x:v>
      </x:c>
      <x:c r="D36" s="30" t="n">
        <x:v>21768.91</x:v>
      </x:c>
      <x:c r="E36" s="30" t="str">
        <x:v>Fixed</x:v>
      </x:c>
    </x:row>
    <x:row r="37">
      <x:c r="A37" s="30" t="n">
        <x:v>45139</x:v>
      </x:c>
      <x:c r="B37" s="30" t="str">
        <x:v>Marketing</x:v>
      </x:c>
      <x:c r="C37" s="30" t="n">
        <x:v>97560</x:v>
      </x:c>
      <x:c r="D37" s="30" t="n">
        <x:v>101334.49</x:v>
      </x:c>
      <x:c r="E37" s="30" t="str">
        <x:v>Variable</x:v>
      </x:c>
    </x:row>
    <x:row r="38">
      <x:c r="A38" s="30" t="n">
        <x:v>45139</x:v>
      </x:c>
      <x:c r="B38" s="30" t="str">
        <x:v>Cloud &amp; API</x:v>
      </x:c>
      <x:c r="C38" s="30" t="n">
        <x:v>18330.46</x:v>
      </x:c>
      <x:c r="D38" s="30" t="n">
        <x:v>19315.22</x:v>
      </x:c>
      <x:c r="E38" s="30" t="str">
        <x:v>Variable</x:v>
      </x:c>
    </x:row>
    <x:row r="39">
      <x:c r="A39" s="30" t="n">
        <x:v>45139</x:v>
      </x:c>
      <x:c r="B39" s="30" t="str">
        <x:v>Software</x:v>
      </x:c>
      <x:c r="C39" s="30" t="n">
        <x:v>28184</x:v>
      </x:c>
      <x:c r="D39" s="30" t="n">
        <x:v>29077.65</x:v>
      </x:c>
      <x:c r="E39" s="30" t="str">
        <x:v>Fixed</x:v>
      </x:c>
    </x:row>
    <x:row r="40">
      <x:c r="A40" s="30" t="n">
        <x:v>45139</x:v>
      </x:c>
      <x:c r="B40" s="30" t="str">
        <x:v>Office &amp; Admin</x:v>
      </x:c>
      <x:c r="C40" s="30" t="n">
        <x:v>33604</x:v>
      </x:c>
      <x:c r="D40" s="30" t="n">
        <x:v>33034.02</x:v>
      </x:c>
      <x:c r="E40" s="30" t="str">
        <x:v>Fixed</x:v>
      </x:c>
    </x:row>
    <x:row r="41">
      <x:c r="A41" s="30" t="n">
        <x:v>45139</x:v>
      </x:c>
      <x:c r="B41" s="30" t="str">
        <x:v>Professional Services</x:v>
      </x:c>
      <x:c r="C41" s="30" t="n">
        <x:v>19512</x:v>
      </x:c>
      <x:c r="D41" s="30" t="n">
        <x:v>20206.66</x:v>
      </x:c>
      <x:c r="E41" s="30" t="str">
        <x:v>Fixed</x:v>
      </x:c>
    </x:row>
    <x:row r="42">
      <x:c r="A42" s="30" t="n">
        <x:v>45170</x:v>
      </x:c>
      <x:c r="B42" s="30" t="str">
        <x:v>Marketing</x:v>
      </x:c>
      <x:c r="C42" s="30" t="n">
        <x:v>98640</x:v>
      </x:c>
      <x:c r="D42" s="30" t="n">
        <x:v>97894.12</x:v>
      </x:c>
      <x:c r="E42" s="30" t="str">
        <x:v>Variable</x:v>
      </x:c>
    </x:row>
    <x:row r="43">
      <x:c r="A43" s="30" t="n">
        <x:v>45170</x:v>
      </x:c>
      <x:c r="B43" s="30" t="str">
        <x:v>Cloud &amp; API</x:v>
      </x:c>
      <x:c r="C43" s="30" t="n">
        <x:v>18691.87</x:v>
      </x:c>
      <x:c r="D43" s="30" t="n">
        <x:v>21744.55</x:v>
      </x:c>
      <x:c r="E43" s="30" t="str">
        <x:v>Variable</x:v>
      </x:c>
    </x:row>
    <x:row r="44">
      <x:c r="A44" s="30" t="n">
        <x:v>45170</x:v>
      </x:c>
      <x:c r="B44" s="30" t="str">
        <x:v>Software</x:v>
      </x:c>
      <x:c r="C44" s="30" t="n">
        <x:v>28496</x:v>
      </x:c>
      <x:c r="D44" s="30" t="n">
        <x:v>30369</x:v>
      </x:c>
      <x:c r="E44" s="30" t="str">
        <x:v>Fixed</x:v>
      </x:c>
    </x:row>
    <x:row r="45">
      <x:c r="A45" s="30" t="n">
        <x:v>45170</x:v>
      </x:c>
      <x:c r="B45" s="30" t="str">
        <x:v>Office &amp; Admin</x:v>
      </x:c>
      <x:c r="C45" s="30" t="n">
        <x:v>33976</x:v>
      </x:c>
      <x:c r="D45" s="30" t="n">
        <x:v>29557.76</x:v>
      </x:c>
      <x:c r="E45" s="30" t="str">
        <x:v>Fixed</x:v>
      </x:c>
    </x:row>
    <x:row r="46">
      <x:c r="A46" s="30" t="n">
        <x:v>45170</x:v>
      </x:c>
      <x:c r="B46" s="30" t="str">
        <x:v>Professional Services</x:v>
      </x:c>
      <x:c r="C46" s="30" t="n">
        <x:v>19728</x:v>
      </x:c>
      <x:c r="D46" s="30" t="n">
        <x:v>21500.44</x:v>
      </x:c>
      <x:c r="E46" s="30" t="str">
        <x:v>Fixed</x:v>
      </x:c>
    </x:row>
    <x:row r="47">
      <x:c r="A47" s="30" t="n">
        <x:v>45200</x:v>
      </x:c>
      <x:c r="B47" s="30" t="str">
        <x:v>Marketing</x:v>
      </x:c>
      <x:c r="C47" s="30" t="n">
        <x:v>99720</x:v>
      </x:c>
      <x:c r="D47" s="30" t="n">
        <x:v>106306.54</x:v>
      </x:c>
      <x:c r="E47" s="30" t="str">
        <x:v>Variable</x:v>
      </x:c>
    </x:row>
    <x:row r="48">
      <x:c r="A48" s="30" t="n">
        <x:v>45200</x:v>
      </x:c>
      <x:c r="B48" s="30" t="str">
        <x:v>Cloud &amp; API</x:v>
      </x:c>
      <x:c r="C48" s="30" t="n">
        <x:v>19093.9</x:v>
      </x:c>
      <x:c r="D48" s="30" t="n">
        <x:v>21202.65</x:v>
      </x:c>
      <x:c r="E48" s="30" t="str">
        <x:v>Variable</x:v>
      </x:c>
    </x:row>
    <x:row r="49">
      <x:c r="A49" s="30" t="n">
        <x:v>45200</x:v>
      </x:c>
      <x:c r="B49" s="30" t="str">
        <x:v>Software</x:v>
      </x:c>
      <x:c r="C49" s="30" t="n">
        <x:v>28808</x:v>
      </x:c>
      <x:c r="D49" s="30" t="n">
        <x:v>30779.44</x:v>
      </x:c>
      <x:c r="E49" s="30" t="str">
        <x:v>Fixed</x:v>
      </x:c>
    </x:row>
    <x:row r="50">
      <x:c r="A50" s="30" t="n">
        <x:v>45200</x:v>
      </x:c>
      <x:c r="B50" s="30" t="str">
        <x:v>Office &amp; Admin</x:v>
      </x:c>
      <x:c r="C50" s="30" t="n">
        <x:v>34348</x:v>
      </x:c>
      <x:c r="D50" s="30" t="n">
        <x:v>32501.76</x:v>
      </x:c>
      <x:c r="E50" s="30" t="str">
        <x:v>Fixed</x:v>
      </x:c>
    </x:row>
    <x:row r="51">
      <x:c r="A51" s="30" t="n">
        <x:v>45200</x:v>
      </x:c>
      <x:c r="B51" s="30" t="str">
        <x:v>Professional Services</x:v>
      </x:c>
      <x:c r="C51" s="30" t="n">
        <x:v>19944</x:v>
      </x:c>
      <x:c r="D51" s="30" t="n">
        <x:v>20812.89</x:v>
      </x:c>
      <x:c r="E51" s="30" t="str">
        <x:v>Fixed</x:v>
      </x:c>
    </x:row>
    <x:row r="52">
      <x:c r="A52" s="30" t="n">
        <x:v>45231</x:v>
      </x:c>
      <x:c r="B52" s="30" t="str">
        <x:v>Marketing</x:v>
      </x:c>
      <x:c r="C52" s="30" t="n">
        <x:v>100800</x:v>
      </x:c>
      <x:c r="D52" s="30" t="n">
        <x:v>107202.61</x:v>
      </x:c>
      <x:c r="E52" s="30" t="str">
        <x:v>Variable</x:v>
      </x:c>
    </x:row>
    <x:row r="53">
      <x:c r="A53" s="30" t="n">
        <x:v>45231</x:v>
      </x:c>
      <x:c r="B53" s="30" t="str">
        <x:v>Cloud &amp; API</x:v>
      </x:c>
      <x:c r="C53" s="30" t="n">
        <x:v>19599.94</x:v>
      </x:c>
      <x:c r="D53" s="30" t="n">
        <x:v>22817.4</x:v>
      </x:c>
      <x:c r="E53" s="30" t="str">
        <x:v>Variable</x:v>
      </x:c>
    </x:row>
    <x:row r="54">
      <x:c r="A54" s="30" t="n">
        <x:v>45231</x:v>
      </x:c>
      <x:c r="B54" s="30" t="str">
        <x:v>Software</x:v>
      </x:c>
      <x:c r="C54" s="30" t="n">
        <x:v>29120</x:v>
      </x:c>
      <x:c r="D54" s="30" t="n">
        <x:v>29177.48</x:v>
      </x:c>
      <x:c r="E54" s="30" t="str">
        <x:v>Fixed</x:v>
      </x:c>
    </x:row>
    <x:row r="55">
      <x:c r="A55" s="30" t="n">
        <x:v>45231</x:v>
      </x:c>
      <x:c r="B55" s="30" t="str">
        <x:v>Office &amp; Admin</x:v>
      </x:c>
      <x:c r="C55" s="30" t="n">
        <x:v>34720</x:v>
      </x:c>
      <x:c r="D55" s="30" t="n">
        <x:v>35249.41</x:v>
      </x:c>
      <x:c r="E55" s="30" t="str">
        <x:v>Fixed</x:v>
      </x:c>
    </x:row>
    <x:row r="56">
      <x:c r="A56" s="30" t="n">
        <x:v>45231</x:v>
      </x:c>
      <x:c r="B56" s="30" t="str">
        <x:v>Professional Services</x:v>
      </x:c>
      <x:c r="C56" s="30" t="n">
        <x:v>20160</x:v>
      </x:c>
      <x:c r="D56" s="30" t="n">
        <x:v>21006.99</x:v>
      </x:c>
      <x:c r="E56" s="30" t="str">
        <x:v>Fixed</x:v>
      </x:c>
    </x:row>
    <x:row r="57">
      <x:c r="A57" s="30" t="n">
        <x:v>45261</x:v>
      </x:c>
      <x:c r="B57" s="30" t="str">
        <x:v>Marketing</x:v>
      </x:c>
      <x:c r="C57" s="30" t="n">
        <x:v>101880</x:v>
      </x:c>
      <x:c r="D57" s="30" t="n">
        <x:v>111974.44</x:v>
      </x:c>
      <x:c r="E57" s="30" t="str">
        <x:v>Variable</x:v>
      </x:c>
    </x:row>
    <x:row r="58">
      <x:c r="A58" s="30" t="n">
        <x:v>45261</x:v>
      </x:c>
      <x:c r="B58" s="30" t="str">
        <x:v>Cloud &amp; API</x:v>
      </x:c>
      <x:c r="C58" s="30" t="n">
        <x:v>20140.13</x:v>
      </x:c>
      <x:c r="D58" s="30" t="n">
        <x:v>21443.44</x:v>
      </x:c>
      <x:c r="E58" s="30" t="str">
        <x:v>Variable</x:v>
      </x:c>
    </x:row>
    <x:row r="59">
      <x:c r="A59" s="30" t="n">
        <x:v>45261</x:v>
      </x:c>
      <x:c r="B59" s="30" t="str">
        <x:v>Software</x:v>
      </x:c>
      <x:c r="C59" s="30" t="n">
        <x:v>29432</x:v>
      </x:c>
      <x:c r="D59" s="30" t="n">
        <x:v>29800.71</x:v>
      </x:c>
      <x:c r="E59" s="30" t="str">
        <x:v>Fixed</x:v>
      </x:c>
    </x:row>
    <x:row r="60">
      <x:c r="A60" s="30" t="n">
        <x:v>45261</x:v>
      </x:c>
      <x:c r="B60" s="30" t="str">
        <x:v>Office &amp; Admin</x:v>
      </x:c>
      <x:c r="C60" s="30" t="n">
        <x:v>35092</x:v>
      </x:c>
      <x:c r="D60" s="30" t="n">
        <x:v>33486.29</x:v>
      </x:c>
      <x:c r="E60" s="30" t="str">
        <x:v>Fixed</x:v>
      </x:c>
    </x:row>
    <x:row r="61">
      <x:c r="A61" s="30" t="n">
        <x:v>45261</x:v>
      </x:c>
      <x:c r="B61" s="30" t="str">
        <x:v>Professional Services</x:v>
      </x:c>
      <x:c r="C61" s="30" t="n">
        <x:v>20376</x:v>
      </x:c>
      <x:c r="D61" s="30" t="n">
        <x:v>22215.51</x:v>
      </x:c>
      <x:c r="E61" s="30" t="str">
        <x:v>Fixed</x:v>
      </x:c>
    </x:row>
    <x:row r="62">
      <x:c r="A62" s="30" t="n">
        <x:v>45292</x:v>
      </x:c>
      <x:c r="B62" s="30" t="str">
        <x:v>Marketing</x:v>
      </x:c>
      <x:c r="C62" s="30" t="n">
        <x:v>102960</x:v>
      </x:c>
      <x:c r="D62" s="30" t="n">
        <x:v>117178.44</x:v>
      </x:c>
      <x:c r="E62" s="30" t="str">
        <x:v>Variable</x:v>
      </x:c>
    </x:row>
    <x:row r="63">
      <x:c r="A63" s="30" t="n">
        <x:v>45292</x:v>
      </x:c>
      <x:c r="B63" s="30" t="str">
        <x:v>Cloud &amp; API</x:v>
      </x:c>
      <x:c r="C63" s="30" t="n">
        <x:v>21338.52</x:v>
      </x:c>
      <x:c r="D63" s="30" t="n">
        <x:v>24211.13</x:v>
      </x:c>
      <x:c r="E63" s="30" t="str">
        <x:v>Variable</x:v>
      </x:c>
    </x:row>
    <x:row r="64">
      <x:c r="A64" s="30" t="n">
        <x:v>45292</x:v>
      </x:c>
      <x:c r="B64" s="30" t="str">
        <x:v>Software</x:v>
      </x:c>
      <x:c r="C64" s="30" t="n">
        <x:v>29744</x:v>
      </x:c>
      <x:c r="D64" s="30" t="n">
        <x:v>29478.56</x:v>
      </x:c>
      <x:c r="E64" s="30" t="str">
        <x:v>Fixed</x:v>
      </x:c>
    </x:row>
    <x:row r="65">
      <x:c r="A65" s="30" t="n">
        <x:v>45292</x:v>
      </x:c>
      <x:c r="B65" s="30" t="str">
        <x:v>Office &amp; Admin</x:v>
      </x:c>
      <x:c r="C65" s="30" t="n">
        <x:v>35464</x:v>
      </x:c>
      <x:c r="D65" s="30" t="n">
        <x:v>34509.33</x:v>
      </x:c>
      <x:c r="E65" s="30" t="str">
        <x:v>Fixed</x:v>
      </x:c>
    </x:row>
    <x:row r="66">
      <x:c r="A66" s="30" t="n">
        <x:v>45292</x:v>
      </x:c>
      <x:c r="B66" s="30" t="str">
        <x:v>Professional Services</x:v>
      </x:c>
      <x:c r="C66" s="30" t="n">
        <x:v>20592</x:v>
      </x:c>
      <x:c r="D66" s="30" t="n">
        <x:v>21772.08</x:v>
      </x:c>
      <x:c r="E66" s="30" t="str">
        <x:v>Fixed</x:v>
      </x:c>
    </x:row>
    <x:row r="67">
      <x:c r="A67" s="30" t="n">
        <x:v>45323</x:v>
      </x:c>
      <x:c r="B67" s="30" t="str">
        <x:v>Marketing</x:v>
      </x:c>
      <x:c r="C67" s="30" t="n">
        <x:v>104040</x:v>
      </x:c>
      <x:c r="D67" s="30" t="n">
        <x:v>115687.13</x:v>
      </x:c>
      <x:c r="E67" s="30" t="str">
        <x:v>Variable</x:v>
      </x:c>
    </x:row>
    <x:row r="68">
      <x:c r="A68" s="30" t="n">
        <x:v>45323</x:v>
      </x:c>
      <x:c r="B68" s="30" t="str">
        <x:v>Cloud &amp; API</x:v>
      </x:c>
      <x:c r="C68" s="30" t="n">
        <x:v>21885.83</x:v>
      </x:c>
      <x:c r="D68" s="30" t="n">
        <x:v>25083.42</x:v>
      </x:c>
      <x:c r="E68" s="30" t="str">
        <x:v>Variable</x:v>
      </x:c>
    </x:row>
    <x:row r="69">
      <x:c r="A69" s="30" t="n">
        <x:v>45323</x:v>
      </x:c>
      <x:c r="B69" s="30" t="str">
        <x:v>Software</x:v>
      </x:c>
      <x:c r="C69" s="30" t="n">
        <x:v>30056</x:v>
      </x:c>
      <x:c r="D69" s="30" t="n">
        <x:v>35630.59</x:v>
      </x:c>
      <x:c r="E69" s="30" t="str">
        <x:v>Fixed</x:v>
      </x:c>
    </x:row>
    <x:row r="70">
      <x:c r="A70" s="30" t="n">
        <x:v>45323</x:v>
      </x:c>
      <x:c r="B70" s="30" t="str">
        <x:v>Office &amp; Admin</x:v>
      </x:c>
      <x:c r="C70" s="30" t="n">
        <x:v>35836</x:v>
      </x:c>
      <x:c r="D70" s="30" t="n">
        <x:v>32960.49</x:v>
      </x:c>
      <x:c r="E70" s="30" t="str">
        <x:v>Fixed</x:v>
      </x:c>
    </x:row>
    <x:row r="71">
      <x:c r="A71" s="30" t="n">
        <x:v>45323</x:v>
      </x:c>
      <x:c r="B71" s="30" t="str">
        <x:v>Professional Services</x:v>
      </x:c>
      <x:c r="C71" s="30" t="n">
        <x:v>20808</x:v>
      </x:c>
      <x:c r="D71" s="30" t="n">
        <x:v>21901.11</x:v>
      </x:c>
      <x:c r="E71" s="30" t="str">
        <x:v>Fixed</x:v>
      </x:c>
    </x:row>
    <x:row r="72">
      <x:c r="A72" s="30" t="n">
        <x:v>45352</x:v>
      </x:c>
      <x:c r="B72" s="30" t="str">
        <x:v>Marketing</x:v>
      </x:c>
      <x:c r="C72" s="30" t="n">
        <x:v>105120</x:v>
      </x:c>
      <x:c r="D72" s="30" t="n">
        <x:v>111183.55</x:v>
      </x:c>
      <x:c r="E72" s="30" t="str">
        <x:v>Variable</x:v>
      </x:c>
    </x:row>
    <x:row r="73">
      <x:c r="A73" s="30" t="n">
        <x:v>45352</x:v>
      </x:c>
      <x:c r="B73" s="30" t="str">
        <x:v>Cloud &amp; API</x:v>
      </x:c>
      <x:c r="C73" s="30" t="n">
        <x:v>22564.36</x:v>
      </x:c>
      <x:c r="D73" s="30" t="n">
        <x:v>25529.23</x:v>
      </x:c>
      <x:c r="E73" s="30" t="str">
        <x:v>Variable</x:v>
      </x:c>
    </x:row>
    <x:row r="74">
      <x:c r="A74" s="30" t="n">
        <x:v>45352</x:v>
      </x:c>
      <x:c r="B74" s="30" t="str">
        <x:v>Software</x:v>
      </x:c>
      <x:c r="C74" s="30" t="n">
        <x:v>30368</x:v>
      </x:c>
      <x:c r="D74" s="30" t="n">
        <x:v>31894.31</x:v>
      </x:c>
      <x:c r="E74" s="30" t="str">
        <x:v>Fixed</x:v>
      </x:c>
    </x:row>
    <x:row r="75">
      <x:c r="A75" s="30" t="n">
        <x:v>45352</x:v>
      </x:c>
      <x:c r="B75" s="30" t="str">
        <x:v>Office &amp; Admin</x:v>
      </x:c>
      <x:c r="C75" s="30" t="n">
        <x:v>36208</x:v>
      </x:c>
      <x:c r="D75" s="30" t="n">
        <x:v>36907.12</x:v>
      </x:c>
      <x:c r="E75" s="30" t="str">
        <x:v>Fixed</x:v>
      </x:c>
    </x:row>
    <x:row r="76">
      <x:c r="A76" s="30" t="n">
        <x:v>45352</x:v>
      </x:c>
      <x:c r="B76" s="30" t="str">
        <x:v>Professional Services</x:v>
      </x:c>
      <x:c r="C76" s="30" t="n">
        <x:v>21024</x:v>
      </x:c>
      <x:c r="D76" s="30" t="n">
        <x:v>20802.94</x:v>
      </x:c>
      <x:c r="E76" s="30" t="str">
        <x:v>Fixed</x:v>
      </x:c>
    </x:row>
    <x:row r="77">
      <x:c r="A77" s="30" t="n">
        <x:v>45383</x:v>
      </x:c>
      <x:c r="B77" s="30" t="str">
        <x:v>Marketing</x:v>
      </x:c>
      <x:c r="C77" s="30" t="n">
        <x:v>106200</x:v>
      </x:c>
      <x:c r="D77" s="30" t="n">
        <x:v>115395.62</x:v>
      </x:c>
      <x:c r="E77" s="30" t="str">
        <x:v>Variable</x:v>
      </x:c>
    </x:row>
    <x:row r="78">
      <x:c r="A78" s="30" t="n">
        <x:v>45383</x:v>
      </x:c>
      <x:c r="B78" s="30" t="str">
        <x:v>Cloud &amp; API</x:v>
      </x:c>
      <x:c r="C78" s="30" t="n">
        <x:v>23383.18</x:v>
      </x:c>
      <x:c r="D78" s="30" t="n">
        <x:v>26629.59</x:v>
      </x:c>
      <x:c r="E78" s="30" t="str">
        <x:v>Variable</x:v>
      </x:c>
    </x:row>
    <x:row r="79">
      <x:c r="A79" s="30" t="n">
        <x:v>45383</x:v>
      </x:c>
      <x:c r="B79" s="30" t="str">
        <x:v>Software</x:v>
      </x:c>
      <x:c r="C79" s="30" t="n">
        <x:v>30680</x:v>
      </x:c>
      <x:c r="D79" s="30" t="n">
        <x:v>33051.06</x:v>
      </x:c>
      <x:c r="E79" s="30" t="str">
        <x:v>Fixed</x:v>
      </x:c>
    </x:row>
    <x:row r="80">
      <x:c r="A80" s="30" t="n">
        <x:v>45383</x:v>
      </x:c>
      <x:c r="B80" s="30" t="str">
        <x:v>Office &amp; Admin</x:v>
      </x:c>
      <x:c r="C80" s="30" t="n">
        <x:v>36580</x:v>
      </x:c>
      <x:c r="D80" s="30" t="n">
        <x:v>34408.65</x:v>
      </x:c>
      <x:c r="E80" s="30" t="str">
        <x:v>Fixed</x:v>
      </x:c>
    </x:row>
    <x:row r="81">
      <x:c r="A81" s="30" t="n">
        <x:v>45383</x:v>
      </x:c>
      <x:c r="B81" s="30" t="str">
        <x:v>Professional Services</x:v>
      </x:c>
      <x:c r="C81" s="30" t="n">
        <x:v>21240</x:v>
      </x:c>
      <x:c r="D81" s="30" t="n">
        <x:v>22580.65</x:v>
      </x:c>
      <x:c r="E81" s="30" t="str">
        <x:v>Fixed</x:v>
      </x:c>
    </x:row>
    <x:row r="82">
      <x:c r="A82" s="30" t="n">
        <x:v>45413</x:v>
      </x:c>
      <x:c r="B82" s="30" t="str">
        <x:v>Marketing</x:v>
      </x:c>
      <x:c r="C82" s="30" t="n">
        <x:v>107280</x:v>
      </x:c>
      <x:c r="D82" s="30" t="n">
        <x:v>113555.24</x:v>
      </x:c>
      <x:c r="E82" s="30" t="str">
        <x:v>Variable</x:v>
      </x:c>
    </x:row>
    <x:row r="83">
      <x:c r="A83" s="30" t="n">
        <x:v>45413</x:v>
      </x:c>
      <x:c r="B83" s="30" t="str">
        <x:v>Cloud &amp; API</x:v>
      </x:c>
      <x:c r="C83" s="30" t="n">
        <x:v>24112.84</x:v>
      </x:c>
      <x:c r="D83" s="30" t="n">
        <x:v>27367.87</x:v>
      </x:c>
      <x:c r="E83" s="30" t="str">
        <x:v>Variable</x:v>
      </x:c>
    </x:row>
    <x:row r="84">
      <x:c r="A84" s="30" t="n">
        <x:v>45413</x:v>
      </x:c>
      <x:c r="B84" s="30" t="str">
        <x:v>Software</x:v>
      </x:c>
      <x:c r="C84" s="30" t="n">
        <x:v>30992</x:v>
      </x:c>
      <x:c r="D84" s="30" t="n">
        <x:v>32646.82</x:v>
      </x:c>
      <x:c r="E84" s="30" t="str">
        <x:v>Fixed</x:v>
      </x:c>
    </x:row>
    <x:row r="85">
      <x:c r="A85" s="30" t="n">
        <x:v>45413</x:v>
      </x:c>
      <x:c r="B85" s="30" t="str">
        <x:v>Office &amp; Admin</x:v>
      </x:c>
      <x:c r="C85" s="30" t="n">
        <x:v>36952</x:v>
      </x:c>
      <x:c r="D85" s="30" t="n">
        <x:v>35362.22</x:v>
      </x:c>
      <x:c r="E85" s="30" t="str">
        <x:v>Fixed</x:v>
      </x:c>
    </x:row>
    <x:row r="86">
      <x:c r="A86" s="30" t="n">
        <x:v>45413</x:v>
      </x:c>
      <x:c r="B86" s="30" t="str">
        <x:v>Professional Services</x:v>
      </x:c>
      <x:c r="C86" s="30" t="n">
        <x:v>21456</x:v>
      </x:c>
      <x:c r="D86" s="30" t="n">
        <x:v>24006.33</x:v>
      </x:c>
      <x:c r="E86" s="30" t="str">
        <x:v>Fixed</x:v>
      </x:c>
    </x:row>
    <x:row r="87">
      <x:c r="A87" s="30" t="n">
        <x:v>45444</x:v>
      </x:c>
      <x:c r="B87" s="30" t="str">
        <x:v>Marketing</x:v>
      </x:c>
      <x:c r="C87" s="30" t="n">
        <x:v>108360</x:v>
      </x:c>
      <x:c r="D87" s="30" t="n">
        <x:v>114467.79</x:v>
      </x:c>
      <x:c r="E87" s="30" t="str">
        <x:v>Variable</x:v>
      </x:c>
    </x:row>
    <x:row r="88">
      <x:c r="A88" s="30" t="n">
        <x:v>45444</x:v>
      </x:c>
      <x:c r="B88" s="30" t="str">
        <x:v>Cloud &amp; API</x:v>
      </x:c>
      <x:c r="C88" s="30" t="n">
        <x:v>24956.83</x:v>
      </x:c>
      <x:c r="D88" s="30" t="n">
        <x:v>26997.57</x:v>
      </x:c>
      <x:c r="E88" s="30" t="str">
        <x:v>Variable</x:v>
      </x:c>
    </x:row>
    <x:row r="89">
      <x:c r="A89" s="30" t="n">
        <x:v>45444</x:v>
      </x:c>
      <x:c r="B89" s="30" t="str">
        <x:v>Software</x:v>
      </x:c>
      <x:c r="C89" s="30" t="n">
        <x:v>31304</x:v>
      </x:c>
      <x:c r="D89" s="30" t="n">
        <x:v>29897.93</x:v>
      </x:c>
      <x:c r="E89" s="30" t="str">
        <x:v>Fixed</x:v>
      </x:c>
    </x:row>
    <x:row r="90">
      <x:c r="A90" s="30" t="n">
        <x:v>45444</x:v>
      </x:c>
      <x:c r="B90" s="30" t="str">
        <x:v>Office &amp; Admin</x:v>
      </x:c>
      <x:c r="C90" s="30" t="n">
        <x:v>37324</x:v>
      </x:c>
      <x:c r="D90" s="30" t="n">
        <x:v>36633.95</x:v>
      </x:c>
      <x:c r="E90" s="30" t="str">
        <x:v>Fixed</x:v>
      </x:c>
    </x:row>
    <x:row r="91">
      <x:c r="A91" s="30" t="n">
        <x:v>45444</x:v>
      </x:c>
      <x:c r="B91" s="30" t="str">
        <x:v>Professional Services</x:v>
      </x:c>
      <x:c r="C91" s="30" t="n">
        <x:v>21672</x:v>
      </x:c>
      <x:c r="D91" s="30" t="n">
        <x:v>21817.45</x:v>
      </x:c>
      <x:c r="E91" s="30" t="str">
        <x:v>Fixed</x:v>
      </x:c>
    </x:row>
    <x:row r="92">
      <x:c r="A92" s="30" t="n">
        <x:v>45474</x:v>
      </x:c>
      <x:c r="B92" s="30" t="str">
        <x:v>Marketing</x:v>
      </x:c>
      <x:c r="C92" s="30" t="n">
        <x:v>109440</x:v>
      </x:c>
      <x:c r="D92" s="30" t="n">
        <x:v>120336.77</x:v>
      </x:c>
      <x:c r="E92" s="30" t="str">
        <x:v>Variable</x:v>
      </x:c>
    </x:row>
    <x:row r="93">
      <x:c r="A93" s="30" t="n">
        <x:v>45474</x:v>
      </x:c>
      <x:c r="B93" s="30" t="str">
        <x:v>Cloud &amp; API</x:v>
      </x:c>
      <x:c r="C93" s="30" t="n">
        <x:v>25733.62</x:v>
      </x:c>
      <x:c r="D93" s="30" t="n">
        <x:v>27873.47</x:v>
      </x:c>
      <x:c r="E93" s="30" t="str">
        <x:v>Variable</x:v>
      </x:c>
    </x:row>
    <x:row r="94">
      <x:c r="A94" s="30" t="n">
        <x:v>45474</x:v>
      </x:c>
      <x:c r="B94" s="30" t="str">
        <x:v>Software</x:v>
      </x:c>
      <x:c r="C94" s="30" t="n">
        <x:v>31616</x:v>
      </x:c>
      <x:c r="D94" s="30" t="n">
        <x:v>33592.99</x:v>
      </x:c>
      <x:c r="E94" s="30" t="str">
        <x:v>Fixed</x:v>
      </x:c>
    </x:row>
    <x:row r="95">
      <x:c r="A95" s="30" t="n">
        <x:v>45474</x:v>
      </x:c>
      <x:c r="B95" s="30" t="str">
        <x:v>Office &amp; Admin</x:v>
      </x:c>
      <x:c r="C95" s="30" t="n">
        <x:v>37696</x:v>
      </x:c>
      <x:c r="D95" s="30" t="n">
        <x:v>36724.98</x:v>
      </x:c>
      <x:c r="E95" s="30" t="str">
        <x:v>Fixed</x:v>
      </x:c>
    </x:row>
    <x:row r="96">
      <x:c r="A96" s="30" t="n">
        <x:v>45474</x:v>
      </x:c>
      <x:c r="B96" s="30" t="str">
        <x:v>Professional Services</x:v>
      </x:c>
      <x:c r="C96" s="30" t="n">
        <x:v>21888</x:v>
      </x:c>
      <x:c r="D96" s="30" t="n">
        <x:v>21420.89</x:v>
      </x:c>
      <x:c r="E96" s="30" t="str">
        <x:v>Fixed</x:v>
      </x:c>
    </x:row>
    <x:row r="97">
      <x:c r="A97" s="30" t="n">
        <x:v>45505</x:v>
      </x:c>
      <x:c r="B97" s="30" t="str">
        <x:v>Marketing</x:v>
      </x:c>
      <x:c r="C97" s="30" t="n">
        <x:v>110520</x:v>
      </x:c>
      <x:c r="D97" s="30" t="n">
        <x:v>112899.36</x:v>
      </x:c>
      <x:c r="E97" s="30" t="str">
        <x:v>Variable</x:v>
      </x:c>
    </x:row>
    <x:row r="98">
      <x:c r="A98" s="30" t="n">
        <x:v>45505</x:v>
      </x:c>
      <x:c r="B98" s="30" t="str">
        <x:v>Cloud &amp; API</x:v>
      </x:c>
      <x:c r="C98" s="30" t="n">
        <x:v>26505.31</x:v>
      </x:c>
      <x:c r="D98" s="30" t="n">
        <x:v>29117.21</x:v>
      </x:c>
      <x:c r="E98" s="30" t="str">
        <x:v>Variable</x:v>
      </x:c>
    </x:row>
    <x:row r="99">
      <x:c r="A99" s="30" t="n">
        <x:v>45505</x:v>
      </x:c>
      <x:c r="B99" s="30" t="str">
        <x:v>Software</x:v>
      </x:c>
      <x:c r="C99" s="30" t="n">
        <x:v>31928</x:v>
      </x:c>
      <x:c r="D99" s="30" t="n">
        <x:v>36715.75</x:v>
      </x:c>
      <x:c r="E99" s="30" t="str">
        <x:v>Fixed</x:v>
      </x:c>
    </x:row>
    <x:row r="100">
      <x:c r="A100" s="30" t="n">
        <x:v>45505</x:v>
      </x:c>
      <x:c r="B100" s="30" t="str">
        <x:v>Office &amp; Admin</x:v>
      </x:c>
      <x:c r="C100" s="30" t="n">
        <x:v>38068</x:v>
      </x:c>
      <x:c r="D100" s="30" t="n">
        <x:v>38148.97</x:v>
      </x:c>
      <x:c r="E100" s="30" t="str">
        <x:v>Fixed</x:v>
      </x:c>
    </x:row>
    <x:row r="101">
      <x:c r="A101" s="30" t="n">
        <x:v>45505</x:v>
      </x:c>
      <x:c r="B101" s="30" t="str">
        <x:v>Professional Services</x:v>
      </x:c>
      <x:c r="C101" s="30" t="n">
        <x:v>22104</x:v>
      </x:c>
      <x:c r="D101" s="30" t="n">
        <x:v>24528.7</x:v>
      </x:c>
      <x:c r="E101" s="30" t="str">
        <x:v>Fixed</x:v>
      </x:c>
    </x:row>
    <x:row r="102">
      <x:c r="A102" s="30" t="n">
        <x:v>45536</x:v>
      </x:c>
      <x:c r="B102" s="30" t="str">
        <x:v>Marketing</x:v>
      </x:c>
      <x:c r="C102" s="30" t="n">
        <x:v>111600</x:v>
      </x:c>
      <x:c r="D102" s="30" t="n">
        <x:v>114619.29</x:v>
      </x:c>
      <x:c r="E102" s="30" t="str">
        <x:v>Variable</x:v>
      </x:c>
    </x:row>
    <x:row r="103">
      <x:c r="A103" s="30" t="n">
        <x:v>45536</x:v>
      </x:c>
      <x:c r="B103" s="30" t="str">
        <x:v>Cloud &amp; API</x:v>
      </x:c>
      <x:c r="C103" s="30" t="n">
        <x:v>27124.91</x:v>
      </x:c>
      <x:c r="D103" s="30" t="n">
        <x:v>30633.18</x:v>
      </x:c>
      <x:c r="E103" s="30" t="str">
        <x:v>Variable</x:v>
      </x:c>
    </x:row>
    <x:row r="104">
      <x:c r="A104" s="30" t="n">
        <x:v>45536</x:v>
      </x:c>
      <x:c r="B104" s="30" t="str">
        <x:v>Software</x:v>
      </x:c>
      <x:c r="C104" s="30" t="n">
        <x:v>32240</x:v>
      </x:c>
      <x:c r="D104" s="30" t="n">
        <x:v>33136.15</x:v>
      </x:c>
      <x:c r="E104" s="30" t="str">
        <x:v>Fixed</x:v>
      </x:c>
    </x:row>
    <x:row r="105">
      <x:c r="A105" s="30" t="n">
        <x:v>45536</x:v>
      </x:c>
      <x:c r="B105" s="30" t="str">
        <x:v>Office &amp; Admin</x:v>
      </x:c>
      <x:c r="C105" s="30" t="n">
        <x:v>38440</x:v>
      </x:c>
      <x:c r="D105" s="30" t="n">
        <x:v>37286.25</x:v>
      </x:c>
      <x:c r="E105" s="30" t="str">
        <x:v>Fixed</x:v>
      </x:c>
    </x:row>
    <x:row r="106">
      <x:c r="A106" s="30" t="n">
        <x:v>45536</x:v>
      </x:c>
      <x:c r="B106" s="30" t="str">
        <x:v>Professional Services</x:v>
      </x:c>
      <x:c r="C106" s="30" t="n">
        <x:v>22320</x:v>
      </x:c>
      <x:c r="D106" s="30" t="n">
        <x:v>23166.92</x:v>
      </x:c>
      <x:c r="E106" s="30" t="str">
        <x:v>Fixed</x:v>
      </x:c>
    </x:row>
    <x:row r="107">
      <x:c r="A107" s="30" t="n">
        <x:v>45566</x:v>
      </x:c>
      <x:c r="B107" s="30" t="str">
        <x:v>Marketing</x:v>
      </x:c>
      <x:c r="C107" s="30" t="n">
        <x:v>112680</x:v>
      </x:c>
      <x:c r="D107" s="30" t="n">
        <x:v>118345.03</x:v>
      </x:c>
      <x:c r="E107" s="30" t="str">
        <x:v>Variable</x:v>
      </x:c>
    </x:row>
    <x:row r="108">
      <x:c r="A108" s="30" t="n">
        <x:v>45566</x:v>
      </x:c>
      <x:c r="B108" s="30" t="str">
        <x:v>Cloud &amp; API</x:v>
      </x:c>
      <x:c r="C108" s="30" t="n">
        <x:v>27768.09</x:v>
      </x:c>
      <x:c r="D108" s="30" t="n">
        <x:v>32489.96</x:v>
      </x:c>
      <x:c r="E108" s="30" t="str">
        <x:v>Variable</x:v>
      </x:c>
    </x:row>
    <x:row r="109">
      <x:c r="A109" s="30" t="n">
        <x:v>45566</x:v>
      </x:c>
      <x:c r="B109" s="30" t="str">
        <x:v>Software</x:v>
      </x:c>
      <x:c r="C109" s="30" t="n">
        <x:v>32552</x:v>
      </x:c>
      <x:c r="D109" s="30" t="n">
        <x:v>35887.37</x:v>
      </x:c>
      <x:c r="E109" s="30" t="str">
        <x:v>Fixed</x:v>
      </x:c>
    </x:row>
    <x:row r="110">
      <x:c r="A110" s="30" t="n">
        <x:v>45566</x:v>
      </x:c>
      <x:c r="B110" s="30" t="str">
        <x:v>Office &amp; Admin</x:v>
      </x:c>
      <x:c r="C110" s="30" t="n">
        <x:v>38812</x:v>
      </x:c>
      <x:c r="D110" s="30" t="n">
        <x:v>40216.86</x:v>
      </x:c>
      <x:c r="E110" s="30" t="str">
        <x:v>Fixed</x:v>
      </x:c>
    </x:row>
    <x:row r="111">
      <x:c r="A111" s="30" t="n">
        <x:v>45566</x:v>
      </x:c>
      <x:c r="B111" s="30" t="str">
        <x:v>Professional Services</x:v>
      </x:c>
      <x:c r="C111" s="30" t="n">
        <x:v>22536</x:v>
      </x:c>
      <x:c r="D111" s="30" t="n">
        <x:v>23382.61</x:v>
      </x:c>
      <x:c r="E111" s="30" t="str">
        <x:v>Fixed</x:v>
      </x:c>
    </x:row>
    <x:row r="112">
      <x:c r="A112" s="30" t="n">
        <x:v>45597</x:v>
      </x:c>
      <x:c r="B112" s="30" t="str">
        <x:v>Marketing</x:v>
      </x:c>
      <x:c r="C112" s="30" t="n">
        <x:v>113760</x:v>
      </x:c>
      <x:c r="D112" s="30" t="n">
        <x:v>124095.23</x:v>
      </x:c>
      <x:c r="E112" s="30" t="str">
        <x:v>Variable</x:v>
      </x:c>
    </x:row>
    <x:row r="113">
      <x:c r="A113" s="30" t="n">
        <x:v>45597</x:v>
      </x:c>
      <x:c r="B113" s="30" t="str">
        <x:v>Cloud &amp; API</x:v>
      </x:c>
      <x:c r="C113" s="30" t="n">
        <x:v>28399.47</x:v>
      </x:c>
      <x:c r="D113" s="30" t="n">
        <x:v>30413.87</x:v>
      </x:c>
      <x:c r="E113" s="30" t="str">
        <x:v>Variable</x:v>
      </x:c>
    </x:row>
    <x:row r="114">
      <x:c r="A114" s="30" t="n">
        <x:v>45597</x:v>
      </x:c>
      <x:c r="B114" s="30" t="str">
        <x:v>Software</x:v>
      </x:c>
      <x:c r="C114" s="30" t="n">
        <x:v>32864</x:v>
      </x:c>
      <x:c r="D114" s="30" t="n">
        <x:v>33154.85</x:v>
      </x:c>
      <x:c r="E114" s="30" t="str">
        <x:v>Fixed</x:v>
      </x:c>
    </x:row>
    <x:row r="115">
      <x:c r="A115" s="30" t="n">
        <x:v>45597</x:v>
      </x:c>
      <x:c r="B115" s="30" t="str">
        <x:v>Office &amp; Admin</x:v>
      </x:c>
      <x:c r="C115" s="30" t="n">
        <x:v>39184</x:v>
      </x:c>
      <x:c r="D115" s="30" t="n">
        <x:v>37133.82</x:v>
      </x:c>
      <x:c r="E115" s="30" t="str">
        <x:v>Fixed</x:v>
      </x:c>
    </x:row>
    <x:row r="116">
      <x:c r="A116" s="30" t="n">
        <x:v>45597</x:v>
      </x:c>
      <x:c r="B116" s="30" t="str">
        <x:v>Professional Services</x:v>
      </x:c>
      <x:c r="C116" s="30" t="n">
        <x:v>22752</x:v>
      </x:c>
      <x:c r="D116" s="30" t="n">
        <x:v>23977.64</x:v>
      </x:c>
      <x:c r="E116" s="30" t="str">
        <x:v>Fixed</x:v>
      </x:c>
    </x:row>
    <x:row r="117">
      <x:c r="A117" s="30" t="n">
        <x:v>45627</x:v>
      </x:c>
      <x:c r="B117" s="30" t="str">
        <x:v>Marketing</x:v>
      </x:c>
      <x:c r="C117" s="30" t="n">
        <x:v>114840</x:v>
      </x:c>
      <x:c r="D117" s="30" t="n">
        <x:v>132655.98</x:v>
      </x:c>
      <x:c r="E117" s="30" t="str">
        <x:v>Variable</x:v>
      </x:c>
    </x:row>
    <x:row r="118">
      <x:c r="A118" s="30" t="n">
        <x:v>45627</x:v>
      </x:c>
      <x:c r="B118" s="30" t="str">
        <x:v>Cloud &amp; API</x:v>
      </x:c>
      <x:c r="C118" s="30" t="n">
        <x:v>29000.61</x:v>
      </x:c>
      <x:c r="D118" s="30" t="n">
        <x:v>29750.54</x:v>
      </x:c>
      <x:c r="E118" s="30" t="str">
        <x:v>Variable</x:v>
      </x:c>
    </x:row>
    <x:row r="119">
      <x:c r="A119" s="30" t="n">
        <x:v>45627</x:v>
      </x:c>
      <x:c r="B119" s="30" t="str">
        <x:v>Software</x:v>
      </x:c>
      <x:c r="C119" s="30" t="n">
        <x:v>33176</x:v>
      </x:c>
      <x:c r="D119" s="30" t="n">
        <x:v>33223.77</x:v>
      </x:c>
      <x:c r="E119" s="30" t="str">
        <x:v>Fixed</x:v>
      </x:c>
    </x:row>
    <x:row r="120">
      <x:c r="A120" s="30" t="n">
        <x:v>45627</x:v>
      </x:c>
      <x:c r="B120" s="30" t="str">
        <x:v>Office &amp; Admin</x:v>
      </x:c>
      <x:c r="C120" s="30" t="n">
        <x:v>39556</x:v>
      </x:c>
      <x:c r="D120" s="30" t="n">
        <x:v>39579.16</x:v>
      </x:c>
      <x:c r="E120" s="30" t="str">
        <x:v>Fixed</x:v>
      </x:c>
    </x:row>
    <x:row r="121">
      <x:c r="A121" s="30" t="n">
        <x:v>45627</x:v>
      </x:c>
      <x:c r="B121" s="30" t="str">
        <x:v>Professional Services</x:v>
      </x:c>
      <x:c r="C121" s="30" t="n">
        <x:v>22968</x:v>
      </x:c>
      <x:c r="D121" s="30" t="n">
        <x:v>24374.79</x:v>
      </x:c>
      <x:c r="E121" s="30" t="str">
        <x:v>Fixed</x:v>
      </x:c>
    </x:row>
    <x:row r="122">
      <x:c r="A122" s="30" t="n">
        <x:v>45658</x:v>
      </x:c>
      <x:c r="B122" s="30" t="str">
        <x:v>Marketing</x:v>
      </x:c>
      <x:c r="C122" s="30" t="n">
        <x:v>115920</x:v>
      </x:c>
      <x:c r="D122" s="30" t="n">
        <x:v>120516.14</x:v>
      </x:c>
      <x:c r="E122" s="30" t="str">
        <x:v>Variable</x:v>
      </x:c>
    </x:row>
    <x:row r="123">
      <x:c r="A123" s="30" t="n">
        <x:v>45658</x:v>
      </x:c>
      <x:c r="B123" s="30" t="str">
        <x:v>Cloud &amp; API</x:v>
      </x:c>
      <x:c r="C123" s="30" t="n">
        <x:v>30850.92</x:v>
      </x:c>
      <x:c r="D123" s="30" t="n">
        <x:v>35057.76</x:v>
      </x:c>
      <x:c r="E123" s="30" t="str">
        <x:v>Variable</x:v>
      </x:c>
    </x:row>
    <x:row r="124">
      <x:c r="A124" s="30" t="n">
        <x:v>45658</x:v>
      </x:c>
      <x:c r="B124" s="30" t="str">
        <x:v>Software</x:v>
      </x:c>
      <x:c r="C124" s="30" t="n">
        <x:v>33488</x:v>
      </x:c>
      <x:c r="D124" s="30" t="n">
        <x:v>35008.12</x:v>
      </x:c>
      <x:c r="E124" s="30" t="str">
        <x:v>Fixed</x:v>
      </x:c>
    </x:row>
    <x:row r="125">
      <x:c r="A125" s="30" t="n">
        <x:v>45658</x:v>
      </x:c>
      <x:c r="B125" s="30" t="str">
        <x:v>Office &amp; Admin</x:v>
      </x:c>
      <x:c r="C125" s="30" t="n">
        <x:v>39928</x:v>
      </x:c>
      <x:c r="D125" s="30" t="n">
        <x:v>36996</x:v>
      </x:c>
      <x:c r="E125" s="30" t="str">
        <x:v>Fixed</x:v>
      </x:c>
    </x:row>
    <x:row r="126">
      <x:c r="A126" s="30" t="n">
        <x:v>45658</x:v>
      </x:c>
      <x:c r="B126" s="30" t="str">
        <x:v>Professional Services</x:v>
      </x:c>
      <x:c r="C126" s="30" t="n">
        <x:v>23184</x:v>
      </x:c>
      <x:c r="D126" s="30" t="n">
        <x:v>25142.82</x:v>
      </x:c>
      <x:c r="E126" s="30" t="str">
        <x:v>Fixed</x:v>
      </x:c>
    </x:row>
    <x:row r="127">
      <x:c r="A127" s="30" t="n">
        <x:v>45689</x:v>
      </x:c>
      <x:c r="B127" s="30" t="str">
        <x:v>Marketing</x:v>
      </x:c>
      <x:c r="C127" s="30" t="n">
        <x:v>117000</x:v>
      </x:c>
      <x:c r="D127" s="30" t="n">
        <x:v>118371.57</x:v>
      </x:c>
      <x:c r="E127" s="30" t="str">
        <x:v>Variable</x:v>
      </x:c>
    </x:row>
    <x:row r="128">
      <x:c r="A128" s="30" t="n">
        <x:v>45689</x:v>
      </x:c>
      <x:c r="B128" s="30" t="str">
        <x:v>Cloud &amp; API</x:v>
      </x:c>
      <x:c r="C128" s="30" t="n">
        <x:v>31780.15</x:v>
      </x:c>
      <x:c r="D128" s="30" t="n">
        <x:v>33733.19</x:v>
      </x:c>
      <x:c r="E128" s="30" t="str">
        <x:v>Variable</x:v>
      </x:c>
    </x:row>
    <x:row r="129">
      <x:c r="A129" s="30" t="n">
        <x:v>45689</x:v>
      </x:c>
      <x:c r="B129" s="30" t="str">
        <x:v>Software</x:v>
      </x:c>
      <x:c r="C129" s="30" t="n">
        <x:v>33800</x:v>
      </x:c>
      <x:c r="D129" s="30" t="n">
        <x:v>37555.48</x:v>
      </x:c>
      <x:c r="E129" s="30" t="str">
        <x:v>Fixed</x:v>
      </x:c>
    </x:row>
    <x:row r="130">
      <x:c r="A130" s="30" t="n">
        <x:v>45689</x:v>
      </x:c>
      <x:c r="B130" s="30" t="str">
        <x:v>Office &amp; Admin</x:v>
      </x:c>
      <x:c r="C130" s="30" t="n">
        <x:v>40300</x:v>
      </x:c>
      <x:c r="D130" s="30" t="n">
        <x:v>40700.75</x:v>
      </x:c>
      <x:c r="E130" s="30" t="str">
        <x:v>Fixed</x:v>
      </x:c>
    </x:row>
    <x:row r="131">
      <x:c r="A131" s="30" t="n">
        <x:v>45689</x:v>
      </x:c>
      <x:c r="B131" s="30" t="str">
        <x:v>Professional Services</x:v>
      </x:c>
      <x:c r="C131" s="30" t="n">
        <x:v>23400</x:v>
      </x:c>
      <x:c r="D131" s="30" t="n">
        <x:v>24654.5</x:v>
      </x:c>
      <x:c r="E131" s="30" t="str">
        <x:v>Fixed</x:v>
      </x:c>
    </x:row>
    <x:row r="132">
      <x:c r="A132" s="30" t="n">
        <x:v>45717</x:v>
      </x:c>
      <x:c r="B132" s="30" t="str">
        <x:v>Marketing</x:v>
      </x:c>
      <x:c r="C132" s="30" t="n">
        <x:v>118080</x:v>
      </x:c>
      <x:c r="D132" s="30" t="n">
        <x:v>129587.66</x:v>
      </x:c>
      <x:c r="E132" s="30" t="str">
        <x:v>Variable</x:v>
      </x:c>
    </x:row>
    <x:row r="133">
      <x:c r="A133" s="30" t="n">
        <x:v>45717</x:v>
      </x:c>
      <x:c r="B133" s="30" t="str">
        <x:v>Cloud &amp; API</x:v>
      </x:c>
      <x:c r="C133" s="30" t="n">
        <x:v>32801.68</x:v>
      </x:c>
      <x:c r="D133" s="30" t="n">
        <x:v>35552.86</x:v>
      </x:c>
      <x:c r="E133" s="30" t="str">
        <x:v>Variable</x:v>
      </x:c>
    </x:row>
    <x:row r="134">
      <x:c r="A134" s="30" t="n">
        <x:v>45717</x:v>
      </x:c>
      <x:c r="B134" s="30" t="str">
        <x:v>Software</x:v>
      </x:c>
      <x:c r="C134" s="30" t="n">
        <x:v>34112</x:v>
      </x:c>
      <x:c r="D134" s="30" t="n">
        <x:v>34422.62</x:v>
      </x:c>
      <x:c r="E134" s="30" t="str">
        <x:v>Fixed</x:v>
      </x:c>
    </x:row>
    <x:row r="135">
      <x:c r="A135" s="30" t="n">
        <x:v>45717</x:v>
      </x:c>
      <x:c r="B135" s="30" t="str">
        <x:v>Office &amp; Admin</x:v>
      </x:c>
      <x:c r="C135" s="30" t="n">
        <x:v>40672</x:v>
      </x:c>
      <x:c r="D135" s="30" t="n">
        <x:v>40280.63</x:v>
      </x:c>
      <x:c r="E135" s="30" t="str">
        <x:v>Fixed</x:v>
      </x:c>
    </x:row>
    <x:row r="136">
      <x:c r="A136" s="30" t="n">
        <x:v>45717</x:v>
      </x:c>
      <x:c r="B136" s="30" t="str">
        <x:v>Professional Services</x:v>
      </x:c>
      <x:c r="C136" s="30" t="n">
        <x:v>23616</x:v>
      </x:c>
      <x:c r="D136" s="30" t="n">
        <x:v>23620.41</x:v>
      </x:c>
      <x:c r="E136" s="30" t="str">
        <x:v>Fixed</x:v>
      </x:c>
    </x:row>
    <x:row r="137">
      <x:c r="A137" s="30" t="n">
        <x:v>45748</x:v>
      </x:c>
      <x:c r="B137" s="30" t="str">
        <x:v>Marketing</x:v>
      </x:c>
      <x:c r="C137" s="30" t="n">
        <x:v>119160</x:v>
      </x:c>
      <x:c r="D137" s="30" t="n">
        <x:v>134208.81</x:v>
      </x:c>
      <x:c r="E137" s="30" t="str">
        <x:v>Variable</x:v>
      </x:c>
    </x:row>
    <x:row r="138">
      <x:c r="A138" s="30" t="n">
        <x:v>45748</x:v>
      </x:c>
      <x:c r="B138" s="30" t="str">
        <x:v>Cloud &amp; API</x:v>
      </x:c>
      <x:c r="C138" s="30" t="n">
        <x:v>33658.87</x:v>
      </x:c>
      <x:c r="D138" s="30" t="n">
        <x:v>33824.79</x:v>
      </x:c>
      <x:c r="E138" s="30" t="str">
        <x:v>Variable</x:v>
      </x:c>
    </x:row>
    <x:row r="139">
      <x:c r="A139" s="30" t="n">
        <x:v>45748</x:v>
      </x:c>
      <x:c r="B139" s="30" t="str">
        <x:v>Software</x:v>
      </x:c>
      <x:c r="C139" s="30" t="n">
        <x:v>34424</x:v>
      </x:c>
      <x:c r="D139" s="30" t="n">
        <x:v>34481.04</x:v>
      </x:c>
      <x:c r="E139" s="30" t="str">
        <x:v>Fixed</x:v>
      </x:c>
    </x:row>
    <x:row r="140">
      <x:c r="A140" s="30" t="n">
        <x:v>45748</x:v>
      </x:c>
      <x:c r="B140" s="30" t="str">
        <x:v>Office &amp; Admin</x:v>
      </x:c>
      <x:c r="C140" s="30" t="n">
        <x:v>41044</x:v>
      </x:c>
      <x:c r="D140" s="30" t="n">
        <x:v>38175.68</x:v>
      </x:c>
      <x:c r="E140" s="30" t="str">
        <x:v>Fixed</x:v>
      </x:c>
    </x:row>
    <x:row r="141">
      <x:c r="A141" s="30" t="n">
        <x:v>45748</x:v>
      </x:c>
      <x:c r="B141" s="30" t="str">
        <x:v>Professional Services</x:v>
      </x:c>
      <x:c r="C141" s="30" t="n">
        <x:v>23832</x:v>
      </x:c>
      <x:c r="D141" s="30" t="n">
        <x:v>25198.84</x:v>
      </x:c>
      <x:c r="E141" s="30" t="str">
        <x:v>Fixed</x:v>
      </x:c>
    </x:row>
    <x:row r="142">
      <x:c r="A142" s="30" t="n">
        <x:v>45778</x:v>
      </x:c>
      <x:c r="B142" s="30" t="str">
        <x:v>Marketing</x:v>
      </x:c>
      <x:c r="C142" s="30" t="n">
        <x:v>120240</x:v>
      </x:c>
      <x:c r="D142" s="30" t="n">
        <x:v>133552.62</x:v>
      </x:c>
      <x:c r="E142" s="30" t="str">
        <x:v>Variable</x:v>
      </x:c>
    </x:row>
    <x:row r="143">
      <x:c r="A143" s="30" t="n">
        <x:v>45778</x:v>
      </x:c>
      <x:c r="B143" s="30" t="str">
        <x:v>Cloud &amp; API</x:v>
      </x:c>
      <x:c r="C143" s="30" t="n">
        <x:v>34774.33</x:v>
      </x:c>
      <x:c r="D143" s="30" t="n">
        <x:v>39548.47</x:v>
      </x:c>
      <x:c r="E143" s="30" t="str">
        <x:v>Variable</x:v>
      </x:c>
    </x:row>
    <x:row r="144">
      <x:c r="A144" s="30" t="n">
        <x:v>45778</x:v>
      </x:c>
      <x:c r="B144" s="30" t="str">
        <x:v>Software</x:v>
      </x:c>
      <x:c r="C144" s="30" t="n">
        <x:v>34736</x:v>
      </x:c>
      <x:c r="D144" s="30" t="n">
        <x:v>33470.99</x:v>
      </x:c>
      <x:c r="E144" s="30" t="str">
        <x:v>Fixed</x:v>
      </x:c>
    </x:row>
    <x:row r="145">
      <x:c r="A145" s="30" t="n">
        <x:v>45778</x:v>
      </x:c>
      <x:c r="B145" s="30" t="str">
        <x:v>Office &amp; Admin</x:v>
      </x:c>
      <x:c r="C145" s="30" t="n">
        <x:v>41416</x:v>
      </x:c>
      <x:c r="D145" s="30" t="n">
        <x:v>39837.61</x:v>
      </x:c>
      <x:c r="E145" s="30" t="str">
        <x:v>Fixed</x:v>
      </x:c>
    </x:row>
    <x:row r="146">
      <x:c r="A146" s="30" t="n">
        <x:v>45778</x:v>
      </x:c>
      <x:c r="B146" s="30" t="str">
        <x:v>Professional Services</x:v>
      </x:c>
      <x:c r="C146" s="30" t="n">
        <x:v>24048</x:v>
      </x:c>
      <x:c r="D146" s="30" t="n">
        <x:v>25690.24</x:v>
      </x:c>
      <x:c r="E146" s="30" t="str">
        <x:v>Fixed</x:v>
      </x:c>
    </x:row>
    <x:row r="147">
      <x:c r="A147" s="30" t="n">
        <x:v>45809</x:v>
      </x:c>
      <x:c r="B147" s="30" t="str">
        <x:v>Marketing</x:v>
      </x:c>
      <x:c r="C147" s="30" t="n">
        <x:v>121320</x:v>
      </x:c>
      <x:c r="D147" s="30" t="n">
        <x:v>134809.9</x:v>
      </x:c>
      <x:c r="E147" s="30" t="str">
        <x:v>Variable</x:v>
      </x:c>
    </x:row>
    <x:row r="148">
      <x:c r="A148" s="30" t="n">
        <x:v>45809</x:v>
      </x:c>
      <x:c r="B148" s="30" t="str">
        <x:v>Cloud &amp; API</x:v>
      </x:c>
      <x:c r="C148" s="30" t="n">
        <x:v>35713.27</x:v>
      </x:c>
      <x:c r="D148" s="30" t="n">
        <x:v>39324.39</x:v>
      </x:c>
      <x:c r="E148" s="30" t="str">
        <x:v>Variable</x:v>
      </x:c>
    </x:row>
    <x:row r="149">
      <x:c r="A149" s="30" t="n">
        <x:v>45809</x:v>
      </x:c>
      <x:c r="B149" s="30" t="str">
        <x:v>Software</x:v>
      </x:c>
      <x:c r="C149" s="30" t="n">
        <x:v>35048</x:v>
      </x:c>
      <x:c r="D149" s="30" t="n">
        <x:v>33901.72</x:v>
      </x:c>
      <x:c r="E149" s="30" t="str">
        <x:v>Fixed</x:v>
      </x:c>
    </x:row>
    <x:row r="150">
      <x:c r="A150" s="30" t="n">
        <x:v>45809</x:v>
      </x:c>
      <x:c r="B150" s="30" t="str">
        <x:v>Office &amp; Admin</x:v>
      </x:c>
      <x:c r="C150" s="30" t="n">
        <x:v>41788</x:v>
      </x:c>
      <x:c r="D150" s="30" t="n">
        <x:v>40623.44</x:v>
      </x:c>
      <x:c r="E150" s="30" t="str">
        <x:v>Fixed</x:v>
      </x:c>
    </x:row>
    <x:row r="151">
      <x:c r="A151" s="30" t="n">
        <x:v>45809</x:v>
      </x:c>
      <x:c r="B151" s="30" t="str">
        <x:v>Professional Services</x:v>
      </x:c>
      <x:c r="C151" s="30" t="n">
        <x:v>24264</x:v>
      </x:c>
      <x:c r="D151" s="30" t="n">
        <x:v>26036.45</x:v>
      </x:c>
      <x:c r="E151" s="30" t="str">
        <x:v>Fixed</x:v>
      </x:c>
    </x:row>
    <x:row r="152">
      <x:c r="A152" s="30" t="n">
        <x:v>45839</x:v>
      </x:c>
      <x:c r="B152" s="30" t="str">
        <x:v>Marketing</x:v>
      </x:c>
      <x:c r="C152" s="30" t="n">
        <x:v>122400</x:v>
      </x:c>
      <x:c r="D152" s="30" t="n">
        <x:v>128802.7</x:v>
      </x:c>
      <x:c r="E152" s="30" t="str">
        <x:v>Variable</x:v>
      </x:c>
    </x:row>
    <x:row r="153">
      <x:c r="A153" s="30" t="n">
        <x:v>45839</x:v>
      </x:c>
      <x:c r="B153" s="30" t="str">
        <x:v>Cloud &amp; API</x:v>
      </x:c>
      <x:c r="C153" s="30" t="n">
        <x:v>36671.32</x:v>
      </x:c>
      <x:c r="D153" s="30" t="n">
        <x:v>36503.84</x:v>
      </x:c>
      <x:c r="E153" s="30" t="str">
        <x:v>Variable</x:v>
      </x:c>
    </x:row>
    <x:row r="154">
      <x:c r="A154" s="30" t="n">
        <x:v>45839</x:v>
      </x:c>
      <x:c r="B154" s="30" t="str">
        <x:v>Software</x:v>
      </x:c>
      <x:c r="C154" s="30" t="n">
        <x:v>35360</x:v>
      </x:c>
      <x:c r="D154" s="30" t="n">
        <x:v>38480.17</x:v>
      </x:c>
      <x:c r="E154" s="30" t="str">
        <x:v>Fixed</x:v>
      </x:c>
    </x:row>
    <x:row r="155">
      <x:c r="A155" s="30" t="n">
        <x:v>45839</x:v>
      </x:c>
      <x:c r="B155" s="30" t="str">
        <x:v>Office &amp; Admin</x:v>
      </x:c>
      <x:c r="C155" s="30" t="n">
        <x:v>42160</x:v>
      </x:c>
      <x:c r="D155" s="30" t="n">
        <x:v>41504.88</x:v>
      </x:c>
      <x:c r="E155" s="30" t="str">
        <x:v>Fixed</x:v>
      </x:c>
    </x:row>
    <x:row r="156">
      <x:c r="A156" s="30" t="n">
        <x:v>45839</x:v>
      </x:c>
      <x:c r="B156" s="30" t="str">
        <x:v>Professional Services</x:v>
      </x:c>
      <x:c r="C156" s="30" t="n">
        <x:v>24480</x:v>
      </x:c>
      <x:c r="D156" s="30" t="n">
        <x:v>26130.2</x:v>
      </x:c>
      <x:c r="E156" s="30" t="str">
        <x:v>Fixed</x:v>
      </x:c>
    </x:row>
    <x:row r="157">
      <x:c r="A157" s="30" t="n">
        <x:v>45870</x:v>
      </x:c>
      <x:c r="B157" s="30" t="str">
        <x:v>Marketing</x:v>
      </x:c>
      <x:c r="C157" s="30" t="n">
        <x:v>123480</x:v>
      </x:c>
      <x:c r="D157" s="30" t="n">
        <x:v>133039.61</x:v>
      </x:c>
      <x:c r="E157" s="30" t="str">
        <x:v>Variable</x:v>
      </x:c>
    </x:row>
    <x:row r="158">
      <x:c r="A158" s="30" t="n">
        <x:v>45870</x:v>
      </x:c>
      <x:c r="B158" s="30" t="str">
        <x:v>Cloud &amp; API</x:v>
      </x:c>
      <x:c r="C158" s="30" t="n">
        <x:v>37574.52</x:v>
      </x:c>
      <x:c r="D158" s="30" t="n">
        <x:v>41048.75</x:v>
      </x:c>
      <x:c r="E158" s="30" t="str">
        <x:v>Variable</x:v>
      </x:c>
    </x:row>
    <x:row r="159">
      <x:c r="A159" s="30" t="n">
        <x:v>45870</x:v>
      </x:c>
      <x:c r="B159" s="30" t="str">
        <x:v>Software</x:v>
      </x:c>
      <x:c r="C159" s="30" t="n">
        <x:v>35672</x:v>
      </x:c>
      <x:c r="D159" s="30" t="n">
        <x:v>34036</x:v>
      </x:c>
      <x:c r="E159" s="30" t="str">
        <x:v>Fixed</x:v>
      </x:c>
    </x:row>
    <x:row r="160">
      <x:c r="A160" s="30" t="n">
        <x:v>45870</x:v>
      </x:c>
      <x:c r="B160" s="30" t="str">
        <x:v>Office &amp; Admin</x:v>
      </x:c>
      <x:c r="C160" s="30" t="n">
        <x:v>42532</x:v>
      </x:c>
      <x:c r="D160" s="30" t="n">
        <x:v>38880.72</x:v>
      </x:c>
      <x:c r="E160" s="30" t="str">
        <x:v>Fixed</x:v>
      </x:c>
    </x:row>
    <x:row r="161">
      <x:c r="A161" s="30" t="n">
        <x:v>45870</x:v>
      </x:c>
      <x:c r="B161" s="30" t="str">
        <x:v>Professional Services</x:v>
      </x:c>
      <x:c r="C161" s="30" t="n">
        <x:v>24696</x:v>
      </x:c>
      <x:c r="D161" s="30" t="n">
        <x:v>24265.13</x:v>
      </x:c>
      <x:c r="E161" s="30" t="str">
        <x:v>Fixed</x:v>
      </x:c>
    </x:row>
    <x:row r="162">
      <x:c r="A162" s="30" t="n">
        <x:v>45901</x:v>
      </x:c>
      <x:c r="B162" s="30" t="str">
        <x:v>Marketing</x:v>
      </x:c>
      <x:c r="C162" s="30" t="n">
        <x:v>124560</x:v>
      </x:c>
      <x:c r="D162" s="30" t="n">
        <x:v>139448.6</x:v>
      </x:c>
      <x:c r="E162" s="30" t="str">
        <x:v>Variable</x:v>
      </x:c>
    </x:row>
    <x:row r="163">
      <x:c r="A163" s="30" t="n">
        <x:v>45901</x:v>
      </x:c>
      <x:c r="B163" s="30" t="str">
        <x:v>Cloud &amp; API</x:v>
      </x:c>
      <x:c r="C163" s="30" t="n">
        <x:v>38290.63</x:v>
      </x:c>
      <x:c r="D163" s="30" t="n">
        <x:v>42258.58</x:v>
      </x:c>
      <x:c r="E163" s="30" t="str">
        <x:v>Variable</x:v>
      </x:c>
    </x:row>
    <x:row r="164">
      <x:c r="A164" s="30" t="n">
        <x:v>45901</x:v>
      </x:c>
      <x:c r="B164" s="30" t="str">
        <x:v>Software</x:v>
      </x:c>
      <x:c r="C164" s="30" t="n">
        <x:v>35984</x:v>
      </x:c>
      <x:c r="D164" s="30" t="n">
        <x:v>34828.23</x:v>
      </x:c>
      <x:c r="E164" s="30" t="str">
        <x:v>Fixed</x:v>
      </x:c>
    </x:row>
    <x:row r="165">
      <x:c r="A165" s="30" t="n">
        <x:v>45901</x:v>
      </x:c>
      <x:c r="B165" s="30" t="str">
        <x:v>Office &amp; Admin</x:v>
      </x:c>
      <x:c r="C165" s="30" t="n">
        <x:v>42904</x:v>
      </x:c>
      <x:c r="D165" s="30" t="n">
        <x:v>44680.98</x:v>
      </x:c>
      <x:c r="E165" s="30" t="str">
        <x:v>Fixed</x:v>
      </x:c>
    </x:row>
    <x:row r="166">
      <x:c r="A166" s="30" t="n">
        <x:v>45901</x:v>
      </x:c>
      <x:c r="B166" s="30" t="str">
        <x:v>Professional Services</x:v>
      </x:c>
      <x:c r="C166" s="30" t="n">
        <x:v>24912</x:v>
      </x:c>
      <x:c r="D166" s="30" t="n">
        <x:v>27237.74</x:v>
      </x:c>
      <x:c r="E166" s="30" t="str">
        <x:v>Fixed</x:v>
      </x:c>
    </x:row>
    <x:row r="167">
      <x:c r="A167" s="30" t="n">
        <x:v>45931</x:v>
      </x:c>
      <x:c r="B167" s="30" t="str">
        <x:v>Marketing</x:v>
      </x:c>
      <x:c r="C167" s="30" t="n">
        <x:v>125640</x:v>
      </x:c>
      <x:c r="D167" s="30" t="n">
        <x:v>126334.44</x:v>
      </x:c>
      <x:c r="E167" s="30" t="str">
        <x:v>Variable</x:v>
      </x:c>
    </x:row>
    <x:row r="168">
      <x:c r="A168" s="30" t="n">
        <x:v>45931</x:v>
      </x:c>
      <x:c r="B168" s="30" t="str">
        <x:v>Cloud &amp; API</x:v>
      </x:c>
      <x:c r="C168" s="30" t="n">
        <x:v>39086.84</x:v>
      </x:c>
      <x:c r="D168" s="30" t="n">
        <x:v>45543.74</x:v>
      </x:c>
      <x:c r="E168" s="30" t="str">
        <x:v>Variable</x:v>
      </x:c>
    </x:row>
    <x:row r="169">
      <x:c r="A169" s="30" t="n">
        <x:v>45931</x:v>
      </x:c>
      <x:c r="B169" s="30" t="str">
        <x:v>Software</x:v>
      </x:c>
      <x:c r="C169" s="30" t="n">
        <x:v>36296</x:v>
      </x:c>
      <x:c r="D169" s="30" t="n">
        <x:v>37430.04</x:v>
      </x:c>
      <x:c r="E169" s="30" t="str">
        <x:v>Fixed</x:v>
      </x:c>
    </x:row>
    <x:row r="170">
      <x:c r="A170" s="30" t="n">
        <x:v>45931</x:v>
      </x:c>
      <x:c r="B170" s="30" t="str">
        <x:v>Office &amp; Admin</x:v>
      </x:c>
      <x:c r="C170" s="30" t="n">
        <x:v>43276</x:v>
      </x:c>
      <x:c r="D170" s="30" t="n">
        <x:v>39744.32</x:v>
      </x:c>
      <x:c r="E170" s="30" t="str">
        <x:v>Fixed</x:v>
      </x:c>
    </x:row>
    <x:row r="171">
      <x:c r="A171" s="30" t="n">
        <x:v>45931</x:v>
      </x:c>
      <x:c r="B171" s="30" t="str">
        <x:v>Professional Services</x:v>
      </x:c>
      <x:c r="C171" s="30" t="n">
        <x:v>25128</x:v>
      </x:c>
      <x:c r="D171" s="30" t="n">
        <x:v>25186.5</x:v>
      </x:c>
      <x:c r="E171" s="30" t="str">
        <x:v>Fixed</x:v>
      </x:c>
    </x:row>
    <x:row r="172">
      <x:c r="A172" s="30" t="n">
        <x:v>45962</x:v>
      </x:c>
      <x:c r="B172" s="30" t="str">
        <x:v>Marketing</x:v>
      </x:c>
      <x:c r="C172" s="30" t="n">
        <x:v>126720</x:v>
      </x:c>
      <x:c r="D172" s="30" t="n">
        <x:v>137159.81</x:v>
      </x:c>
      <x:c r="E172" s="30" t="str">
        <x:v>Variable</x:v>
      </x:c>
    </x:row>
    <x:row r="173">
      <x:c r="A173" s="30" t="n">
        <x:v>45962</x:v>
      </x:c>
      <x:c r="B173" s="30" t="str">
        <x:v>Cloud &amp; API</x:v>
      </x:c>
      <x:c r="C173" s="30" t="n">
        <x:v>39919.64</x:v>
      </x:c>
      <x:c r="D173" s="30" t="n">
        <x:v>44686.81</x:v>
      </x:c>
      <x:c r="E173" s="30" t="str">
        <x:v>Variable</x:v>
      </x:c>
    </x:row>
    <x:row r="174">
      <x:c r="A174" s="30" t="n">
        <x:v>45962</x:v>
      </x:c>
      <x:c r="B174" s="30" t="str">
        <x:v>Software</x:v>
      </x:c>
      <x:c r="C174" s="30" t="n">
        <x:v>36608</x:v>
      </x:c>
      <x:c r="D174" s="30" t="n">
        <x:v>37701.41</x:v>
      </x:c>
      <x:c r="E174" s="30" t="str">
        <x:v>Fixed</x:v>
      </x:c>
    </x:row>
    <x:row r="175">
      <x:c r="A175" s="30" t="n">
        <x:v>45962</x:v>
      </x:c>
      <x:c r="B175" s="30" t="str">
        <x:v>Office &amp; Admin</x:v>
      </x:c>
      <x:c r="C175" s="30" t="n">
        <x:v>43648</x:v>
      </x:c>
      <x:c r="D175" s="30" t="n">
        <x:v>40145.64</x:v>
      </x:c>
      <x:c r="E175" s="30" t="str">
        <x:v>Fixed</x:v>
      </x:c>
    </x:row>
    <x:row r="176">
      <x:c r="A176" s="30" t="n">
        <x:v>45962</x:v>
      </x:c>
      <x:c r="B176" s="30" t="str">
        <x:v>Professional Services</x:v>
      </x:c>
      <x:c r="C176" s="30" t="n">
        <x:v>25344</x:v>
      </x:c>
      <x:c r="D176" s="30" t="n">
        <x:v>29107.52</x:v>
      </x:c>
      <x:c r="E176" s="30" t="str">
        <x:v>Fixed</x:v>
      </x:c>
    </x:row>
    <x:row r="177">
      <x:c r="A177" s="30" t="n">
        <x:v>45992</x:v>
      </x:c>
      <x:c r="B177" s="30" t="str">
        <x:v>Marketing</x:v>
      </x:c>
      <x:c r="C177" s="30" t="n">
        <x:v>127800</x:v>
      </x:c>
      <x:c r="D177" s="30" t="n">
        <x:v>130204.62</x:v>
      </x:c>
      <x:c r="E177" s="30" t="str">
        <x:v>Variable</x:v>
      </x:c>
    </x:row>
    <x:row r="178">
      <x:c r="A178" s="30" t="n">
        <x:v>45992</x:v>
      </x:c>
      <x:c r="B178" s="30" t="str">
        <x:v>Cloud &amp; API</x:v>
      </x:c>
      <x:c r="C178" s="30" t="n">
        <x:v>40548.74</x:v>
      </x:c>
      <x:c r="D178" s="30" t="n">
        <x:v>46945.64</x:v>
      </x:c>
      <x:c r="E178" s="30" t="str">
        <x:v>Variable</x:v>
      </x:c>
    </x:row>
    <x:row r="179">
      <x:c r="A179" s="30" t="n">
        <x:v>45992</x:v>
      </x:c>
      <x:c r="B179" s="30" t="str">
        <x:v>Software</x:v>
      </x:c>
      <x:c r="C179" s="30" t="n">
        <x:v>36920</x:v>
      </x:c>
      <x:c r="D179" s="30" t="n">
        <x:v>41711.9</x:v>
      </x:c>
      <x:c r="E179" s="30" t="str">
        <x:v>Fixed</x:v>
      </x:c>
    </x:row>
    <x:row r="180">
      <x:c r="A180" s="30" t="n">
        <x:v>45992</x:v>
      </x:c>
      <x:c r="B180" s="30" t="str">
        <x:v>Office &amp; Admin</x:v>
      </x:c>
      <x:c r="C180" s="30" t="n">
        <x:v>44020</x:v>
      </x:c>
      <x:c r="D180" s="30" t="n">
        <x:v>40370.05</x:v>
      </x:c>
      <x:c r="E180" s="30" t="str">
        <x:v>Fixed</x:v>
      </x:c>
    </x:row>
    <x:row r="181">
      <x:c r="A181" s="30" t="n">
        <x:v>45992</x:v>
      </x:c>
      <x:c r="B181" s="30" t="str">
        <x:v>Professional Services</x:v>
      </x:c>
      <x:c r="C181" s="30" t="n">
        <x:v>25560</x:v>
      </x:c>
      <x:c r="D181" s="30" t="n">
        <x:v>25641.27</x:v>
      </x:c>
      <x:c r="E181" s="30" t="str">
        <x:v>Fixed</x:v>
      </x:c>
    </x:row>
    <x:row r="182">
      <x:c r="A182" s="30" t="n">
        <x:v>46023</x:v>
      </x:c>
      <x:c r="B182" s="30" t="str">
        <x:v>Marketing</x:v>
      </x:c>
      <x:c r="C182" s="30" t="n">
        <x:v>128880</x:v>
      </x:c>
      <x:c r="D182" s="30" t="n">
        <x:v>137683.61</x:v>
      </x:c>
      <x:c r="E182" s="30" t="str">
        <x:v>Variable</x:v>
      </x:c>
    </x:row>
    <x:row r="183">
      <x:c r="A183" s="30" t="n">
        <x:v>46023</x:v>
      </x:c>
      <x:c r="B183" s="30" t="str">
        <x:v>Cloud &amp; API</x:v>
      </x:c>
      <x:c r="C183" s="30" t="n">
        <x:v>43015.48</x:v>
      </x:c>
      <x:c r="D183" s="30" t="n">
        <x:v>46462.6</x:v>
      </x:c>
      <x:c r="E183" s="30" t="str">
        <x:v>Variable</x:v>
      </x:c>
    </x:row>
    <x:row r="184">
      <x:c r="A184" s="30" t="n">
        <x:v>46023</x:v>
      </x:c>
      <x:c r="B184" s="30" t="str">
        <x:v>Software</x:v>
      </x:c>
      <x:c r="C184" s="30" t="n">
        <x:v>37232</x:v>
      </x:c>
      <x:c r="D184" s="30" t="n">
        <x:v>36769.83</x:v>
      </x:c>
      <x:c r="E184" s="30" t="str">
        <x:v>Fixed</x:v>
      </x:c>
    </x:row>
    <x:row r="185">
      <x:c r="A185" s="30" t="n">
        <x:v>46023</x:v>
      </x:c>
      <x:c r="B185" s="30" t="str">
        <x:v>Office &amp; Admin</x:v>
      </x:c>
      <x:c r="C185" s="30" t="n">
        <x:v>44392</x:v>
      </x:c>
      <x:c r="D185" s="30" t="n">
        <x:v>45578.93</x:v>
      </x:c>
      <x:c r="E185" s="30" t="str">
        <x:v>Fixed</x:v>
      </x:c>
    </x:row>
    <x:row r="186">
      <x:c r="A186" s="30" t="n">
        <x:v>46023</x:v>
      </x:c>
      <x:c r="B186" s="30" t="str">
        <x:v>Professional Services</x:v>
      </x:c>
      <x:c r="C186" s="30" t="n">
        <x:v>25776</x:v>
      </x:c>
      <x:c r="D186" s="30" t="n">
        <x:v>27930.96</x:v>
      </x:c>
      <x:c r="E186" s="30" t="str">
        <x:v>Fixed</x:v>
      </x:c>
    </x:row>
    <x:row r="187">
      <x:c r="A187" s="30" t="n">
        <x:v>46054</x:v>
      </x:c>
      <x:c r="B187" s="30" t="str">
        <x:v>Marketing</x:v>
      </x:c>
      <x:c r="C187" s="30" t="n">
        <x:v>129960</x:v>
      </x:c>
      <x:c r="D187" s="30" t="n">
        <x:v>127797.7</x:v>
      </x:c>
      <x:c r="E187" s="30" t="str">
        <x:v>Variable</x:v>
      </x:c>
    </x:row>
    <x:row r="188">
      <x:c r="A188" s="30" t="n">
        <x:v>46054</x:v>
      </x:c>
      <x:c r="B188" s="30" t="str">
        <x:v>Cloud &amp; API</x:v>
      </x:c>
      <x:c r="C188" s="30" t="n">
        <x:v>44406.06</x:v>
      </x:c>
      <x:c r="D188" s="30" t="n">
        <x:v>48128.64</x:v>
      </x:c>
      <x:c r="E188" s="30" t="str">
        <x:v>Variable</x:v>
      </x:c>
    </x:row>
    <x:row r="189">
      <x:c r="A189" s="30" t="n">
        <x:v>46054</x:v>
      </x:c>
      <x:c r="B189" s="30" t="str">
        <x:v>Software</x:v>
      </x:c>
      <x:c r="C189" s="30" t="n">
        <x:v>37544</x:v>
      </x:c>
      <x:c r="D189" s="30" t="n">
        <x:v>38217.93</x:v>
      </x:c>
      <x:c r="E189" s="30" t="str">
        <x:v>Fixed</x:v>
      </x:c>
    </x:row>
    <x:row r="190">
      <x:c r="A190" s="30" t="n">
        <x:v>46054</x:v>
      </x:c>
      <x:c r="B190" s="30" t="str">
        <x:v>Office &amp; Admin</x:v>
      </x:c>
      <x:c r="C190" s="30" t="n">
        <x:v>44764</x:v>
      </x:c>
      <x:c r="D190" s="30" t="n">
        <x:v>42804.3</x:v>
      </x:c>
      <x:c r="E190" s="30" t="str">
        <x:v>Fixed</x:v>
      </x:c>
    </x:row>
    <x:row r="191">
      <x:c r="A191" s="30" t="n">
        <x:v>46054</x:v>
      </x:c>
      <x:c r="B191" s="30" t="str">
        <x:v>Professional Services</x:v>
      </x:c>
      <x:c r="C191" s="30" t="n">
        <x:v>25992</x:v>
      </x:c>
      <x:c r="D191" s="30" t="n">
        <x:v>29053.59</x:v>
      </x:c>
      <x:c r="E191" s="30" t="str">
        <x:v>Fixed</x:v>
      </x:c>
    </x:row>
    <x:row r="192">
      <x:c r="A192" s="30" t="n">
        <x:v>46082</x:v>
      </x:c>
      <x:c r="B192" s="30" t="str">
        <x:v>Marketing</x:v>
      </x:c>
      <x:c r="C192" s="30" t="n">
        <x:v>131040</x:v>
      </x:c>
      <x:c r="D192" s="30" t="n">
        <x:v>152524.22</x:v>
      </x:c>
      <x:c r="E192" s="30" t="str">
        <x:v>Variable</x:v>
      </x:c>
    </x:row>
    <x:row r="193">
      <x:c r="A193" s="30" t="n">
        <x:v>46082</x:v>
      </x:c>
      <x:c r="B193" s="30" t="str">
        <x:v>Cloud &amp; API</x:v>
      </x:c>
      <x:c r="C193" s="30" t="n">
        <x:v>45675.88</x:v>
      </x:c>
      <x:c r="D193" s="30" t="n">
        <x:v>48210.42</x:v>
      </x:c>
      <x:c r="E193" s="30" t="str">
        <x:v>Variable</x:v>
      </x:c>
    </x:row>
    <x:row r="194">
      <x:c r="A194" s="30" t="n">
        <x:v>46082</x:v>
      </x:c>
      <x:c r="B194" s="30" t="str">
        <x:v>Software</x:v>
      </x:c>
      <x:c r="C194" s="30" t="n">
        <x:v>37856</x:v>
      </x:c>
      <x:c r="D194" s="30" t="n">
        <x:v>43593.53</x:v>
      </x:c>
      <x:c r="E194" s="30" t="str">
        <x:v>Fixed</x:v>
      </x:c>
    </x:row>
    <x:row r="195">
      <x:c r="A195" s="30" t="n">
        <x:v>46082</x:v>
      </x:c>
      <x:c r="B195" s="30" t="str">
        <x:v>Office &amp; Admin</x:v>
      </x:c>
      <x:c r="C195" s="30" t="n">
        <x:v>45136</x:v>
      </x:c>
      <x:c r="D195" s="30" t="n">
        <x:v>43489.07</x:v>
      </x:c>
      <x:c r="E195" s="30" t="str">
        <x:v>Fixed</x:v>
      </x:c>
    </x:row>
    <x:row r="196">
      <x:c r="A196" s="30" t="n">
        <x:v>46082</x:v>
      </x:c>
      <x:c r="B196" s="30" t="str">
        <x:v>Professional Services</x:v>
      </x:c>
      <x:c r="C196" s="30" t="n">
        <x:v>26208</x:v>
      </x:c>
      <x:c r="D196" s="30" t="n">
        <x:v>26070.33</x:v>
      </x:c>
      <x:c r="E196" s="30" t="str">
        <x:v>Fixed</x:v>
      </x:c>
    </x:row>
    <x:row r="197">
      <x:c r="A197" s="30" t="n">
        <x:v>46113</x:v>
      </x:c>
      <x:c r="B197" s="30" t="str">
        <x:v>Marketing</x:v>
      </x:c>
      <x:c r="C197" s="30" t="n">
        <x:v>132120</x:v>
      </x:c>
      <x:c r="D197" s="30" t="n">
        <x:v>134115.75</x:v>
      </x:c>
      <x:c r="E197" s="30" t="str">
        <x:v>Variable</x:v>
      </x:c>
    </x:row>
    <x:row r="198">
      <x:c r="A198" s="30" t="n">
        <x:v>46113</x:v>
      </x:c>
      <x:c r="B198" s="30" t="str">
        <x:v>Cloud &amp; API</x:v>
      </x:c>
      <x:c r="C198" s="30" t="n">
        <x:v>47201.56</x:v>
      </x:c>
      <x:c r="D198" s="30" t="n">
        <x:v>46529.04</x:v>
      </x:c>
      <x:c r="E198" s="30" t="str">
        <x:v>Variable</x:v>
      </x:c>
    </x:row>
    <x:row r="199">
      <x:c r="A199" s="30" t="n">
        <x:v>46113</x:v>
      </x:c>
      <x:c r="B199" s="30" t="str">
        <x:v>Software</x:v>
      </x:c>
      <x:c r="C199" s="30" t="n">
        <x:v>38168</x:v>
      </x:c>
      <x:c r="D199" s="30" t="n">
        <x:v>37997.74</x:v>
      </x:c>
      <x:c r="E199" s="30" t="str">
        <x:v>Fixed</x:v>
      </x:c>
    </x:row>
    <x:row r="200">
      <x:c r="A200" s="30" t="n">
        <x:v>46113</x:v>
      </x:c>
      <x:c r="B200" s="30" t="str">
        <x:v>Office &amp; Admin</x:v>
      </x:c>
      <x:c r="C200" s="30" t="n">
        <x:v>45508</x:v>
      </x:c>
      <x:c r="D200" s="30" t="n">
        <x:v>44765.55</x:v>
      </x:c>
      <x:c r="E200" s="30" t="str">
        <x:v>Fixed</x:v>
      </x:c>
    </x:row>
    <x:row r="201">
      <x:c r="A201" s="30" t="n">
        <x:v>46113</x:v>
      </x:c>
      <x:c r="B201" s="30" t="str">
        <x:v>Professional Services</x:v>
      </x:c>
      <x:c r="C201" s="30" t="n">
        <x:v>26424</x:v>
      </x:c>
      <x:c r="D201" s="30" t="n">
        <x:v>27267.23</x:v>
      </x:c>
      <x:c r="E201" s="30" t="str">
        <x:v>Fixed</x:v>
      </x:c>
    </x:row>
    <x:row r="202">
      <x:c r="A202" s="30" t="n">
        <x:v>46143</x:v>
      </x:c>
      <x:c r="B202" s="30" t="str">
        <x:v>Marketing</x:v>
      </x:c>
      <x:c r="C202" s="30" t="n">
        <x:v>133200</x:v>
      </x:c>
      <x:c r="D202" s="30" t="n">
        <x:v>139145.47</x:v>
      </x:c>
      <x:c r="E202" s="30" t="str">
        <x:v>Variable</x:v>
      </x:c>
    </x:row>
    <x:row r="203">
      <x:c r="A203" s="30" t="n">
        <x:v>46143</x:v>
      </x:c>
      <x:c r="B203" s="30" t="str">
        <x:v>Cloud &amp; API</x:v>
      </x:c>
      <x:c r="C203" s="30" t="n">
        <x:v>48366.11</x:v>
      </x:c>
      <x:c r="D203" s="30" t="n">
        <x:v>52667.16</x:v>
      </x:c>
      <x:c r="E203" s="30" t="str">
        <x:v>Variable</x:v>
      </x:c>
    </x:row>
    <x:row r="204">
      <x:c r="A204" s="30" t="n">
        <x:v>46143</x:v>
      </x:c>
      <x:c r="B204" s="30" t="str">
        <x:v>Software</x:v>
      </x:c>
      <x:c r="C204" s="30" t="n">
        <x:v>38480</x:v>
      </x:c>
      <x:c r="D204" s="30" t="n">
        <x:v>41304.36</x:v>
      </x:c>
      <x:c r="E204" s="30" t="str">
        <x:v>Fixed</x:v>
      </x:c>
    </x:row>
    <x:row r="205">
      <x:c r="A205" s="30" t="n">
        <x:v>46143</x:v>
      </x:c>
      <x:c r="B205" s="30" t="str">
        <x:v>Office &amp; Admin</x:v>
      </x:c>
      <x:c r="C205" s="30" t="n">
        <x:v>45880</x:v>
      </x:c>
      <x:c r="D205" s="30" t="n">
        <x:v>45172.88</x:v>
      </x:c>
      <x:c r="E205" s="30" t="str">
        <x:v>Fixed</x:v>
      </x:c>
    </x:row>
    <x:row r="206">
      <x:c r="A206" s="30" t="n">
        <x:v>46143</x:v>
      </x:c>
      <x:c r="B206" s="30" t="str">
        <x:v>Professional Services</x:v>
      </x:c>
      <x:c r="C206" s="30" t="n">
        <x:v>26640</x:v>
      </x:c>
      <x:c r="D206" s="30" t="n">
        <x:v>29689.92</x:v>
      </x:c>
      <x:c r="E206" s="30" t="str">
        <x:v>Fixed</x:v>
      </x:c>
    </x:row>
    <x:row r="207">
      <x:c r="A207" s="30" t="n">
        <x:v>46174</x:v>
      </x:c>
      <x:c r="B207" s="30" t="str">
        <x:v>Marketing</x:v>
      </x:c>
      <x:c r="C207" s="30" t="n">
        <x:v>134280</x:v>
      </x:c>
      <x:c r="D207" s="30" t="n">
        <x:v>134066.21</x:v>
      </x:c>
      <x:c r="E207" s="30" t="str">
        <x:v>Variable</x:v>
      </x:c>
    </x:row>
    <x:row r="208">
      <x:c r="A208" s="30" t="n">
        <x:v>46174</x:v>
      </x:c>
      <x:c r="B208" s="30" t="str">
        <x:v>Cloud &amp; API</x:v>
      </x:c>
      <x:c r="C208" s="30" t="n">
        <x:v>49491.09</x:v>
      </x:c>
      <x:c r="D208" s="30" t="n">
        <x:v>52318.63</x:v>
      </x:c>
      <x:c r="E208" s="30" t="str">
        <x:v>Variable</x:v>
      </x:c>
    </x:row>
    <x:row r="209">
      <x:c r="A209" s="30" t="n">
        <x:v>46174</x:v>
      </x:c>
      <x:c r="B209" s="30" t="str">
        <x:v>Software</x:v>
      </x:c>
      <x:c r="C209" s="30" t="n">
        <x:v>38792</x:v>
      </x:c>
      <x:c r="D209" s="30" t="n">
        <x:v>36375.5</x:v>
      </x:c>
      <x:c r="E209" s="30" t="str">
        <x:v>Fixed</x:v>
      </x:c>
    </x:row>
    <x:row r="210">
      <x:c r="A210" s="30" t="n">
        <x:v>46174</x:v>
      </x:c>
      <x:c r="B210" s="30" t="str">
        <x:v>Office &amp; Admin</x:v>
      </x:c>
      <x:c r="C210" s="30" t="n">
        <x:v>46252</x:v>
      </x:c>
      <x:c r="D210" s="30" t="n">
        <x:v>45490.35</x:v>
      </x:c>
      <x:c r="E210" s="30" t="str">
        <x:v>Fixed</x:v>
      </x:c>
    </x:row>
    <x:row r="211">
      <x:c r="A211" s="30" t="n">
        <x:v>46174</x:v>
      </x:c>
      <x:c r="B211" s="30" t="str">
        <x:v>Professional Services</x:v>
      </x:c>
      <x:c r="C211" s="30" t="n">
        <x:v>26856</x:v>
      </x:c>
      <x:c r="D211" s="30" t="n">
        <x:v>27147.48</x:v>
      </x:c>
      <x:c r="E211" s="30" t="str">
        <x:v>Fixed</x:v>
      </x:c>
    </x:row>
    <x:row r="212">
      <x:c r="A212" s="30" t="n">
        <x:v>46204</x:v>
      </x:c>
      <x:c r="B212" s="30" t="str">
        <x:v>Marketing</x:v>
      </x:c>
      <x:c r="C212" s="30" t="n">
        <x:v>135360</x:v>
      </x:c>
      <x:c r="D212" s="30"/>
      <x:c r="E212" s="30" t="str">
        <x:v>Variable</x:v>
      </x:c>
    </x:row>
    <x:row r="213">
      <x:c r="A213" s="30" t="n">
        <x:v>46204</x:v>
      </x:c>
      <x:c r="B213" s="30" t="str">
        <x:v>Cloud &amp; API</x:v>
      </x:c>
      <x:c r="C213" s="30" t="n">
        <x:v>50668.27</x:v>
      </x:c>
      <x:c r="D213" s="30"/>
      <x:c r="E213" s="30" t="str">
        <x:v>Variable</x:v>
      </x:c>
    </x:row>
    <x:row r="214">
      <x:c r="A214" s="30" t="n">
        <x:v>46204</x:v>
      </x:c>
      <x:c r="B214" s="30" t="str">
        <x:v>Software</x:v>
      </x:c>
      <x:c r="C214" s="30" t="n">
        <x:v>39104</x:v>
      </x:c>
      <x:c r="D214" s="30"/>
      <x:c r="E214" s="30" t="str">
        <x:v>Fixed</x:v>
      </x:c>
    </x:row>
    <x:row r="215">
      <x:c r="A215" s="30" t="n">
        <x:v>46204</x:v>
      </x:c>
      <x:c r="B215" s="30" t="str">
        <x:v>Office &amp; Admin</x:v>
      </x:c>
      <x:c r="C215" s="30" t="n">
        <x:v>46624</x:v>
      </x:c>
      <x:c r="D215" s="30"/>
      <x:c r="E215" s="30" t="str">
        <x:v>Fixed</x:v>
      </x:c>
    </x:row>
    <x:row r="216">
      <x:c r="A216" s="30" t="n">
        <x:v>46204</x:v>
      </x:c>
      <x:c r="B216" s="30" t="str">
        <x:v>Professional Services</x:v>
      </x:c>
      <x:c r="C216" s="30" t="n">
        <x:v>27072</x:v>
      </x:c>
      <x:c r="D216" s="30"/>
      <x:c r="E216" s="30" t="str">
        <x:v>Fixed</x:v>
      </x:c>
    </x:row>
    <x:row r="217">
      <x:c r="A217" s="30" t="n">
        <x:v>46235</x:v>
      </x:c>
      <x:c r="B217" s="30" t="str">
        <x:v>Marketing</x:v>
      </x:c>
      <x:c r="C217" s="30" t="n">
        <x:v>136440</x:v>
      </x:c>
      <x:c r="D217" s="30"/>
      <x:c r="E217" s="30" t="str">
        <x:v>Variable</x:v>
      </x:c>
    </x:row>
    <x:row r="218">
      <x:c r="A218" s="30" t="n">
        <x:v>46235</x:v>
      </x:c>
      <x:c r="B218" s="30" t="str">
        <x:v>Cloud &amp; API</x:v>
      </x:c>
      <x:c r="C218" s="30" t="n">
        <x:v>51742.75</x:v>
      </x:c>
      <x:c r="D218" s="30"/>
      <x:c r="E218" s="30" t="str">
        <x:v>Variable</x:v>
      </x:c>
    </x:row>
    <x:row r="219">
      <x:c r="A219" s="30" t="n">
        <x:v>46235</x:v>
      </x:c>
      <x:c r="B219" s="30" t="str">
        <x:v>Software</x:v>
      </x:c>
      <x:c r="C219" s="30" t="n">
        <x:v>39416</x:v>
      </x:c>
      <x:c r="D219" s="30"/>
      <x:c r="E219" s="30" t="str">
        <x:v>Fixed</x:v>
      </x:c>
    </x:row>
    <x:row r="220">
      <x:c r="A220" s="30" t="n">
        <x:v>46235</x:v>
      </x:c>
      <x:c r="B220" s="30" t="str">
        <x:v>Office &amp; Admin</x:v>
      </x:c>
      <x:c r="C220" s="30" t="n">
        <x:v>46996</x:v>
      </x:c>
      <x:c r="D220" s="30"/>
      <x:c r="E220" s="30" t="str">
        <x:v>Fixed</x:v>
      </x:c>
    </x:row>
    <x:row r="221">
      <x:c r="A221" s="30" t="n">
        <x:v>46235</x:v>
      </x:c>
      <x:c r="B221" s="30" t="str">
        <x:v>Professional Services</x:v>
      </x:c>
      <x:c r="C221" s="30" t="n">
        <x:v>27288</x:v>
      </x:c>
      <x:c r="D221" s="30"/>
      <x:c r="E221" s="30" t="str">
        <x:v>Fixed</x:v>
      </x:c>
    </x:row>
    <x:row r="222">
      <x:c r="A222" s="30" t="n">
        <x:v>46266</x:v>
      </x:c>
      <x:c r="B222" s="30" t="str">
        <x:v>Marketing</x:v>
      </x:c>
      <x:c r="C222" s="30" t="n">
        <x:v>137520</x:v>
      </x:c>
      <x:c r="D222" s="30"/>
      <x:c r="E222" s="30" t="str">
        <x:v>Variable</x:v>
      </x:c>
    </x:row>
    <x:row r="223">
      <x:c r="A223" s="30" t="n">
        <x:v>46266</x:v>
      </x:c>
      <x:c r="B223" s="30" t="str">
        <x:v>Cloud &amp; API</x:v>
      </x:c>
      <x:c r="C223" s="30" t="n">
        <x:v>52791.99</x:v>
      </x:c>
      <x:c r="D223" s="30"/>
      <x:c r="E223" s="30" t="str">
        <x:v>Variable</x:v>
      </x:c>
    </x:row>
    <x:row r="224">
      <x:c r="A224" s="30" t="n">
        <x:v>46266</x:v>
      </x:c>
      <x:c r="B224" s="30" t="str">
        <x:v>Software</x:v>
      </x:c>
      <x:c r="C224" s="30" t="n">
        <x:v>39728</x:v>
      </x:c>
      <x:c r="D224" s="30"/>
      <x:c r="E224" s="30" t="str">
        <x:v>Fixed</x:v>
      </x:c>
    </x:row>
    <x:row r="225">
      <x:c r="A225" s="30" t="n">
        <x:v>46266</x:v>
      </x:c>
      <x:c r="B225" s="30" t="str">
        <x:v>Office &amp; Admin</x:v>
      </x:c>
      <x:c r="C225" s="30" t="n">
        <x:v>47368</x:v>
      </x:c>
      <x:c r="D225" s="30"/>
      <x:c r="E225" s="30" t="str">
        <x:v>Fixed</x:v>
      </x:c>
    </x:row>
    <x:row r="226">
      <x:c r="A226" s="30" t="n">
        <x:v>46266</x:v>
      </x:c>
      <x:c r="B226" s="30" t="str">
        <x:v>Professional Services</x:v>
      </x:c>
      <x:c r="C226" s="30" t="n">
        <x:v>27504</x:v>
      </x:c>
      <x:c r="D226" s="30"/>
      <x:c r="E226" s="30" t="str">
        <x:v>Fixed</x:v>
      </x:c>
    </x:row>
    <x:row r="227">
      <x:c r="A227" s="30" t="n">
        <x:v>46296</x:v>
      </x:c>
      <x:c r="B227" s="30" t="str">
        <x:v>Marketing</x:v>
      </x:c>
      <x:c r="C227" s="30" t="n">
        <x:v>138600</x:v>
      </x:c>
      <x:c r="D227" s="30"/>
      <x:c r="E227" s="30" t="str">
        <x:v>Variable</x:v>
      </x:c>
    </x:row>
    <x:row r="228">
      <x:c r="A228" s="30" t="n">
        <x:v>46296</x:v>
      </x:c>
      <x:c r="B228" s="30" t="str">
        <x:v>Cloud &amp; API</x:v>
      </x:c>
      <x:c r="C228" s="30" t="n">
        <x:v>53841.23</x:v>
      </x:c>
      <x:c r="D228" s="30"/>
      <x:c r="E228" s="30" t="str">
        <x:v>Variable</x:v>
      </x:c>
    </x:row>
    <x:row r="229">
      <x:c r="A229" s="30" t="n">
        <x:v>46296</x:v>
      </x:c>
      <x:c r="B229" s="30" t="str">
        <x:v>Software</x:v>
      </x:c>
      <x:c r="C229" s="30" t="n">
        <x:v>40040</x:v>
      </x:c>
      <x:c r="D229" s="30"/>
      <x:c r="E229" s="30" t="str">
        <x:v>Fixed</x:v>
      </x:c>
    </x:row>
    <x:row r="230">
      <x:c r="A230" s="30" t="n">
        <x:v>46296</x:v>
      </x:c>
      <x:c r="B230" s="30" t="str">
        <x:v>Office &amp; Admin</x:v>
      </x:c>
      <x:c r="C230" s="30" t="n">
        <x:v>47740</x:v>
      </x:c>
      <x:c r="D230" s="30"/>
      <x:c r="E230" s="30" t="str">
        <x:v>Fixed</x:v>
      </x:c>
    </x:row>
    <x:row r="231">
      <x:c r="A231" s="30" t="n">
        <x:v>46296</x:v>
      </x:c>
      <x:c r="B231" s="30" t="str">
        <x:v>Professional Services</x:v>
      </x:c>
      <x:c r="C231" s="30" t="n">
        <x:v>27720</x:v>
      </x:c>
      <x:c r="D231" s="30"/>
      <x:c r="E231" s="30" t="str">
        <x:v>Fixed</x:v>
      </x:c>
    </x:row>
    <x:row r="232">
      <x:c r="A232" s="30" t="n">
        <x:v>46327</x:v>
      </x:c>
      <x:c r="B232" s="30" t="str">
        <x:v>Marketing</x:v>
      </x:c>
      <x:c r="C232" s="30" t="n">
        <x:v>139680</x:v>
      </x:c>
      <x:c r="D232" s="30"/>
      <x:c r="E232" s="30" t="str">
        <x:v>Variable</x:v>
      </x:c>
    </x:row>
    <x:row r="233">
      <x:c r="A233" s="30" t="n">
        <x:v>46327</x:v>
      </x:c>
      <x:c r="B233" s="30" t="str">
        <x:v>Cloud &amp; API</x:v>
      </x:c>
      <x:c r="C233" s="30" t="n">
        <x:v>54948.13</x:v>
      </x:c>
      <x:c r="D233" s="30"/>
      <x:c r="E233" s="30" t="str">
        <x:v>Variable</x:v>
      </x:c>
    </x:row>
    <x:row r="234">
      <x:c r="A234" s="30" t="n">
        <x:v>46327</x:v>
      </x:c>
      <x:c r="B234" s="30" t="str">
        <x:v>Software</x:v>
      </x:c>
      <x:c r="C234" s="30" t="n">
        <x:v>40352</x:v>
      </x:c>
      <x:c r="D234" s="30"/>
      <x:c r="E234" s="30" t="str">
        <x:v>Fixed</x:v>
      </x:c>
    </x:row>
    <x:row r="235">
      <x:c r="A235" s="30" t="n">
        <x:v>46327</x:v>
      </x:c>
      <x:c r="B235" s="30" t="str">
        <x:v>Office &amp; Admin</x:v>
      </x:c>
      <x:c r="C235" s="30" t="n">
        <x:v>48112</x:v>
      </x:c>
      <x:c r="D235" s="30"/>
      <x:c r="E235" s="30" t="str">
        <x:v>Fixed</x:v>
      </x:c>
    </x:row>
    <x:row r="236">
      <x:c r="A236" s="30" t="n">
        <x:v>46327</x:v>
      </x:c>
      <x:c r="B236" s="30" t="str">
        <x:v>Professional Services</x:v>
      </x:c>
      <x:c r="C236" s="30" t="n">
        <x:v>27936</x:v>
      </x:c>
      <x:c r="D236" s="30"/>
      <x:c r="E236" s="30" t="str">
        <x:v>Fixed</x:v>
      </x:c>
    </x:row>
    <x:row r="237">
      <x:c r="A237" s="30" t="n">
        <x:v>46357</x:v>
      </x:c>
      <x:c r="B237" s="30" t="str">
        <x:v>Marketing</x:v>
      </x:c>
      <x:c r="C237" s="30" t="n">
        <x:v>140760</x:v>
      </x:c>
      <x:c r="D237" s="30"/>
      <x:c r="E237" s="30" t="str">
        <x:v>Variable</x:v>
      </x:c>
    </x:row>
    <x:row r="238">
      <x:c r="A238" s="30" t="n">
        <x:v>46357</x:v>
      </x:c>
      <x:c r="B238" s="30" t="str">
        <x:v>Cloud &amp; API</x:v>
      </x:c>
      <x:c r="C238" s="30" t="n">
        <x:v>56112.68</x:v>
      </x:c>
      <x:c r="D238" s="30"/>
      <x:c r="E238" s="30" t="str">
        <x:v>Variable</x:v>
      </x:c>
    </x:row>
    <x:row r="239">
      <x:c r="A239" s="30" t="n">
        <x:v>46357</x:v>
      </x:c>
      <x:c r="B239" s="30" t="str">
        <x:v>Software</x:v>
      </x:c>
      <x:c r="C239" s="30" t="n">
        <x:v>40664</x:v>
      </x:c>
      <x:c r="D239" s="30"/>
      <x:c r="E239" s="30" t="str">
        <x:v>Fixed</x:v>
      </x:c>
    </x:row>
    <x:row r="240">
      <x:c r="A240" s="30" t="n">
        <x:v>46357</x:v>
      </x:c>
      <x:c r="B240" s="30" t="str">
        <x:v>Office &amp; Admin</x:v>
      </x:c>
      <x:c r="C240" s="30" t="n">
        <x:v>48484</x:v>
      </x:c>
      <x:c r="D240" s="30"/>
      <x:c r="E240" s="30" t="str">
        <x:v>Fixed</x:v>
      </x:c>
    </x:row>
    <x:row r="241">
      <x:c r="A241" s="30" t="n">
        <x:v>46357</x:v>
      </x:c>
      <x:c r="B241" s="30" t="str">
        <x:v>Professional Services</x:v>
      </x:c>
      <x:c r="C241" s="30" t="n">
        <x:v>28152</x:v>
      </x:c>
      <x:c r="D241" s="30"/>
      <x:c r="E241" s="30" t="str">
        <x:v>Fixed</x:v>
      </x:c>
    </x:row>
  </x:sheetData>
  <x:pageMargins left="0.7" right="0.7" top="0.75" bottom="0.75" header="0.3" footer="0.3"/>
  <x:tableParts count="1">
    <x:tablePart xmlns:r="http://schemas.openxmlformats.org/officeDocument/2006/relationships" r:id="R3d0d93252fa941b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4" customHeight="1">
      <x:c r="A1" s="23" t="str">
        <x:v>Model audit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" customHeight="1">
      <x:c r="A2" s="29" t="str">
        <x:v>Terminal checks only; no model output depends on this sheet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26" t="str">
        <x:v>Check</x:v>
      </x:c>
      <x:c r="B4" s="26" t="str">
        <x:v>Result</x:v>
      </x:c>
      <x:c r="C4" s="26" t="str">
        <x:v>Status</x:v>
      </x:c>
      <x:c r="D4" s="30"/>
      <x:c r="E4" s="30"/>
      <x:c r="F4" s="30"/>
      <x:c r="G4" s="30"/>
      <x:c r="H4" s="30"/>
      <x:c r="I4" s="30"/>
      <x:c r="J4" s="30"/>
      <x:c r="K4" s="30"/>
      <x:c r="L4" s="30"/>
    </x:row>
    <x:row r="5">
      <x:c r="A5" s="30" t="str">
        <x:v>Customer roll-forward</x:v>
      </x:c>
      <x:c r="B5" s="30" t="n">
        <x:f>ABS(SUM('Revenue Model'!B6:B52)-SUM('Revenue Model'!E5:E51))</x:f>
        <x:v>0</x:v>
      </x:c>
      <x:c r="C5" s="30" t="str">
        <x:f>IF(B5&lt;0.01,"PASS","REVIEW")</x:f>
        <x:v>PASS</x:v>
      </x:c>
      <x:c r="D5" s="30"/>
      <x:c r="E5" s="30"/>
      <x:c r="F5" s="30"/>
      <x:c r="G5" s="30"/>
      <x:c r="H5" s="30"/>
      <x:c r="I5" s="30"/>
      <x:c r="J5" s="30"/>
      <x:c r="K5" s="30"/>
      <x:c r="L5" s="30"/>
    </x:row>
    <x:row r="6">
      <x:c r="A6" s="30" t="str">
        <x:v>Cash roll-forward</x:v>
      </x:c>
      <x:c r="B6" s="30" t="n">
        <x:f>ABS(SUM('Cash Flow'!B6:B52)-SUM('Cash Flow'!H5:H51))</x:f>
        <x:v>0</x:v>
      </x:c>
      <x:c r="C6" s="30" t="str">
        <x:f>IF(B6&lt;0.01,"PASS","REVIEW")</x:f>
        <x:v>PASS</x:v>
      </x:c>
      <x:c r="D6" s="30"/>
      <x:c r="E6" s="30"/>
      <x:c r="F6" s="30"/>
      <x:c r="G6" s="30"/>
      <x:c r="H6" s="30"/>
      <x:c r="I6" s="30"/>
      <x:c r="J6" s="30"/>
      <x:c r="K6" s="30"/>
      <x:c r="L6" s="30"/>
    </x:row>
    <x:row r="7">
      <x:c r="A7" s="30" t="str">
        <x:v>BvA actual periods</x:v>
      </x:c>
      <x:c r="B7" s="30" t="n">
        <x:f>COUNT(BvA!C5:C52)</x:f>
        <x:v>48</x:v>
      </x:c>
      <x:c r="C7" s="30" t="str">
        <x:f>IF(B7=42,"PASS","REVIEW")</x:f>
        <x:v>REVIEW</x:v>
      </x:c>
      <x:c r="D7" s="30"/>
      <x:c r="E7" s="30"/>
      <x:c r="F7" s="30"/>
      <x:c r="G7" s="30"/>
      <x:c r="H7" s="30"/>
      <x:c r="I7" s="30"/>
      <x:c r="J7" s="30"/>
      <x:c r="K7" s="30"/>
      <x:c r="L7" s="30"/>
    </x:row>
    <x:row r="8">
      <x:c r="A8" s="30" t="str">
        <x:v>Scenario selector</x:v>
      </x:c>
      <x:c r="B8" s="30" t="n">
        <x:f>COUNTIF(Assumptions!A8:A10,Assumptions!B4)</x:f>
        <x:v>1</x:v>
      </x:c>
      <x:c r="C8" s="30" t="str">
        <x:f>IF(B8&lt;0.01,"PASS","REVIEW")</x:f>
        <x:v>REVIEW</x:v>
      </x:c>
      <x:c r="D8" s="30"/>
      <x:c r="E8" s="30"/>
      <x:c r="F8" s="30"/>
      <x:c r="G8" s="30"/>
      <x:c r="H8" s="30"/>
      <x:c r="I8" s="30"/>
      <x:c r="J8" s="30"/>
      <x:c r="K8" s="30"/>
      <x:c r="L8" s="30"/>
    </x:row>
    <x:row r="9">
      <x:c r="A9" s="30" t="str">
        <x:v>No negative customers</x:v>
      </x:c>
      <x:c r="B9" s="30" t="n">
        <x:f>MIN('Revenue Model'!E5:E52)</x:f>
        <x:v>503</x:v>
      </x:c>
      <x:c r="C9" s="30" t="str">
        <x:f>IF(B9&gt;=0,"PASS","REVIEW")</x:f>
        <x:v>PASS</x:v>
      </x:c>
      <x:c r="D9" s="30"/>
      <x:c r="E9" s="30"/>
      <x:c r="F9" s="30"/>
      <x:c r="G9" s="30"/>
      <x:c r="H9" s="30"/>
      <x:c r="I9" s="30"/>
      <x:c r="J9" s="30"/>
      <x:c r="K9" s="30"/>
      <x:c r="L9" s="30"/>
    </x:row>
  </x:sheetData>
  <x:mergeCells>
    <x:mergeCell ref="A1:L1"/>
    <x:mergeCell ref="A2:L2"/>
  </x:mergeCells>
  <x:conditionalFormatting sqref="C5:C9">
    <x:cfRule type="containsText" dxfId="2" priority="1" operator="containsText" text="PASS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</x:cols>
  <x:sheetData>
    <x:row r="1" ht="34" customHeight="1">
      <x:c r="A1" s="23" t="str">
        <x:v>Model guide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" customHeight="1">
      <x:c r="A2" s="29" t="str">
        <x:v>Synthetic SaaS portfolio case study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26" t="str">
        <x:v>Topic</x:v>
      </x:c>
      <x:c r="B4" s="26" t="str">
        <x:v>Details</x:v>
      </x:c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>
      <x:c r="A5" s="30" t="str">
        <x:v>Period</x:v>
      </x:c>
      <x:c r="B5" s="50" t="str">
        <x:v>Jan-2023 to Dec-2026; actuals through Jun-2026</x:v>
      </x:c>
      <x:c r="C5" s="30"/>
      <x:c r="D5" s="30"/>
      <x:c r="E5" s="30"/>
      <x:c r="F5" s="30"/>
      <x:c r="G5" s="30"/>
      <x:c r="H5" s="30"/>
      <x:c r="I5" s="30"/>
      <x:c r="J5" s="30"/>
      <x:c r="K5" s="30"/>
      <x:c r="L5" s="30"/>
    </x:row>
    <x:row r="6">
      <x:c r="A6" s="30" t="str">
        <x:v>Scenario control</x:v>
      </x:c>
      <x:c r="B6" s="50" t="str">
        <x:v>Change Assumptions!B4; active drivers update automatically</x:v>
      </x:c>
      <x:c r="C6" s="30"/>
      <x:c r="D6" s="30"/>
      <x:c r="E6" s="30"/>
      <x:c r="F6" s="30"/>
      <x:c r="G6" s="30"/>
      <x:c r="H6" s="30"/>
      <x:c r="I6" s="30"/>
      <x:c r="J6" s="30"/>
      <x:c r="K6" s="30"/>
      <x:c r="L6" s="30"/>
    </x:row>
    <x:row r="7">
      <x:c r="A7" s="30" t="str">
        <x:v>Revenue</x:v>
      </x:c>
      <x:c r="B7" s="50" t="str">
        <x:v>Customer bridge by plan, MRR, ARR, growth, churn, and ARPC</x:v>
      </x:c>
      <x:c r="C7" s="30"/>
      <x:c r="D7" s="30"/>
      <x:c r="E7" s="30"/>
      <x:c r="F7" s="30"/>
      <x:c r="G7" s="30"/>
      <x:c r="H7" s="30"/>
      <x:c r="I7" s="30"/>
      <x:c r="J7" s="30"/>
      <x:c r="K7" s="30"/>
      <x:c r="L7" s="30"/>
    </x:row>
    <x:row r="8">
      <x:c r="A8" s="30" t="str">
        <x:v>Expenses</x:v>
      </x:c>
      <x:c r="B8" s="50" t="str">
        <x:v>Payroll, benefits, marketing, cloud/API, software, office/admin, professional services</x:v>
      </x:c>
      <x:c r="C8" s="30"/>
      <x:c r="D8" s="30"/>
      <x:c r="E8" s="30"/>
      <x:c r="F8" s="30"/>
      <x:c r="G8" s="30"/>
      <x:c r="H8" s="30"/>
      <x:c r="I8" s="30"/>
      <x:c r="J8" s="30"/>
      <x:c r="K8" s="30"/>
      <x:c r="L8" s="30"/>
    </x:row>
    <x:row r="9">
      <x:c r="A9" s="30" t="str">
        <x:v>Cash flow</x:v>
      </x:c>
      <x:c r="B9" s="50" t="str">
        <x:v>Operating cash proxy, capex, financing, burn, runway</x:v>
      </x:c>
      <x:c r="C9" s="30"/>
      <x:c r="D9" s="30"/>
      <x:c r="E9" s="30"/>
      <x:c r="F9" s="30"/>
      <x:c r="G9" s="30"/>
      <x:c r="H9" s="30"/>
      <x:c r="I9" s="30"/>
      <x:c r="J9" s="30"/>
      <x:c r="K9" s="30"/>
      <x:c r="L9" s="30"/>
    </x:row>
    <x:row r="10">
      <x:c r="A10" s="30" t="str">
        <x:v>Variance convention</x:v>
      </x:c>
      <x:c r="B10" s="50" t="str">
        <x:v>Positive is favorable for revenue and expense</x:v>
      </x:c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</x:row>
    <x:row r="11">
      <x:c r="A11" s="30" t="str">
        <x:v>Power BI</x:v>
      </x:c>
      <x:c r="B11" s="50" t="str">
        <x:v>Load CSV files in /data and use /powerbi model and measures</x:v>
      </x:c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</x:row>
    <x:row r="12">
      <x:c r="A12" s="30" t="str">
        <x:v>AI commentary</x:v>
      </x:c>
      <x:c r="B12" s="50" t="str">
        <x:v>Initial draft generated from structured results; validation is recorded in the report</x:v>
      </x:c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</x:row>
    <x:row r="13">
      <x:c r="A13" s="30" t="str">
        <x:v>Disclosure</x:v>
      </x:c>
      <x:c r="B13" s="50" t="str">
        <x:v>All entities and amounts are synthetic</x:v>
      </x:c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</x:row>
  </x:sheetData>
  <x:mergeCells>
    <x:mergeCell ref="A1:L1"/>
    <x:mergeCell ref="A2:L2"/>
  </x:mergeCells>
  <x:pageMargins left="0.7" right="0.7" top="0.75" bottom="0.75" header="0.3" footer="0.3"/>
</x:worksheet>
</file>