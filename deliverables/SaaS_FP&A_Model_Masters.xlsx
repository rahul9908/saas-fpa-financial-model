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tables/table2.xml" ContentType="application/vnd.openxmlformats-officedocument.spreadsheetml.table+xml"/>
  <Override PartName="/xl/worksheets/sheet18.xml" ContentType="application/vnd.openxmlformats-officedocument.spreadsheetml.worksheet+xml"/>
  <Override PartName="/xl/tables/table3.xml" ContentType="application/vnd.openxmlformats-officedocument.spreadsheetml.table+xml"/>
  <Override PartName="/xl/worksheets/sheet19.xml" ContentType="application/vnd.openxmlformats-officedocument.spreadsheetml.worksheet+xml"/>
  <Override PartName="/xl/tables/table4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c94a12ccb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bb7c0e1db7147f0"/>
    <x:sheet xmlns:r="http://schemas.openxmlformats.org/officeDocument/2006/relationships" name="Assumptions" sheetId="2" r:id="Re5b5aa42024b4236"/>
    <x:sheet xmlns:r="http://schemas.openxmlformats.org/officeDocument/2006/relationships" name="SaaS Metrics" sheetId="3" r:id="R92d39486c8614485"/>
    <x:sheet xmlns:r="http://schemas.openxmlformats.org/officeDocument/2006/relationships" name="ARR Bridge" sheetId="4" r:id="R0f1ec656d8d44700"/>
    <x:sheet xmlns:r="http://schemas.openxmlformats.org/officeDocument/2006/relationships" name="Cohort Analytics" sheetId="5" r:id="Rd36930a5f0444130"/>
    <x:sheet xmlns:r="http://schemas.openxmlformats.org/officeDocument/2006/relationships" name="Revenue Model" sheetId="6" r:id="R40b26857f4ee4288"/>
    <x:sheet xmlns:r="http://schemas.openxmlformats.org/officeDocument/2006/relationships" name="Expense Model" sheetId="7" r:id="Re5690a51b81f44a9"/>
    <x:sheet xmlns:r="http://schemas.openxmlformats.org/officeDocument/2006/relationships" name="Headcount" sheetId="8" r:id="R2dfa9078bb7e4999"/>
    <x:sheet xmlns:r="http://schemas.openxmlformats.org/officeDocument/2006/relationships" name="BvA" sheetId="9" r:id="Re91dadb2374844cc"/>
    <x:sheet xmlns:r="http://schemas.openxmlformats.org/officeDocument/2006/relationships" name="Cash Flow" sheetId="10" r:id="Rcf57287365854621"/>
    <x:sheet xmlns:r="http://schemas.openxmlformats.org/officeDocument/2006/relationships" name="Statements" sheetId="11" r:id="R6d0dca5a1deb46c4"/>
    <x:sheet xmlns:r="http://schemas.openxmlformats.org/officeDocument/2006/relationships" name="Scenarios" sheetId="12" r:id="Re4d2c9c8c9894d82"/>
    <x:sheet xmlns:r="http://schemas.openxmlformats.org/officeDocument/2006/relationships" name="Sensitivity" sheetId="13" r:id="R2d135ae3bfde4d09"/>
    <x:sheet xmlns:r="http://schemas.openxmlformats.org/officeDocument/2006/relationships" name="Forecast QA" sheetId="14" r:id="Reb89c17b4e174830"/>
    <x:sheet xmlns:r="http://schemas.openxmlformats.org/officeDocument/2006/relationships" name="Monte Carlo" sheetId="15" r:id="Rbf65a67c37d64eab"/>
    <x:sheet xmlns:r="http://schemas.openxmlformats.org/officeDocument/2006/relationships" name="Actuals Data" sheetId="16" r:id="R2e882da3b33d4041"/>
    <x:sheet xmlns:r="http://schemas.openxmlformats.org/officeDocument/2006/relationships" name="Subscriptions" sheetId="17" r:id="Rb5d28632cfd84ee1"/>
    <x:sheet xmlns:r="http://schemas.openxmlformats.org/officeDocument/2006/relationships" name="Employees" sheetId="18" r:id="Re9504a1eb94d40a5"/>
    <x:sheet xmlns:r="http://schemas.openxmlformats.org/officeDocument/2006/relationships" name="Opex Data" sheetId="19" r:id="R039c8075a7a14d8f"/>
    <x:sheet xmlns:r="http://schemas.openxmlformats.org/officeDocument/2006/relationships" name="Audit" sheetId="20" r:id="R43e7e64a201647e5"/>
    <x:sheet xmlns:r="http://schemas.openxmlformats.org/officeDocument/2006/relationships" name="ReadMe" sheetId="21" r:id="R7f0683a2fd96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%;[Red](0.0%);-"/>
    <x:numFmt numFmtId="202" formatCode="0.00x"/>
    <x:numFmt numFmtId="203" formatCode="mmm-yy"/>
    <x:numFmt numFmtId="204" formatCode="$#,##0;[Red]($#,##0);-"/>
    <x:numFmt numFmtId="205" formatCode="0.0x"/>
    <x:numFmt numFmtId="206" formatCode="0.0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0"/>
      <x:color rgb="FF667085"/>
      <x:name val="Carlito"/>
    </x:font>
    <x:font>
      <x:b/>
      <x:sz val="11"/>
      <x:color rgb="FF7F6000"/>
      <x:name val="Carlito"/>
    </x:font>
    <x:font>
      <x:b/>
      <x:sz val="10"/>
      <x:color rgb="FFFFFFFF"/>
      <x:name val="Aptos"/>
    </x:font>
    <x:font>
      <x:i/>
      <x:sz val="10"/>
      <x:color rgb="FF667085"/>
      <x:name val="Aptos"/>
    </x:font>
    <x:font>
      <x:sz val="10"/>
      <x:name val="Aptos"/>
    </x:font>
    <x:font>
      <x:b/>
      <x:sz val="10"/>
      <x:color rgb="FF7F6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6324F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201" fontId="4" fillId="4" borderId="2" xfId="0" applyNumberFormat="1" applyFont="1" applyFill="1" applyBorder="1"/>
    <x:xf numFmtId="202" fontId="4" fillId="4" borderId="2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1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8" fillId="4" borderId="2" xfId="0" applyNumberFormat="1" applyFont="1" applyFill="1" applyBorder="1"/>
    <x:xf numFmtId="201" fontId="8" fillId="4" borderId="2" xfId="0" applyNumberFormat="1" applyFont="1" applyFill="1" applyBorder="1"/>
    <x:xf numFmtId="202" fontId="8" fillId="4" borderId="2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8" fillId="4" borderId="2" xfId="0" applyNumberFormat="1" applyFont="1" applyFill="1" applyBorder="1" applyAlignment="1">
      <x:alignment vertical="center"/>
    </x:xf>
    <x:xf numFmtId="201" fontId="8" fillId="4" borderId="2" xfId="0" applyNumberFormat="1" applyFont="1" applyFill="1" applyBorder="1" applyAlignment="1">
      <x:alignment vertical="center"/>
    </x:xf>
    <x:xf numFmtId="202" fontId="8" fillId="4" borderId="2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/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/>
    <x:xf numFmtId="206" fontId="7" fillId="0" borderId="0" xfId="0" applyNumberFormat="1" applyFont="1" applyFill="1" applyBorder="1" applyAlignment="1">
      <x:alignment vertical="center"/>
    </x:xf>
    <x:xf numFmtId="201" fontId="5" fillId="2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2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366b0956a4e1f" /><Relationship Type="http://schemas.openxmlformats.org/officeDocument/2006/relationships/theme" Target="/xl/theme/theme1.xml" Id="R2447d369d5a94a24" /><Relationship Type="http://schemas.microsoft.com/office/2022/11/relationships/FeaturePropertyBag" Target="/xl/featurePropertyBag/featurePropertyBag.xml" Id="R885f6d7b6f7049f2" /><Relationship Type="http://schemas.openxmlformats.org/officeDocument/2006/relationships/sharedStrings" Target="/xl/sharedStrings.xml" Id="R4da0ae3d2cf347fe" /><Relationship Type="http://schemas.openxmlformats.org/officeDocument/2006/relationships/worksheet" Target="/xl/worksheets/sheet1.xml" Id="R4bb7c0e1db7147f0" /><Relationship Type="http://schemas.openxmlformats.org/officeDocument/2006/relationships/worksheet" Target="/xl/worksheets/sheet2.xml" Id="Re5b5aa42024b4236" /><Relationship Type="http://schemas.openxmlformats.org/officeDocument/2006/relationships/worksheet" Target="/xl/worksheets/sheet3.xml" Id="R92d39486c8614485" /><Relationship Type="http://schemas.openxmlformats.org/officeDocument/2006/relationships/worksheet" Target="/xl/worksheets/sheet4.xml" Id="R0f1ec656d8d44700" /><Relationship Type="http://schemas.openxmlformats.org/officeDocument/2006/relationships/worksheet" Target="/xl/worksheets/sheet5.xml" Id="Rd36930a5f0444130" /><Relationship Type="http://schemas.openxmlformats.org/officeDocument/2006/relationships/worksheet" Target="/xl/worksheets/sheet6.xml" Id="R40b26857f4ee4288" /><Relationship Type="http://schemas.openxmlformats.org/officeDocument/2006/relationships/worksheet" Target="/xl/worksheets/sheet7.xml" Id="Re5690a51b81f44a9" /><Relationship Type="http://schemas.openxmlformats.org/officeDocument/2006/relationships/worksheet" Target="/xl/worksheets/sheet8.xml" Id="R2dfa9078bb7e4999" /><Relationship Type="http://schemas.openxmlformats.org/officeDocument/2006/relationships/worksheet" Target="/xl/worksheets/sheet9.xml" Id="Re91dadb2374844cc" /><Relationship Type="http://schemas.openxmlformats.org/officeDocument/2006/relationships/worksheet" Target="/xl/worksheets/sheet10.xml" Id="Rcf57287365854621" /><Relationship Type="http://schemas.openxmlformats.org/officeDocument/2006/relationships/worksheet" Target="/xl/worksheets/sheet11.xml" Id="R6d0dca5a1deb46c4" /><Relationship Type="http://schemas.openxmlformats.org/officeDocument/2006/relationships/worksheet" Target="/xl/worksheets/sheet12.xml" Id="Re4d2c9c8c9894d82" /><Relationship Type="http://schemas.openxmlformats.org/officeDocument/2006/relationships/worksheet" Target="/xl/worksheets/sheet13.xml" Id="R2d135ae3bfde4d09" /><Relationship Type="http://schemas.openxmlformats.org/officeDocument/2006/relationships/worksheet" Target="/xl/worksheets/sheet14.xml" Id="Reb89c17b4e174830" /><Relationship Type="http://schemas.openxmlformats.org/officeDocument/2006/relationships/worksheet" Target="/xl/worksheets/sheet15.xml" Id="Rbf65a67c37d64eab" /><Relationship Type="http://schemas.openxmlformats.org/officeDocument/2006/relationships/worksheet" Target="/xl/worksheets/sheet16.xml" Id="R2e882da3b33d4041" /><Relationship Type="http://schemas.openxmlformats.org/officeDocument/2006/relationships/worksheet" Target="/xl/worksheets/sheet17.xml" Id="Rb5d28632cfd84ee1" /><Relationship Type="http://schemas.openxmlformats.org/officeDocument/2006/relationships/worksheet" Target="/xl/worksheets/sheet18.xml" Id="Re9504a1eb94d40a5" /><Relationship Type="http://schemas.openxmlformats.org/officeDocument/2006/relationships/worksheet" Target="/xl/worksheets/sheet19.xml" Id="R039c8075a7a14d8f" /><Relationship Type="http://schemas.openxmlformats.org/officeDocument/2006/relationships/worksheet" Target="/xl/worksheets/sheet20.xml" Id="R43e7e64a201647e5" /><Relationship Type="http://schemas.openxmlformats.org/officeDocument/2006/relationships/worksheet" Target="/xl/worksheets/sheet21.xml" Id="R7f0683a2fd9644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95e4a429ba462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MRR and ending cash trend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MRR</c:v>
          </c:tx>
          <c:marker>
            <c:symbol val="none"/>
          </c:marker>
          <c:cat>
            <c:strRef>
              <c:f>'Executive Summary'!$A$14:$A$25</c:f>
              <c:strCache>
                <c:ptCount val="0"/>
              </c:strCache>
            </c:strRef>
          </c:cat>
          <c:val>
            <c:numRef>
              <c:f>'Executive Summary'!$B$14:$B$25</c:f>
              <c:numCache>
                <c:formatCode>$#,##0;[Red]($#,##0);-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Ending cash</c:v>
          </c:tx>
          <c:marker>
            <c:symbol val="none"/>
          </c:marker>
          <c:cat>
            <c:strRef>
              <c:f>'Executive Summary'!$A$14:$A$25</c:f>
              <c:strCache>
                <c:ptCount val="0"/>
              </c:strCache>
            </c:strRef>
          </c:cat>
          <c:val>
            <c:numRef>
              <c:f>'Executive Summary'!$C$14:$C$25</c:f>
              <c:numCache>
                <c:formatCode>$#,##0;[Red]($#,##0);-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95e4a429ba462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nancialsTable" displayName="FinancialsTable" ref="A1:Q49" headerRowCount="1" totalsRowCount="0" totalsRowShown="0">
  <x:tableColumns count="17">
    <x:tableColumn id="1" name="month"/>
    <x:tableColumn id="2" name="budget_revenue"/>
    <x:tableColumn id="3" name="budget_cogs"/>
    <x:tableColumn id="4" name="budget_payroll"/>
    <x:tableColumn id="5" name="budget_opex"/>
    <x:tableColumn id="6" name="actual_revenue"/>
    <x:tableColumn id="7" name="actual_cogs"/>
    <x:tableColumn id="8" name="actual_payroll"/>
    <x:tableColumn id="9" name="actual_opex"/>
    <x:tableColumn id="10" name="forecast_revenue"/>
    <x:tableColumn id="11" name="forecast_cogs"/>
    <x:tableColumn id="12" name="forecast_payroll"/>
    <x:tableColumn id="13" name="forecast_opex"/>
    <x:tableColumn id="14" name="starting_cash"/>
    <x:tableColumn id="15" name="capex"/>
    <x:tableColumn id="16" name="financing"/>
    <x:tableColumn id="17" name="ending_cas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scriptionsTable" displayName="SubscriptionsTable" ref="A1:I145" headerRowCount="1" totalsRowCount="0" totalsRowShown="0">
  <x:tableColumns count="9">
    <x:tableColumn id="1" name="month"/>
    <x:tableColumn id="2" name="plan"/>
    <x:tableColumn id="3" name="starting_customers"/>
    <x:tableColumn id="4" name="new_customers"/>
    <x:tableColumn id="5" name="churned_customers"/>
    <x:tableColumn id="6" name="ending_customers"/>
    <x:tableColumn id="7" name="price_per_month"/>
    <x:tableColumn id="8" name="mrr"/>
    <x:tableColumn id="9" name="is_foreca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mployeesTable" displayName="EmployeesTable" ref="A1:F53" headerRowCount="1" totalsRowCount="0" totalsRowShown="0">
  <x:tableColumns count="6">
    <x:tableColumn id="1" name="employee_id"/>
    <x:tableColumn id="2" name="department"/>
    <x:tableColumn id="3" name="planned_hire_date"/>
    <x:tableColumn id="4" name="actual_hire_date"/>
    <x:tableColumn id="5" name="annual_salary"/>
    <x:tableColumn id="6" name="benefits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xTable" displayName="OpexTable" ref="A1:E241" headerRowCount="1" totalsRowCount="0" totalsRowShown="0">
  <x:tableColumns count="5">
    <x:tableColumn id="1" name="month"/>
    <x:tableColumn id="2" name="category"/>
    <x:tableColumn id="3" name="budget"/>
    <x:tableColumn id="4" name="actual"/>
    <x:tableColumn id="5" name="cost_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15fe155c51477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.xml" Id="R381bc67e79d6467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.xml" Id="R5e5cefc53f274e9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3.xml" Id="R1f7a1911851c45f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4.xml" Id="Rd3a855e92c404c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4" customHeight="1">
      <x:c r="A1" s="24" t="str">
        <x:v>SaaS FP&amp;A executive summary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Actuals through June 2026; forecast through December 2026 | Selected case linked from Assumptions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KPI</x:v>
      </x:c>
      <x:c r="B4" s="27" t="str">
        <x:v>Value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</x:row>
    <x:row r="5">
      <x:c r="A5" s="31" t="str">
        <x:v>Selected scenario</x:v>
      </x:c>
      <x:c r="B5" s="31" t="str">
        <x:f>Assumptions!B4</x:f>
        <x:v>Base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</x:row>
    <x:row r="6">
      <x:c r="A6" s="31" t="str">
        <x:v>Jun-26 MRR</x:v>
      </x:c>
      <x:c r="B6" s="32" t="n">
        <x:f>'Revenue Model'!F46</x:f>
        <x:v>430357.31600325066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31" t="str">
        <x:v>Jun-26 ARR</x:v>
      </x:c>
      <x:c r="B7" s="32" t="n">
        <x:f>'Revenue Model'!G46</x:f>
        <x:v>5164287.792039008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</x:row>
    <x:row r="8">
      <x:c r="A8" s="31" t="str">
        <x:v>YTD revenue variance</x:v>
      </x:c>
      <x:c r="B8" s="32" t="n">
        <x:f>SUM(BvA!D41:D46)</x:f>
        <x:v>58993.88909832144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</x:row>
    <x:row r="9">
      <x:c r="A9" s="31" t="str">
        <x:v>YTD operating loss</x:v>
      </x:c>
      <x:c r="B9" s="32" t="n">
        <x:f>SUM(BvA!C41:C46)-SUM(BvA!F41:F46)-SUM(BvA!I41:I46)-SUM(BvA!L41:L46)</x:f>
        <x:v>-3573794.658149491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</x:row>
    <x:row r="10">
      <x:c r="A10" s="31" t="str">
        <x:v>Jun-26 ending cash</x:v>
      </x:c>
      <x:c r="B10" s="32" t="n">
        <x:f>'Cash Flow'!H46</x:f>
        <x:v>4614383.332705087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</x:row>
    <x:row r="13">
      <x:c r="A13" s="27" t="str">
        <x:v>Month</x:v>
      </x:c>
      <x:c r="B13" s="27" t="str">
        <x:v>MRR</x:v>
      </x:c>
      <x:c r="C13" s="27" t="str">
        <x:v>Ending cash</x:v>
      </x:c>
      <x:c r="D13" s="31"/>
      <x:c r="E13" s="31"/>
      <x:c r="F13" s="31"/>
      <x:c r="G13" s="31"/>
      <x:c r="H13" s="31"/>
      <x:c r="I13" s="31"/>
      <x:c r="J13" s="31"/>
      <x:c r="K13" s="31"/>
      <x:c r="L13" s="31"/>
    </x:row>
    <x:row r="14">
      <x:c r="A14" s="33" t="n">
        <x:v>46023</x:v>
      </x:c>
      <x:c r="B14" s="32" t="n">
        <x:f>'Revenue Model'!F41</x:f>
        <x:v>374047.61952160567</x:v>
      </x:c>
      <x:c r="C14" s="32" t="n">
        <x:f>'Cash Flow'!H41</x:f>
        <x:v>7653894.723583814</x:v>
      </x:c>
      <x:c r="D14" s="31"/>
      <x:c r="E14" s="31"/>
      <x:c r="F14" s="31"/>
      <x:c r="G14" s="31"/>
      <x:c r="H14" s="31"/>
      <x:c r="I14" s="31"/>
      <x:c r="J14" s="31"/>
      <x:c r="K14" s="31"/>
      <x:c r="L14" s="31"/>
    </x:row>
    <x:row r="15">
      <x:c r="A15" s="33" t="n">
        <x:v>46054</x:v>
      </x:c>
      <x:c r="B15" s="32" t="n">
        <x:f>'Revenue Model'!F42</x:f>
        <x:v>386139.67363043316</x:v>
      </x:c>
      <x:c r="C15" s="32" t="n">
        <x:f>'Cash Flow'!H42</x:f>
        <x:v>7069075.5450902805</x:v>
      </x:c>
      <x:c r="D15" s="31"/>
      <x:c r="E15" s="31"/>
      <x:c r="F15" s="31"/>
      <x:c r="G15" s="31"/>
      <x:c r="H15" s="31"/>
      <x:c r="I15" s="31"/>
      <x:c r="J15" s="31"/>
      <x:c r="K15" s="31"/>
      <x:c r="L15" s="31"/>
    </x:row>
    <x:row r="16">
      <x:c r="A16" s="33" t="n">
        <x:v>46082</x:v>
      </x:c>
      <x:c r="B16" s="32" t="n">
        <x:f>'Revenue Model'!F43</x:f>
        <x:v>397181.56347267516</x:v>
      </x:c>
      <x:c r="C16" s="32" t="n">
        <x:f>'Cash Flow'!H43</x:f>
        <x:v>6467457.778995366</x:v>
      </x:c>
      <x:c r="D16" s="31"/>
      <x:c r="E16" s="31"/>
      <x:c r="F16" s="31"/>
      <x:c r="G16" s="31"/>
      <x:c r="H16" s="31"/>
      <x:c r="I16" s="31"/>
      <x:c r="J16" s="31"/>
      <x:c r="K16" s="31"/>
      <x:c r="L16" s="31"/>
    </x:row>
    <x:row r="17">
      <x:c r="A17" s="33" t="n">
        <x:v>46113</x:v>
      </x:c>
      <x:c r="B17" s="32" t="n">
        <x:f>'Revenue Model'!F44</x:f>
        <x:v>410448.3751280091</x:v>
      </x:c>
      <x:c r="C17" s="32" t="n">
        <x:f>'Cash Flow'!H44</x:f>
        <x:v>5863410.23309063</x:v>
      </x:c>
      <x:c r="D17" s="31"/>
      <x:c r="E17" s="31"/>
      <x:c r="F17" s="31"/>
      <x:c r="G17" s="31"/>
      <x:c r="H17" s="31"/>
      <x:c r="I17" s="31"/>
      <x:c r="J17" s="31"/>
      <x:c r="K17" s="31"/>
      <x:c r="L17" s="31"/>
    </x:row>
    <x:row r="18">
      <x:c r="A18" s="33" t="n">
        <x:v>46143</x:v>
      </x:c>
      <x:c r="B18" s="32" t="n">
        <x:f>'Revenue Model'!F45</x:f>
        <x:v>420574.9052752154</x:v>
      </x:c>
      <x:c r="C18" s="32" t="n">
        <x:f>'Cash Flow'!H45</x:f>
        <x:v>5242595.16340912</x:v>
      </x:c>
      <x:c r="D18" s="31"/>
      <x:c r="E18" s="31"/>
      <x:c r="F18" s="31"/>
      <x:c r="G18" s="31"/>
      <x:c r="H18" s="31"/>
      <x:c r="I18" s="31"/>
      <x:c r="J18" s="31"/>
      <x:c r="K18" s="31"/>
      <x:c r="L18" s="31"/>
    </x:row>
    <x:row r="19">
      <x:c r="A19" s="33" t="n">
        <x:v>46174</x:v>
      </x:c>
      <x:c r="B19" s="32" t="n">
        <x:f>'Revenue Model'!F46</x:f>
        <x:v>430357.31600325066</x:v>
      </x:c>
      <x:c r="C19" s="32" t="n">
        <x:f>'Cash Flow'!H46</x:f>
        <x:v>4614383.332705087</x:v>
      </x:c>
      <x:c r="D19" s="31"/>
      <x:c r="E19" s="31"/>
      <x:c r="F19" s="31"/>
      <x:c r="G19" s="31"/>
      <x:c r="H19" s="31"/>
      <x:c r="I19" s="31"/>
      <x:c r="J19" s="31"/>
      <x:c r="K19" s="31"/>
      <x:c r="L19" s="31"/>
    </x:row>
    <x:row r="20">
      <x:c r="A20" s="33" t="n">
        <x:v>46204</x:v>
      </x:c>
      <x:c r="B20" s="32" t="n">
        <x:f>'Revenue Model'!F47</x:f>
        <x:v>440593.60922008194</x:v>
      </x:c>
      <x:c r="C20" s="32" t="n">
        <x:f>'Cash Flow'!H47</x:f>
        <x:v>3963068.093943567</x:v>
      </x:c>
      <x:c r="D20" s="31"/>
      <x:c r="E20" s="31"/>
      <x:c r="F20" s="31"/>
      <x:c r="G20" s="31"/>
      <x:c r="H20" s="31"/>
      <x:c r="I20" s="31"/>
      <x:c r="J20" s="31"/>
      <x:c r="K20" s="31"/>
      <x:c r="L20" s="31"/>
    </x:row>
    <x:row r="21">
      <x:c r="A21" s="33" t="n">
        <x:v>46235</x:v>
      </x:c>
      <x:c r="B21" s="32" t="n">
        <x:f>'Revenue Model'!F48</x:f>
        <x:v>449936.96766961715</x:v>
      </x:c>
      <x:c r="C21" s="32" t="n">
        <x:f>'Cash Flow'!H48</x:f>
        <x:v>3347621.3758421196</x:v>
      </x:c>
      <x:c r="D21" s="31"/>
      <x:c r="E21" s="31"/>
      <x:c r="F21" s="31"/>
      <x:c r="G21" s="31"/>
      <x:c r="H21" s="31"/>
      <x:c r="I21" s="31"/>
      <x:c r="J21" s="31"/>
      <x:c r="K21" s="31"/>
      <x:c r="L21" s="31"/>
    </x:row>
    <x:row r="22">
      <x:c r="A22" s="33" t="n">
        <x:v>46266</x:v>
      </x:c>
      <x:c r="B22" s="32" t="n">
        <x:f>'Revenue Model'!F49</x:f>
        <x:v>459060.7999799024</x:v>
      </x:c>
      <x:c r="C22" s="32" t="n">
        <x:f>'Cash Flow'!H49</x:f>
        <x:v>2737090.9535590126</x:v>
      </x:c>
      <x:c r="D22" s="31"/>
      <x:c r="E22" s="31"/>
      <x:c r="F22" s="31"/>
      <x:c r="G22" s="31"/>
      <x:c r="H22" s="31"/>
      <x:c r="I22" s="31"/>
      <x:c r="J22" s="31"/>
      <x:c r="K22" s="31"/>
      <x:c r="L22" s="31"/>
    </x:row>
    <x:row r="23">
      <x:c r="A23" s="33" t="n">
        <x:v>46296</x:v>
      </x:c>
      <x:c r="B23" s="32" t="n">
        <x:f>'Revenue Model'!F50</x:f>
        <x:v>468184.63229018764</x:v>
      </x:c>
      <x:c r="C23" s="32" t="n">
        <x:f>'Cash Flow'!H50</x:f>
        <x:v>2130492.787329196</x:v>
      </x:c>
      <x:c r="D23" s="31"/>
      <x:c r="E23" s="31"/>
      <x:c r="F23" s="31"/>
      <x:c r="G23" s="31"/>
      <x:c r="H23" s="31"/>
      <x:c r="I23" s="31"/>
      <x:c r="J23" s="31"/>
      <x:c r="K23" s="31"/>
      <x:c r="L23" s="31"/>
    </x:row>
    <x:row r="24">
      <x:c r="A24" s="33" t="n">
        <x:v>46327</x:v>
      </x:c>
      <x:c r="B24" s="32" t="n">
        <x:f>'Revenue Model'!F51</x:f>
        <x:v>477809.81351893337</x:v>
      </x:c>
      <x:c r="C24" s="32" t="n">
        <x:f>'Cash Flow'!H51</x:f>
        <x:v>1527271.678866941</x:v>
      </x:c>
      <x:c r="D24" s="31"/>
      <x:c r="E24" s="31"/>
      <x:c r="F24" s="31"/>
      <x:c r="G24" s="31"/>
      <x:c r="H24" s="31"/>
      <x:c r="I24" s="31"/>
      <x:c r="J24" s="31"/>
      <x:c r="K24" s="31"/>
      <x:c r="L24" s="31"/>
    </x:row>
    <x:row r="25">
      <x:c r="A25" s="33" t="n">
        <x:v>46357</x:v>
      </x:c>
      <x:c r="B25" s="32" t="n">
        <x:f>'Revenue Model'!F52</x:f>
        <x:v>487936.34366613964</x:v>
      </x:c>
      <x:c r="C25" s="32" t="n">
        <x:f>'Cash Flow'!H52</x:f>
        <x:v>927197.2705698473</x:v>
      </x:c>
      <x:c r="D25" s="31"/>
      <x:c r="E25" s="31"/>
      <x:c r="F25" s="31"/>
      <x:c r="G25" s="31"/>
      <x:c r="H25" s="31"/>
      <x:c r="I25" s="31"/>
      <x:c r="J25" s="31"/>
      <x:c r="K25" s="31"/>
      <x:c r="L25" s="31"/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3615fe155c51477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24" t="str">
        <x:v>Assumptions and scenario controls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Yellow cells are editable. Historical actuals do not change with the selector.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Active scenario</x:v>
      </x:c>
      <x:c r="B4" s="39" t="str">
        <x:v>Base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</x:row>
    <x:row r="5">
      <x:c r="A5" s="31"/>
      <x:c r="B5" s="31"/>
      <x:c r="C5" s="31"/>
      <x:c r="D5" s="31"/>
      <x:c r="E5" s="31"/>
      <x:c r="F5" s="31"/>
      <x:c r="G5" s="31"/>
      <x:c r="H5" s="31"/>
      <x:c r="I5" s="31"/>
      <x:c r="J5" s="31"/>
      <x:c r="K5" s="31"/>
      <x:c r="L5" s="31"/>
    </x:row>
    <x:row r="6">
      <x:c r="A6" s="31"/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27" t="str">
        <x:v>Scenario</x:v>
      </x:c>
      <x:c r="B7" s="27" t="str">
        <x:v>Monthly growth</x:v>
      </x:c>
      <x:c r="C7" s="27" t="str">
        <x:v>Monthly churn</x:v>
      </x:c>
      <x:c r="D7" s="27" t="str">
        <x:v>Price multiplier</x:v>
      </x:c>
      <x:c r="E7" s="27" t="str">
        <x:v>Hiring multiplier</x:v>
      </x:c>
      <x:c r="F7" s="27" t="str">
        <x:v>Marketing multiplier</x:v>
      </x:c>
      <x:c r="G7" s="27" t="str">
        <x:v>Cloud cost multiplier</x:v>
      </x:c>
      <x:c r="H7" s="31"/>
      <x:c r="I7" s="31"/>
      <x:c r="J7" s="31"/>
      <x:c r="K7" s="31"/>
      <x:c r="L7" s="31"/>
    </x:row>
    <x:row r="8">
      <x:c r="A8" s="31" t="str">
        <x:v>Base</x:v>
      </x:c>
      <x:c r="B8" s="40" t="n">
        <x:v>0.045</x:v>
      </x:c>
      <x:c r="C8" s="40" t="n">
        <x:v>0.018</x:v>
      </x:c>
      <x:c r="D8" s="41" t="n">
        <x:v>1</x:v>
      </x:c>
      <x:c r="E8" s="41" t="n">
        <x:v>1</x:v>
      </x:c>
      <x:c r="F8" s="41" t="n">
        <x:v>1</x:v>
      </x:c>
      <x:c r="G8" s="41" t="n">
        <x:v>1</x:v>
      </x:c>
      <x:c r="H8" s="31"/>
      <x:c r="I8" s="31"/>
      <x:c r="J8" s="31"/>
      <x:c r="K8" s="31"/>
      <x:c r="L8" s="31"/>
    </x:row>
    <x:row r="9">
      <x:c r="A9" s="31" t="str">
        <x:v>Upside</x:v>
      </x:c>
      <x:c r="B9" s="40" t="n">
        <x:v>0.06</x:v>
      </x:c>
      <x:c r="C9" s="40" t="n">
        <x:v>0.014</x:v>
      </x:c>
      <x:c r="D9" s="41" t="n">
        <x:v>1.04</x:v>
      </x:c>
      <x:c r="E9" s="41" t="n">
        <x:v>1.1</x:v>
      </x:c>
      <x:c r="F9" s="41" t="n">
        <x:v>1.12</x:v>
      </x:c>
      <x:c r="G9" s="41" t="n">
        <x:v>0.95</x:v>
      </x:c>
      <x:c r="H9" s="31"/>
      <x:c r="I9" s="31"/>
      <x:c r="J9" s="31"/>
      <x:c r="K9" s="31"/>
      <x:c r="L9" s="31"/>
    </x:row>
    <x:row r="10">
      <x:c r="A10" s="31" t="str">
        <x:v>Downside</x:v>
      </x:c>
      <x:c r="B10" s="40" t="n">
        <x:v>0.025</x:v>
      </x:c>
      <x:c r="C10" s="40" t="n">
        <x:v>0.026</x:v>
      </x:c>
      <x:c r="D10" s="41" t="n">
        <x:v>0.97</x:v>
      </x:c>
      <x:c r="E10" s="41" t="n">
        <x:v>0.75</x:v>
      </x:c>
      <x:c r="F10" s="41" t="n">
        <x:v>0.82</x:v>
      </x:c>
      <x:c r="G10" s="41" t="n">
        <x:v>1.12</x:v>
      </x:c>
      <x:c r="H10" s="31"/>
      <x:c r="I10" s="31"/>
      <x:c r="J10" s="31"/>
      <x:c r="K10" s="31"/>
      <x:c r="L10" s="31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</x:row>
    <x:row r="13">
      <x:c r="A13" s="27" t="str">
        <x:v>Active driver</x:v>
      </x:c>
      <x:c r="B13" s="27" t="str">
        <x:v>Value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</x:row>
    <x:row r="14">
      <x:c r="A14" s="31" t="str">
        <x:v>Monthly growth</x:v>
      </x:c>
      <x:c r="B14" s="42" t="n">
        <x:f>_xlfn.XLOOKUP($B$4,$A$8:$A$10,B$8:B$10)</x:f>
        <x:v>0.045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</x:row>
    <x:row r="15">
      <x:c r="A15" s="31" t="str">
        <x:v>Monthly churn</x:v>
      </x:c>
      <x:c r="B15" s="42" t="n">
        <x:f>_xlfn.XLOOKUP($B$4,$A$8:$A$10,C$8:C$10)</x:f>
        <x:v>0.018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</x:row>
    <x:row r="16">
      <x:c r="A16" s="31" t="str">
        <x:v>Price multiplier</x:v>
      </x:c>
      <x:c r="B16" s="43" t="n">
        <x:f>_xlfn.XLOOKUP($B$4,$A$8:$A$10,D$8:D$10)</x:f>
        <x:v>1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</x:row>
    <x:row r="17">
      <x:c r="A17" s="31" t="str">
        <x:v>Hiring multiplier</x:v>
      </x:c>
      <x:c r="B17" s="43" t="n">
        <x:f>_xlfn.XLOOKUP($B$4,$A$8:$A$10,E$8:E$10)</x:f>
        <x:v>1</x:v>
      </x:c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</x:row>
    <x:row r="18">
      <x:c r="A18" s="31" t="str">
        <x:v>Marketing multiplier</x:v>
      </x:c>
      <x:c r="B18" s="43" t="n">
        <x:f>_xlfn.XLOOKUP($B$4,$A$8:$A$10,F$8:F$10)</x:f>
        <x:v>1</x:v>
      </x:c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</x:row>
    <x:row r="19">
      <x:c r="A19" s="31" t="str">
        <x:v>Cloud cost multiplier</x:v>
      </x:c>
      <x:c r="B19" s="43" t="n">
        <x:f>_xlfn.XLOOKUP($B$4,$A$8:$A$10,G$8:G$10)</x:f>
        <x:v>1</x:v>
      </x:c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</x:row>
  </x:sheetData>
  <x:mergeCells>
    <x:mergeCell ref="A1:L1"/>
    <x:mergeCell ref="A2:L2"/>
  </x:mergeCells>
  <x:dataValidations count="1">
    <x:dataValidation type="list" sqref="B4">
      <x:formula1>"Base,Upside,Downside"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24" t="str">
        <x:v>SaaS unit economics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GRR, NRR, CAC, LTV, LTV/CAC, and gross margin by month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month</x:v>
      </x:c>
      <x:c r="B4" s="27" t="str">
        <x:v>starting_mrr</x:v>
      </x:c>
      <x:c r="C4" s="27" t="str">
        <x:v>new_mrr</x:v>
      </x:c>
      <x:c r="D4" s="27" t="str">
        <x:v>expansion_mrr</x:v>
      </x:c>
      <x:c r="E4" s="27" t="str">
        <x:v>churned_mrr</x:v>
      </x:c>
      <x:c r="F4" s="27" t="str">
        <x:v>ending_mrr</x:v>
      </x:c>
      <x:c r="G4" s="27" t="str">
        <x:v>grr</x:v>
      </x:c>
      <x:c r="H4" s="27" t="str">
        <x:v>nrr</x:v>
      </x:c>
      <x:c r="I4" s="27" t="str">
        <x:v>cac</x:v>
      </x:c>
      <x:c r="J4" s="27" t="str">
        <x:v>ltv</x:v>
      </x:c>
      <x:c r="K4" s="27" t="str">
        <x:v>ltv_cac_ratio</x:v>
      </x:c>
      <x:c r="L4" s="27" t="str">
        <x:v>gross_margin</x:v>
      </x:c>
    </x:row>
    <x:row r="5">
      <x:c r="A5" s="33" t="n">
        <x:v>44927</x:v>
      </x:c>
      <x:c r="B5" s="32" t="n">
        <x:v>0</x:v>
      </x:c>
      <x:c r="C5" s="32" t="n">
        <x:v>5130</x:v>
      </x:c>
      <x:c r="D5" s="32" t="n">
        <x:v>0</x:v>
      </x:c>
      <x:c r="E5" s="32" t="n">
        <x:v>1740</x:v>
      </x:c>
      <x:c r="F5" s="32" t="n">
        <x:v>129227.37400000001</x:v>
      </x:c>
      <x:c r="G5" s="42" t="n">
        <x:v>1</x:v>
      </x:c>
      <x:c r="H5" s="42" t="n">
        <x:v>1</x:v>
      </x:c>
      <x:c r="I5" s="32" t="n">
        <x:v>4817.3525</x:v>
      </x:c>
      <x:c r="J5" s="32" t="n">
        <x:v>10208.654250077934</x:v>
      </x:c>
      <x:c r="K5" s="45" t="n">
        <x:v>2.1191420495132824</x:v>
      </x:c>
      <x:c r="L5" s="42" t="n">
        <x:v>0.806</x:v>
      </x:c>
    </x:row>
    <x:row r="6">
      <x:c r="A6" s="33" t="n">
        <x:v>44958</x:v>
      </x:c>
      <x:c r="B6" s="32" t="n">
        <x:v>129227.37400000001</x:v>
      </x:c>
      <x:c r="C6" s="32" t="n">
        <x:v>5526</x:v>
      </x:c>
      <x:c r="D6" s="32" t="n">
        <x:v>53.91799999997602</x:v>
      </x:c>
      <x:c r="E6" s="32" t="n">
        <x:v>1589</x:v>
      </x:c>
      <x:c r="F6" s="32" t="n">
        <x:v>133218.292</x:v>
      </x:c>
      <x:c r="G6" s="42" t="n">
        <x:v>0.9877038436144342</x:v>
      </x:c>
      <x:c r="H6" s="42" t="n">
        <x:v>0.9881210771953005</x:v>
      </x:c>
      <x:c r="I6" s="32" t="n">
        <x:v>3859.835833333333</x:v>
      </x:c>
      <x:c r="J6" s="32" t="n">
        <x:v>9480.774862380902</x:v>
      </x:c>
      <x:c r="K6" s="45" t="n">
        <x:v>2.456263756221299</x:v>
      </x:c>
      <x:c r="L6" s="42" t="n">
        <x:v>0.8030717967697245</x:v>
      </x:c>
    </x:row>
    <x:row r="7">
      <x:c r="A7" s="33" t="n">
        <x:v>44986</x:v>
      </x:c>
      <x:c r="B7" s="32" t="n">
        <x:v>133218.292</x:v>
      </x:c>
      <x:c r="C7" s="32" t="n">
        <x:v>5479</x:v>
      </x:c>
      <x:c r="D7" s="32" t="n">
        <x:v>58.10599999999977</x:v>
      </x:c>
      <x:c r="E7" s="32" t="n">
        <x:v>1391</x:v>
      </x:c>
      <x:c r="F7" s="32" t="n">
        <x:v>137364.398</x:v>
      </x:c>
      <x:c r="G7" s="42" t="n">
        <x:v>0.9895584909615865</x:v>
      </x:c>
      <x:c r="H7" s="42" t="n">
        <x:v>0.9899946622945743</x:v>
      </x:c>
      <x:c r="I7" s="32" t="n">
        <x:v>5120.67</x:v>
      </x:c>
      <x:c r="J7" s="32" t="n">
        <x:v>11962.496538959596</x:v>
      </x:c>
      <x:c r="K7" s="45" t="n">
        <x:v>2.336119402140657</x:v>
      </x:c>
      <x:c r="L7" s="42" t="n">
        <x:v>0.802</x:v>
      </x:c>
    </x:row>
    <x:row r="8">
      <x:c r="A8" s="33" t="n">
        <x:v>45017</x:v>
      </x:c>
      <x:c r="B8" s="32" t="n">
        <x:v>137364.398</x:v>
      </x:c>
      <x:c r="C8" s="32" t="n">
        <x:v>6026</x:v>
      </x:c>
      <x:c r="D8" s="32" t="n">
        <x:v>62.294000000023516</x:v>
      </x:c>
      <x:c r="E8" s="32" t="n">
        <x:v>1490</x:v>
      </x:c>
      <x:c r="F8" s="32" t="n">
        <x:v>141962.692</x:v>
      </x:c>
      <x:c r="G8" s="42" t="n">
        <x:v>0.9891529390315531</x:v>
      </x:c>
      <x:c r="H8" s="42" t="n">
        <x:v>0.9896064335389146</x:v>
      </x:c>
      <x:c r="I8" s="32" t="n">
        <x:v>4118.75</x:v>
      </x:c>
      <x:c r="J8" s="32" t="n">
        <x:v>11106.142366279943</x:v>
      </x:c>
      <x:c r="K8" s="45" t="n">
        <x:v>2.6964837308115186</x:v>
      </x:c>
      <x:c r="L8" s="42" t="n">
        <x:v>0.8030717967697245</x:v>
      </x:c>
    </x:row>
    <x:row r="9">
      <x:c r="A9" s="33" t="n">
        <x:v>45047</x:v>
      </x:c>
      <x:c r="B9" s="32" t="n">
        <x:v>141962.692</x:v>
      </x:c>
      <x:c r="C9" s="32" t="n">
        <x:v>6474</x:v>
      </x:c>
      <x:c r="D9" s="32" t="n">
        <x:v>62.29399999999441</x:v>
      </x:c>
      <x:c r="E9" s="32" t="n">
        <x:v>1839</x:v>
      </x:c>
      <x:c r="F9" s="32" t="n">
        <x:v>146659.986</x:v>
      </x:c>
      <x:c r="G9" s="42" t="n">
        <x:v>0.9870458923109179</x:v>
      </x:c>
      <x:c r="H9" s="42" t="n">
        <x:v>0.987484697740164</x:v>
      </x:c>
      <x:c r="I9" s="32" t="n">
        <x:v>3809.558461538462</x:v>
      </x:c>
      <x:c r="J9" s="32" t="n">
        <x:v>10456.782798118495</x:v>
      </x:c>
      <x:c r="K9" s="45" t="n">
        <x:v>2.744880516650636</x:v>
      </x:c>
      <x:c r="L9" s="42" t="n">
        <x:v>0.806</x:v>
      </x:c>
    </x:row>
    <x:row r="10">
      <x:c r="A10" s="33" t="n">
        <x:v>45078</x:v>
      </x:c>
      <x:c r="B10" s="32" t="n">
        <x:v>146659.986</x:v>
      </x:c>
      <x:c r="C10" s="32" t="n">
        <x:v>5229</x:v>
      </x:c>
      <x:c r="D10" s="32" t="n">
        <x:v>49.73000000001048</x:v>
      </x:c>
      <x:c r="E10" s="32" t="n">
        <x:v>1839</x:v>
      </x:c>
      <x:c r="F10" s="32" t="n">
        <x:v>150099.71600000001</x:v>
      </x:c>
      <x:c r="G10" s="42" t="n">
        <x:v>0.9874607924754609</x:v>
      </x:c>
      <x:c r="H10" s="42" t="n">
        <x:v>0.9877998761025384</x:v>
      </x:c>
      <x:c r="I10" s="32" t="n">
        <x:v>4525.63380952381</x:v>
      </x:c>
      <x:c r="J10" s="32" t="n">
        <x:v>10857.862572987015</x:v>
      </x:c>
      <x:c r="K10" s="45" t="n">
        <x:v>2.3991915895045617</x:v>
      </x:c>
      <x:c r="L10" s="42" t="n">
        <x:v>0.81</x:v>
      </x:c>
    </x:row>
    <x:row r="11">
      <x:c r="A11" s="33" t="n">
        <x:v>45108</x:v>
      </x:c>
      <x:c r="B11" s="32" t="n">
        <x:v>150099.71600000001</x:v>
      </x:c>
      <x:c r="C11" s="32" t="n">
        <x:v>6474</x:v>
      </x:c>
      <x:c r="D11" s="32" t="n">
        <x:v>66.48199999998906</x:v>
      </x:c>
      <x:c r="E11" s="32" t="n">
        <x:v>1490</x:v>
      </x:c>
      <x:c r="F11" s="32" t="n">
        <x:v>155150.198</x:v>
      </x:c>
      <x:c r="G11" s="42" t="n">
        <x:v>0.9900732656949198</x:v>
      </x:c>
      <x:c r="H11" s="42" t="n">
        <x:v>0.9905161845875844</x:v>
      </x:c>
      <x:c r="I11" s="32" t="n">
        <x:v>4131.668076923077</x:v>
      </x:c>
      <x:c r="J11" s="32" t="n">
        <x:v>12282.626429592456</x:v>
      </x:c>
      <x:c r="K11" s="45" t="n">
        <x:v>2.972800864182569</x:v>
      </x:c>
      <x:c r="L11" s="42" t="n">
        <x:v>0.8140000000000001</x:v>
      </x:c>
    </x:row>
    <x:row r="12">
      <x:c r="A12" s="33" t="n">
        <x:v>45139</x:v>
      </x:c>
      <x:c r="B12" s="32" t="n">
        <x:v>155150.198</x:v>
      </x:c>
      <x:c r="C12" s="32" t="n">
        <x:v>6026</x:v>
      </x:c>
      <x:c r="D12" s="32" t="n">
        <x:v>58.10599999999977</x:v>
      </x:c>
      <x:c r="E12" s="32" t="n">
        <x:v>1839</x:v>
      </x:c>
      <x:c r="F12" s="32" t="n">
        <x:v>159395.304</x:v>
      </x:c>
      <x:c r="G12" s="42" t="n">
        <x:v>0.9881469696867548</x:v>
      </x:c>
      <x:c r="H12" s="42" t="n">
        <x:v>0.9885214841943031</x:v>
      </x:c>
      <x:c r="I12" s="32" t="n">
        <x:v>4222.270416666667</x:v>
      </x:c>
      <x:c r="J12" s="32" t="n">
        <x:v>11579.479065274109</x:v>
      </x:c>
      <x:c r="K12" s="45" t="n">
        <x:v>2.742476895739827</x:v>
      </x:c>
      <x:c r="L12" s="42" t="n">
        <x:v>0.8169282032302755</x:v>
      </x:c>
    </x:row>
    <x:row r="13">
      <x:c r="A13" s="33" t="n">
        <x:v>45170</x:v>
      </x:c>
      <x:c r="B13" s="32" t="n">
        <x:v>159395.304</x:v>
      </x:c>
      <x:c r="C13" s="32" t="n">
        <x:v>5479</x:v>
      </x:c>
      <x:c r="D13" s="32" t="n">
        <x:v>49.72999999998137</x:v>
      </x:c>
      <x:c r="E13" s="32" t="n">
        <x:v>2386</x:v>
      </x:c>
      <x:c r="F13" s="32" t="n">
        <x:v>162538.03399999999</x:v>
      </x:c>
      <x:c r="G13" s="42" t="n">
        <x:v>0.9850309266325687</x:v>
      </x:c>
      <x:c r="H13" s="42" t="n">
        <x:v>0.9853429182581187</x:v>
      </x:c>
      <x:c r="I13" s="32" t="n">
        <x:v>4661.624761904762</x:v>
      </x:c>
      <x:c r="J13" s="32" t="n">
        <x:v>9386.619597246148</x:v>
      </x:c>
      <x:c r="K13" s="45" t="n">
        <x:v>2.0135939885068597</x:v>
      </x:c>
      <x:c r="L13" s="42" t="n">
        <x:v>0.8180000000000001</x:v>
      </x:c>
    </x:row>
    <x:row r="14">
      <x:c r="A14" s="33" t="n">
        <x:v>45200</x:v>
      </x:c>
      <x:c r="B14" s="32" t="n">
        <x:v>162538.03399999999</x:v>
      </x:c>
      <x:c r="C14" s="32" t="n">
        <x:v>4932</x:v>
      </x:c>
      <x:c r="D14" s="32" t="n">
        <x:v>53.91800000000512</x:v>
      </x:c>
      <x:c r="E14" s="32" t="n">
        <x:v>1490</x:v>
      </x:c>
      <x:c r="F14" s="32" t="n">
        <x:v>166033.952</x:v>
      </x:c>
      <x:c r="G14" s="42" t="n">
        <x:v>0.990832914836413</x:v>
      </x:c>
      <x:c r="H14" s="42" t="n">
        <x:v>0.9911646402712119</x:v>
      </x:c>
      <x:c r="I14" s="32" t="n">
        <x:v>5905.918888888888</x:v>
      </x:c>
      <x:c r="J14" s="32" t="n">
        <x:v>13386.1872837638</x:v>
      </x:c>
      <x:c r="K14" s="45" t="n">
        <x:v>2.2665714744149175</x:v>
      </x:c>
      <x:c r="L14" s="42" t="n">
        <x:v>0.8169282032302755</x:v>
      </x:c>
    </x:row>
    <x:row r="15">
      <x:c r="A15" s="33" t="n">
        <x:v>45231</x:v>
      </x:c>
      <x:c r="B15" s="32" t="n">
        <x:v>166033.952</x:v>
      </x:c>
      <x:c r="C15" s="32" t="n">
        <x:v>6375</x:v>
      </x:c>
      <x:c r="D15" s="32" t="n">
        <x:v>62.294000000023516</x:v>
      </x:c>
      <x:c r="E15" s="32" t="n">
        <x:v>2037</x:v>
      </x:c>
      <x:c r="F15" s="32" t="n">
        <x:v>170434.246</x:v>
      </x:c>
      <x:c r="G15" s="42" t="n">
        <x:v>0.9877314249557826</x:v>
      </x:c>
      <x:c r="H15" s="42" t="n">
        <x:v>0.9881066132787107</x:v>
      </x:c>
      <x:c r="I15" s="32" t="n">
        <x:v>4288.1044</x:v>
      </x:c>
      <x:c r="J15" s="32" t="n">
        <x:v>10466.249411666135</x:v>
      </x:c>
      <x:c r="K15" s="45" t="n">
        <x:v>2.4407636650978306</x:v>
      </x:c>
      <x:c r="L15" s="42" t="n">
        <x:v>0.8140000000000001</x:v>
      </x:c>
    </x:row>
    <x:row r="16">
      <x:c r="A16" s="33" t="n">
        <x:v>45261</x:v>
      </x:c>
      <x:c r="B16" s="32" t="n">
        <x:v>170434.246</x:v>
      </x:c>
      <x:c r="C16" s="32" t="n">
        <x:v>6474</x:v>
      </x:c>
      <x:c r="D16" s="32" t="n">
        <x:v>62.29399999999441</x:v>
      </x:c>
      <x:c r="E16" s="32" t="n">
        <x:v>1839</x:v>
      </x:c>
      <x:c r="F16" s="32" t="n">
        <x:v>175131.54</x:v>
      </x:c>
      <x:c r="G16" s="42" t="n">
        <x:v>0.9892099150073396</x:v>
      </x:c>
      <x:c r="H16" s="42" t="n">
        <x:v>0.9895754166683144</x:v>
      </x:c>
      <x:c r="I16" s="32" t="n">
        <x:v>4306.709230769231</x:v>
      </x:c>
      <x:c r="J16" s="32" t="n">
        <x:v>12592.851101481903</x:v>
      </x:c>
      <x:c r="K16" s="45" t="n">
        <x:v>2.9240077346091615</x:v>
      </x:c>
      <x:c r="L16" s="42" t="n">
        <x:v>0.8099999999999999</x:v>
      </x:c>
    </x:row>
    <x:row r="17">
      <x:c r="A17" s="33" t="n">
        <x:v>45292</x:v>
      </x:c>
      <x:c r="B17" s="32" t="n">
        <x:v>175131.54</x:v>
      </x:c>
      <x:c r="C17" s="32" t="n">
        <x:v>6700.59</x:v>
      </x:c>
      <x:c r="D17" s="32" t="n">
        <x:v>6189.743609999992</x:v>
      </x:c>
      <x:c r="E17" s="32" t="n">
        <x:v>2469.5099999999998</x:v>
      </x:c>
      <x:c r="F17" s="32" t="n">
        <x:v>185552.36361</x:v>
      </x:c>
      <x:c r="G17" s="42" t="n">
        <x:v>0.9858991133179095</x:v>
      </x:c>
      <x:c r="H17" s="42" t="n">
        <x:v>1.0212425106865388</x:v>
      </x:c>
      <x:c r="I17" s="32" t="n">
        <x:v>4506.863076923077</x:v>
      </x:c>
      <x:c r="J17" s="32" t="n">
        <x:v>10485.298992795944</x:v>
      </x:c>
      <x:c r="K17" s="45" t="n">
        <x:v>2.326518204310405</x:v>
      </x:c>
      <x:c r="L17" s="42" t="n">
        <x:v>0.806</x:v>
      </x:c>
    </x:row>
    <x:row r="18">
      <x:c r="A18" s="33" t="n">
        <x:v>45323</x:v>
      </x:c>
      <x:c r="B18" s="32" t="n">
        <x:v>185552.36361</x:v>
      </x:c>
      <x:c r="C18" s="32" t="n">
        <x:v>7061.805</x:v>
      </x:c>
      <x:c r="D18" s="32" t="n">
        <x:v>64.47428999999283</x:v>
      </x:c>
      <x:c r="E18" s="32" t="n">
        <x:v>2367.045</x:v>
      </x:c>
      <x:c r="F18" s="32" t="n">
        <x:v>190311.5979</x:v>
      </x:c>
      <x:c r="G18" s="42" t="n">
        <x:v>0.9872432506169787</x:v>
      </x:c>
      <x:c r="H18" s="42" t="n">
        <x:v>0.9875907228277638</x:v>
      </x:c>
      <x:c r="I18" s="32" t="n">
        <x:v>4284.708518518519</x:v>
      </x:c>
      <x:c r="J18" s="32" t="n">
        <x:v>11508.575065637826</x:v>
      </x:c>
      <x:c r="K18" s="45" t="n">
        <x:v>2.6859645214832564</x:v>
      </x:c>
      <x:c r="L18" s="42" t="n">
        <x:v>0.8030717967697245</x:v>
      </x:c>
    </x:row>
    <x:row r="19">
      <x:c r="A19" s="33" t="n">
        <x:v>45352</x:v>
      </x:c>
      <x:c r="B19" s="32" t="n">
        <x:v>190311.5979</x:v>
      </x:c>
      <x:c r="C19" s="32" t="n">
        <x:v>7989.165</x:v>
      </x:c>
      <x:c r="D19" s="32" t="n">
        <x:v>73.14344999996229</x:v>
      </x:c>
      <x:c r="E19" s="32" t="n">
        <x:v>2162.115</x:v>
      </x:c>
      <x:c r="F19" s="32" t="n">
        <x:v>196211.79134999996</x:v>
      </x:c>
      <x:c r="G19" s="42" t="n">
        <x:v>0.9886390791530419</x:v>
      </x:c>
      <x:c r="H19" s="42" t="n">
        <x:v>0.9890234143738434</x:v>
      </x:c>
      <x:c r="I19" s="32" t="n">
        <x:v>3586.5661290322582</x:v>
      </x:c>
      <x:c r="J19" s="32" t="n">
        <x:v>13887.330253061238</x:v>
      </x:c>
      <x:c r="K19" s="45" t="n">
        <x:v>3.8720407636282377</x:v>
      </x:c>
      <x:c r="L19" s="42" t="n">
        <x:v>0.8019999999999999</x:v>
      </x:c>
    </x:row>
    <x:row r="20">
      <x:c r="A20" s="33" t="n">
        <x:v>45383</x:v>
      </x:c>
      <x:c r="B20" s="32" t="n">
        <x:v>196211.79134999996</x:v>
      </x:c>
      <x:c r="C20" s="32" t="n">
        <x:v>9384.345</x:v>
      </x:c>
      <x:c r="D20" s="32" t="n">
        <x:v>102.94110000004366</x:v>
      </x:c>
      <x:c r="E20" s="32" t="n">
        <x:v>2367.045</x:v>
      </x:c>
      <x:c r="F20" s="32" t="n">
        <x:v>203332.03245</x:v>
      </x:c>
      <x:c r="G20" s="42" t="n">
        <x:v>0.9879362754719583</x:v>
      </x:c>
      <x:c r="H20" s="42" t="n">
        <x:v>0.9884609182535758</x:v>
      </x:c>
      <x:c r="I20" s="32" t="n">
        <x:v>3496.8369696969694</x:v>
      </x:c>
      <x:c r="J20" s="32" t="n">
        <x:v>12203.945685978544</x:v>
      </x:c>
      <x:c r="K20" s="45" t="n">
        <x:v>3.489995613674869</x:v>
      </x:c>
      <x:c r="L20" s="42" t="n">
        <x:v>0.8030717967697245</x:v>
      </x:c>
    </x:row>
    <x:row r="21">
      <x:c r="A21" s="33" t="n">
        <x:v>45413</x:v>
      </x:c>
      <x:c r="B21" s="32" t="n">
        <x:v>203332.03245</x:v>
      </x:c>
      <x:c r="C21" s="32" t="n">
        <x:v>8818.199999999999</x:v>
      </x:c>
      <x:c r="D21" s="32" t="n">
        <x:v>98.60652000000755</x:v>
      </x:c>
      <x:c r="E21" s="32" t="n">
        <x:v>2571.9749999999995</x:v>
      </x:c>
      <x:c r="F21" s="32" t="n">
        <x:v>209676.86397</x:v>
      </x:c>
      <x:c r="G21" s="42" t="n">
        <x:v>0.9873508616964597</x:v>
      </x:c>
      <x:c r="H21" s="42" t="n">
        <x:v>0.9878358148974475</x:v>
      </x:c>
      <x:c r="I21" s="32" t="n">
        <x:v>3785.174666666667</x:v>
      </x:c>
      <x:c r="J21" s="32" t="n">
        <x:v>11031.588767854733</x:v>
      </x:c>
      <x:c r="K21" s="45" t="n">
        <x:v>2.914420004181595</x:v>
      </x:c>
      <x:c r="L21" s="42" t="n">
        <x:v>0.806</x:v>
      </x:c>
    </x:row>
    <x:row r="22">
      <x:c r="A22" s="33" t="n">
        <x:v>45444</x:v>
      </x:c>
      <x:c r="B22" s="32" t="n">
        <x:v>209676.86397</x:v>
      </x:c>
      <x:c r="C22" s="32" t="n">
        <x:v>9540.63</x:v>
      </x:c>
      <x:c r="D22" s="32" t="n">
        <x:v>111.61025999995718</x:v>
      </x:c>
      <x:c r="E22" s="32" t="n">
        <x:v>2313.225</x:v>
      </x:c>
      <x:c r="F22" s="32" t="n">
        <x:v>217015.87922999996</x:v>
      </x:c>
      <x:c r="G22" s="42" t="n">
        <x:v>0.9889676669318606</x:v>
      </x:c>
      <x:c r="H22" s="42" t="n">
        <x:v>0.989499963427939</x:v>
      </x:c>
      <x:c r="I22" s="32" t="n">
        <x:v>3577.1184375</x:v>
      </x:c>
      <x:c r="J22" s="32" t="n">
        <x:v>11448.177346445622</x:v>
      </x:c>
      <x:c r="K22" s="45" t="n">
        <x:v>3.2003909142149065</x:v>
      </x:c>
      <x:c r="L22" s="42" t="n">
        <x:v>0.81</x:v>
      </x:c>
    </x:row>
    <x:row r="23">
      <x:c r="A23" s="33" t="n">
        <x:v>45474</x:v>
      </x:c>
      <x:c r="B23" s="32" t="n">
        <x:v>217015.87922999996</x:v>
      </x:c>
      <x:c r="C23" s="32" t="n">
        <x:v>8818.199999999999</x:v>
      </x:c>
      <x:c r="D23" s="32" t="n">
        <x:v>98.60652000005211</x:v>
      </x:c>
      <x:c r="E23" s="32" t="n">
        <x:v>2162.115</x:v>
      </x:c>
      <x:c r="F23" s="32" t="n">
        <x:v>223770.57075</x:v>
      </x:c>
      <x:c r="G23" s="42" t="n">
        <x:v>0.9900370654549728</x:v>
      </x:c>
      <x:c r="H23" s="42" t="n">
        <x:v>0.9904914401318395</x:v>
      </x:c>
      <x:c r="I23" s="32" t="n">
        <x:v>4011.2256666666667</x:v>
      </x:c>
      <x:c r="J23" s="32" t="n">
        <x:v>16142.305119639737</x:v>
      </x:c>
      <x:c r="K23" s="45" t="n">
        <x:v>4.024282466524506</x:v>
      </x:c>
      <x:c r="L23" s="42" t="n">
        <x:v>0.8140000000000001</x:v>
      </x:c>
    </x:row>
    <x:row r="24">
      <x:c r="A24" s="33" t="n">
        <x:v>45505</x:v>
      </x:c>
      <x:c r="B24" s="32" t="n">
        <x:v>223770.57075</x:v>
      </x:c>
      <x:c r="C24" s="32" t="n">
        <x:v>9076.949999999999</x:v>
      </x:c>
      <x:c r="D24" s="32" t="n">
        <x:v>102.94109999999955</x:v>
      </x:c>
      <x:c r="E24" s="32" t="n">
        <x:v>2469.5099999999998</x:v>
      </x:c>
      <x:c r="F24" s="32" t="n">
        <x:v>230480.95185</x:v>
      </x:c>
      <x:c r="G24" s="42" t="n">
        <x:v>0.9889640983989848</x:v>
      </x:c>
      <x:c r="H24" s="42" t="n">
        <x:v>0.9894241280608611</x:v>
      </x:c>
      <x:c r="I24" s="32" t="n">
        <x:v>3763.312</x:v>
      </x:c>
      <x:c r="J24" s="32" t="n">
        <x:v>13169.929993939802</x:v>
      </x:c>
      <x:c r="K24" s="45" t="n">
        <x:v>3.499558366125318</x:v>
      </x:c>
      <x:c r="L24" s="42" t="n">
        <x:v>0.8169282032302755</x:v>
      </x:c>
    </x:row>
    <x:row r="25">
      <x:c r="A25" s="33" t="n">
        <x:v>45536</x:v>
      </x:c>
      <x:c r="B25" s="32" t="n">
        <x:v>230480.95185</x:v>
      </x:c>
      <x:c r="C25" s="32" t="n">
        <x:v>7886.7</x:v>
      </x:c>
      <x:c r="D25" s="32" t="n">
        <x:v>73.14344999997957</x:v>
      </x:c>
      <x:c r="E25" s="32" t="n">
        <x:v>2571.9749999999995</x:v>
      </x:c>
      <x:c r="F25" s="32" t="n">
        <x:v>235868.8203</x:v>
      </x:c>
      <x:c r="G25" s="42" t="n">
        <x:v>0.9888408348743983</x:v>
      </x:c>
      <x:c r="H25" s="42" t="n">
        <x:v>0.9891581862624973</x:v>
      </x:c>
      <x:c r="I25" s="32" t="n">
        <x:v>3820.6429999999996</x:v>
      </x:c>
      <x:c r="J25" s="32" t="n">
        <x:v>12617.241378215725</x:v>
      </x:c>
      <x:c r="K25" s="45" t="n">
        <x:v>3.3023868961888683</x:v>
      </x:c>
      <x:c r="L25" s="42" t="n">
        <x:v>0.8180000000000001</x:v>
      </x:c>
    </x:row>
    <x:row r="26">
      <x:c r="A26" s="33" t="n">
        <x:v>45566</x:v>
      </x:c>
      <x:c r="B26" s="32" t="n">
        <x:v>235868.8203</x:v>
      </x:c>
      <x:c r="C26" s="32" t="n">
        <x:v>8452.845</x:v>
      </x:c>
      <x:c r="D26" s="32" t="n">
        <x:v>73.1434499999732</x:v>
      </x:c>
      <x:c r="E26" s="32" t="n">
        <x:v>2933.1899999999996</x:v>
      </x:c>
      <x:c r="F26" s="32" t="n">
        <x:v>241461.61874999997</x:v>
      </x:c>
      <x:c r="G26" s="42" t="n">
        <x:v>0.9875643164863025</x:v>
      </x:c>
      <x:c r="H26" s="42" t="n">
        <x:v>0.9878744187283324</x:v>
      </x:c>
      <x:c r="I26" s="32" t="n">
        <x:v>3586.2130303030303</x:v>
      </x:c>
      <x:c r="J26" s="32" t="n">
        <x:v>12067.547462223369</x:v>
      </x:c>
      <x:c r="K26" s="45" t="n">
        <x:v>3.3649834408202115</x:v>
      </x:c>
      <x:c r="L26" s="42" t="n">
        <x:v>0.8169282032302755</x:v>
      </x:c>
    </x:row>
    <x:row r="27">
      <x:c r="A27" s="33" t="n">
        <x:v>45597</x:v>
      </x:c>
      <x:c r="B27" s="32" t="n">
        <x:v>241461.61874999997</x:v>
      </x:c>
      <x:c r="C27" s="32" t="n">
        <x:v>8350.38</x:v>
      </x:c>
      <x:c r="D27" s="32" t="n">
        <x:v>73.14345000000594</x:v>
      </x:c>
      <x:c r="E27" s="32" t="n">
        <x:v>2933.1899999999996</x:v>
      </x:c>
      <x:c r="F27" s="32" t="n">
        <x:v>246951.95219999997</x:v>
      </x:c>
      <x:c r="G27" s="42" t="n">
        <x:v>0.9878523551064365</x:v>
      </x:c>
      <x:c r="H27" s="42" t="n">
        <x:v>0.9881552746775827</x:v>
      </x:c>
      <x:c r="I27" s="32" t="n">
        <x:v>3877.9759375</x:v>
      </x:c>
      <x:c r="J27" s="32" t="n">
        <x:v>12318.236259150823</x:v>
      </x:c>
      <x:c r="K27" s="45" t="n">
        <x:v>3.1764602095731345</x:v>
      </x:c>
      <x:c r="L27" s="42" t="n">
        <x:v>0.8140000000000001</x:v>
      </x:c>
    </x:row>
    <x:row r="28">
      <x:c r="A28" s="33" t="n">
        <x:v>45627</x:v>
      </x:c>
      <x:c r="B28" s="32" t="n">
        <x:v>246951.95219999997</x:v>
      </x:c>
      <x:c r="C28" s="32" t="n">
        <x:v>8091.63</x:v>
      </x:c>
      <x:c r="D28" s="32" t="n">
        <x:v>68.80886999998074</x:v>
      </x:c>
      <x:c r="E28" s="32" t="n">
        <x:v>2933.1899999999996</x:v>
      </x:c>
      <x:c r="F28" s="32" t="n">
        <x:v>252179.20106999995</x:v>
      </x:c>
      <x:c r="G28" s="42" t="n">
        <x:v>0.9881224263510803</x:v>
      </x:c>
      <x:c r="H28" s="42" t="n">
        <x:v>0.9884010589732847</x:v>
      </x:c>
      <x:c r="I28" s="32" t="n">
        <x:v>4145.499375</x:v>
      </x:c>
      <x:c r="J28" s="32" t="n">
        <x:v>12521.943128579886</x:v>
      </x:c>
      <x:c r="K28" s="45" t="n">
        <x:v>3.0206115104238522</x:v>
      </x:c>
      <x:c r="L28" s="42" t="n">
        <x:v>0.81</x:v>
      </x:c>
    </x:row>
    <x:row r="29">
      <x:c r="A29" s="33" t="n">
        <x:v>45658</x:v>
      </x:c>
      <x:c r="B29" s="32" t="n">
        <x:v>252179.20106999995</x:v>
      </x:c>
      <x:c r="C29" s="32" t="n">
        <x:v>10086.654599999998</x:v>
      </x:c>
      <x:c r="D29" s="32" t="n">
        <x:v>8932.816075950064</x:v>
      </x:c>
      <x:c r="E29" s="32" t="n">
        <x:v>2929.800375</x:v>
      </x:c>
      <x:c r="F29" s="32" t="n">
        <x:v>268268.87137095</x:v>
      </x:c>
      <x:c r="G29" s="42" t="n">
        <x:v>0.9883820697243515</x:v>
      </x:c>
      <x:c r="H29" s="42" t="n">
        <x:v>1.0238045630864052</x:v>
      </x:c>
      <x:c r="I29" s="32" t="n">
        <x:v>3544.5923529411766</x:v>
      </x:c>
      <x:c r="J29" s="32" t="n">
        <x:v>14094.272687069719</x:v>
      </x:c>
      <x:c r="K29" s="45" t="n">
        <x:v>3.9762746413913557</x:v>
      </x:c>
      <x:c r="L29" s="42" t="n">
        <x:v>0.806</x:v>
      </x:c>
    </x:row>
    <x:row r="30">
      <x:c r="A30" s="33" t="n">
        <x:v>45689</x:v>
      </x:c>
      <x:c r="B30" s="32" t="n">
        <x:v>268268.87137095</x:v>
      </x:c>
      <x:c r="C30" s="32" t="n">
        <x:v>11314.278449999998</x:v>
      </x:c>
      <x:c r="D30" s="32" t="n">
        <x:v>120.00290939994875</x:v>
      </x:c>
      <x:c r="E30" s="32" t="n">
        <x:v>3354.0054749999995</x:v>
      </x:c>
      <x:c r="F30" s="32" t="n">
        <x:v>276349.14725534996</x:v>
      </x:c>
      <x:c r="G30" s="42" t="n">
        <x:v>0.9874975972506246</x:v>
      </x:c>
      <x:c r="H30" s="42" t="n">
        <x:v>0.9879449205229324</x:v>
      </x:c>
      <x:c r="I30" s="32" t="n">
        <x:v>3115.041315789474</x:v>
      </x:c>
      <x:c r="J30" s="32" t="n">
        <x:v>11426.21861178654</x:v>
      </x:c>
      <x:c r="K30" s="45" t="n">
        <x:v>3.668079313705888</x:v>
      </x:c>
      <x:c r="L30" s="42" t="n">
        <x:v>0.8030717967697245</x:v>
      </x:c>
    </x:row>
    <x:row r="31">
      <x:c r="A31" s="33" t="n">
        <x:v>45717</x:v>
      </x:c>
      <x:c r="B31" s="32" t="n">
        <x:v>276349.14725534996</x:v>
      </x:c>
      <x:c r="C31" s="32" t="n">
        <x:v>11794.187249999999</x:v>
      </x:c>
      <x:c r="D31" s="32" t="n">
        <x:v>124.48919970000043</x:v>
      </x:c>
      <x:c r="E31" s="32" t="n">
        <x:v>3035.8516499999996</x:v>
      </x:c>
      <x:c r="F31" s="32" t="n">
        <x:v>285231.97205504996</x:v>
      </x:c>
      <x:c r="G31" s="42" t="n">
        <x:v>0.9890144345291038</x:v>
      </x:c>
      <x:c r="H31" s="42" t="n">
        <x:v>0.9894649124876442</x:v>
      </x:c>
      <x:c r="I31" s="32" t="n">
        <x:v>3239.6915</x:v>
      </x:c>
      <x:c r="J31" s="32" t="n">
        <x:v>13914.717412657123</x:v>
      </x:c>
      <x:c r="K31" s="45" t="n">
        <x:v>4.295074828160991</x:v>
      </x:c>
      <x:c r="L31" s="42" t="n">
        <x:v>0.802</x:v>
      </x:c>
    </x:row>
    <x:row r="32">
      <x:c r="A32" s="33" t="n">
        <x:v>45748</x:v>
      </x:c>
      <x:c r="B32" s="32" t="n">
        <x:v>285231.97205504996</x:v>
      </x:c>
      <x:c r="C32" s="32" t="n">
        <x:v>12061.993499999999</x:v>
      </x:c>
      <x:c r="D32" s="32" t="n">
        <x:v>89.16234164999423</x:v>
      </x:c>
      <x:c r="E32" s="32" t="n">
        <x:v>4697.321625</x:v>
      </x:c>
      <x:c r="F32" s="32" t="n">
        <x:v>292685.80627169996</x:v>
      </x:c>
      <x:c r="G32" s="42" t="n">
        <x:v>0.9835315739986771</x:v>
      </x:c>
      <x:c r="H32" s="42" t="n">
        <x:v>0.9838441698868856</x:v>
      </x:c>
      <x:c r="I32" s="32" t="n">
        <x:v>3355.22025</x:v>
      </x:c>
      <x:c r="J32" s="32" t="n">
        <x:v>15244.96034341676</x:v>
      </x:c>
      <x:c r="K32" s="45" t="n">
        <x:v>4.543654129238389</x:v>
      </x:c>
      <x:c r="L32" s="42" t="n">
        <x:v>0.8030717967697245</x:v>
      </x:c>
    </x:row>
    <x:row r="33">
      <x:c r="A33" s="33" t="n">
        <x:v>45778</x:v>
      </x:c>
      <x:c r="B33" s="32" t="n">
        <x:v>292685.80627169996</x:v>
      </x:c>
      <x:c r="C33" s="32" t="n">
        <x:v>13501.719899999998</x:v>
      </x:c>
      <x:c r="D33" s="32" t="n">
        <x:v>137.94807059999312</x:v>
      </x:c>
      <x:c r="E33" s="32" t="n">
        <x:v>3939.96555</x:v>
      </x:c>
      <x:c r="F33" s="32" t="n">
        <x:v>302385.50869229995</x:v>
      </x:c>
      <x:c r="G33" s="42" t="n">
        <x:v>0.9865385834721943</x:v>
      </x:c>
      <x:c r="H33" s="42" t="n">
        <x:v>0.9870099014098735</x:v>
      </x:c>
      <x:c r="I33" s="32" t="n">
        <x:v>2903.3178260869563</x:v>
      </x:c>
      <x:c r="J33" s="32" t="n">
        <x:v>10797.249079642814</x:v>
      </x:c>
      <x:c r="K33" s="45" t="n">
        <x:v>3.7189345867087407</x:v>
      </x:c>
      <x:c r="L33" s="42" t="n">
        <x:v>0.806</x:v>
      </x:c>
    </x:row>
    <x:row r="34">
      <x:c r="A34" s="33" t="n">
        <x:v>45809</x:v>
      </x:c>
      <x:c r="B34" s="32" t="n">
        <x:v>302385.50869229995</x:v>
      </x:c>
      <x:c r="C34" s="32" t="n">
        <x:v>12915.759825</x:v>
      </x:c>
      <x:c r="D34" s="32" t="n">
        <x:v>102.62121255000875</x:v>
      </x:c>
      <x:c r="E34" s="32" t="n">
        <x:v>4853.720474999999</x:v>
      </x:c>
      <x:c r="F34" s="32" t="n">
        <x:v>310550.16925484996</x:v>
      </x:c>
      <x:c r="G34" s="42" t="n">
        <x:v>0.9839485678530349</x:v>
      </x:c>
      <x:c r="H34" s="42" t="n">
        <x:v>0.9842879399776907</x:v>
      </x:c>
      <x:c r="I34" s="32" t="n">
        <x:v>3135.113953488372</x:v>
      </x:c>
      <x:c r="J34" s="32" t="n">
        <x:v>12911.675132567627</x:v>
      </x:c>
      <x:c r="K34" s="45" t="n">
        <x:v>4.1184069619546335</x:v>
      </x:c>
      <x:c r="L34" s="42" t="n">
        <x:v>0.81</x:v>
      </x:c>
    </x:row>
    <x:row r="35">
      <x:c r="A35" s="33" t="n">
        <x:v>45839</x:v>
      </x:c>
      <x:c r="B35" s="32" t="n">
        <x:v>310550.16925484996</x:v>
      </x:c>
      <x:c r="C35" s="32" t="n">
        <x:v>13289.617349999999</x:v>
      </x:c>
      <x:c r="D35" s="32" t="n">
        <x:v>107.10750284997266</x:v>
      </x:c>
      <x:c r="E35" s="32" t="n">
        <x:v>5065.823025</x:v>
      </x:c>
      <x:c r="F35" s="32" t="n">
        <x:v>318881.0710826999</x:v>
      </x:c>
      <x:c r="G35" s="42" t="n">
        <x:v>0.9836875856897609</x:v>
      </x:c>
      <x:c r="H35" s="42" t="n">
        <x:v>0.9840324816629524</x:v>
      </x:c>
      <x:c r="I35" s="32" t="n">
        <x:v>2927.3340909090907</x:v>
      </x:c>
      <x:c r="J35" s="32" t="n">
        <x:v>12074.143581521997</x:v>
      </x:c>
      <x:c r="K35" s="45" t="n">
        <x:v>4.124620971353612</x:v>
      </x:c>
      <x:c r="L35" s="42" t="n">
        <x:v>0.8140000000000001</x:v>
      </x:c>
    </x:row>
    <x:row r="36">
      <x:c r="A36" s="33" t="n">
        <x:v>45870</x:v>
      </x:c>
      <x:c r="B36" s="32" t="n">
        <x:v>318881.0710826999</x:v>
      </x:c>
      <x:c r="C36" s="32" t="n">
        <x:v>11420.329725</x:v>
      </x:c>
      <x:c r="D36" s="32" t="n">
        <x:v>111.03032880005594</x:v>
      </x:c>
      <x:c r="E36" s="32" t="n">
        <x:v>3677.5154249999996</x:v>
      </x:c>
      <x:c r="F36" s="32" t="n">
        <x:v>326734.9157115</x:v>
      </x:c>
      <x:c r="G36" s="42" t="n">
        <x:v>0.9884674389341653</x:v>
      </x:c>
      <x:c r="H36" s="42" t="n">
        <x:v>0.9888156262016725</x:v>
      </x:c>
      <x:c r="I36" s="32" t="n">
        <x:v>3411.272051282051</x:v>
      </x:c>
      <x:c r="J36" s="32" t="n">
        <x:v>15360.795992548112</x:v>
      </x:c>
      <x:c r="K36" s="45" t="n">
        <x:v>4.502952494444147</x:v>
      </x:c>
      <x:c r="L36" s="42" t="n">
        <x:v>0.8169282032302755</x:v>
      </x:c>
    </x:row>
    <x:row r="37">
      <x:c r="A37" s="33" t="n">
        <x:v>45901</x:v>
      </x:c>
      <x:c r="B37" s="32" t="n">
        <x:v>326734.9157115</x:v>
      </x:c>
      <x:c r="C37" s="32" t="n">
        <x:v>11637.7884</x:v>
      </x:c>
      <x:c r="D37" s="32" t="n">
        <x:v>84.67605134991936</x:v>
      </x:c>
      <x:c r="E37" s="32" t="n">
        <x:v>5495.384249999999</x:v>
      </x:c>
      <x:c r="F37" s="32" t="n">
        <x:v>332961.9959128499</x:v>
      </x:c>
      <x:c r="G37" s="42" t="n">
        <x:v>0.9831809090925185</x:v>
      </x:c>
      <x:c r="H37" s="42" t="n">
        <x:v>0.9834400673498034</x:v>
      </x:c>
      <x:c r="I37" s="32" t="n">
        <x:v>3873.5722222222225</x:v>
      </x:c>
      <x:c r="J37" s="32" t="n">
        <x:v>13406.80680633181</x:v>
      </x:c>
      <x:c r="K37" s="45" t="n">
        <x:v>3.4610963826667684</x:v>
      </x:c>
      <x:c r="L37" s="42" t="n">
        <x:v>0.8180000000000001</x:v>
      </x:c>
    </x:row>
    <x:row r="38">
      <x:c r="A38" s="33" t="n">
        <x:v>45931</x:v>
      </x:c>
      <x:c r="B38" s="32" t="n">
        <x:v>332961.9959128499</x:v>
      </x:c>
      <x:c r="C38" s="32" t="n">
        <x:v>12541.9023</x:v>
      </x:c>
      <x:c r="D38" s="32" t="n">
        <x:v>89.16234165005426</x:v>
      </x:c>
      <x:c r="E38" s="32" t="n">
        <x:v>5707.4868</x:v>
      </x:c>
      <x:c r="F38" s="32" t="n">
        <x:v>339885.57375449996</x:v>
      </x:c>
      <x:c r="G38" s="42" t="n">
        <x:v>0.9828584436960971</x:v>
      </x:c>
      <x:c r="H38" s="42" t="n">
        <x:v>0.9831262290372007</x:v>
      </x:c>
      <x:c r="I38" s="32" t="n">
        <x:v>3007.962857142857</x:v>
      </x:c>
      <x:c r="J38" s="32" t="n">
        <x:v>12380.833687153392</x:v>
      </x:c>
      <x:c r="K38" s="45" t="n">
        <x:v>4.1160194707036535</x:v>
      </x:c>
      <x:c r="L38" s="42" t="n">
        <x:v>0.8169282032302755</x:v>
      </x:c>
    </x:row>
    <x:row r="39">
      <x:c r="A39" s="33" t="n">
        <x:v>45962</x:v>
      </x:c>
      <x:c r="B39" s="32" t="n">
        <x:v>339885.57375449996</x:v>
      </x:c>
      <x:c r="C39" s="32" t="n">
        <x:v>11900.238524999999</x:v>
      </x:c>
      <x:c r="D39" s="32" t="n">
        <x:v>89.16234164998332</x:v>
      </x:c>
      <x:c r="E39" s="32" t="n">
        <x:v>4747.669199999999</x:v>
      </x:c>
      <x:c r="F39" s="32" t="n">
        <x:v>347127.30542114994</x:v>
      </x:c>
      <x:c r="G39" s="42" t="n">
        <x:v>0.986031566013363</x:v>
      </x:c>
      <x:c r="H39" s="42" t="n">
        <x:v>0.9862938964814233</x:v>
      </x:c>
      <x:c r="I39" s="32" t="n">
        <x:v>3345.361219512195</x:v>
      </x:c>
      <x:c r="J39" s="32" t="n">
        <x:v>15361.694060111198</x:v>
      </x:c>
      <x:c r="K39" s="45" t="n">
        <x:v>4.59193882278314</x:v>
      </x:c>
      <x:c r="L39" s="42" t="n">
        <x:v>0.8140000000000001</x:v>
      </x:c>
    </x:row>
    <x:row r="40">
      <x:c r="A40" s="33" t="n">
        <x:v>45992</x:v>
      </x:c>
      <x:c r="B40" s="32" t="n">
        <x:v>347127.30542114994</x:v>
      </x:c>
      <x:c r="C40" s="32" t="n">
        <x:v>11420.329725</x:v>
      </x:c>
      <x:c r="D40" s="32" t="n">
        <x:v>75.70347075003156</x:v>
      </x:c>
      <x:c r="E40" s="32" t="n">
        <x:v>6025.640625</x:v>
      </x:c>
      <x:c r="F40" s="32" t="n">
        <x:v>352597.6979919</x:v>
      </x:c>
      <x:c r="G40" s="42" t="n">
        <x:v>0.982641409849077</x:v>
      </x:c>
      <x:c r="H40" s="42" t="n">
        <x:v>0.9828594954608043</x:v>
      </x:c>
      <x:c r="I40" s="32" t="n">
        <x:v>3338.58</x:v>
      </x:c>
      <x:c r="J40" s="32" t="n">
        <x:v>11277.163286436526</x:v>
      </x:c>
      <x:c r="K40" s="45" t="n">
        <x:v>3.3778322779255032</x:v>
      </x:c>
      <x:c r="L40" s="42" t="n">
        <x:v>0.8099999999999999</x:v>
      </x:c>
    </x:row>
    <x:row r="41">
      <x:c r="A41" s="33" t="n">
        <x:v>46023</x:v>
      </x:c>
      <x:c r="B41" s="32" t="n">
        <x:v>352597.6979919</x:v>
      </x:c>
      <x:c r="C41" s="32" t="n">
        <x:v>14084.043166124997</x:v>
      </x:c>
      <x:c r="D41" s="32" t="n">
        <x:v>12447.132384705696</x:v>
      </x:c>
      <x:c r="E41" s="32" t="n">
        <x:v>5081.254021124999</x:v>
      </x:c>
      <x:c r="F41" s="32" t="n">
        <x:v>374047.61952160567</x:v>
      </x:c>
      <x:c r="G41" s="42" t="n">
        <x:v>0.9855890890664812</x:v>
      </x:c>
      <x:c r="H41" s="42" t="n">
        <x:v>1.0208903189258767</x:v>
      </x:c>
      <x:c r="I41" s="32" t="n">
        <x:v>2929.4385106382974</x:v>
      </x:c>
      <x:c r="J41" s="32" t="n">
        <x:v>17258.3831890899</x:v>
      </x:c>
      <x:c r="K41" s="45" t="n">
        <x:v>5.891362159135901</x:v>
      </x:c>
      <x:c r="L41" s="42" t="n">
        <x:v>0.806</x:v>
      </x:c>
    </x:row>
    <x:row r="42">
      <x:c r="A42" s="33" t="n">
        <x:v>46054</x:v>
      </x:c>
      <x:c r="B42" s="32" t="n">
        <x:v>374047.61952160567</x:v>
      </x:c>
      <x:c r="C42" s="32" t="n">
        <x:v>17623.070623124997</x:v>
      </x:c>
      <x:c r="D42" s="32" t="n">
        <x:v>156.70618445249238</x:v>
      </x:c>
      <x:c r="E42" s="32" t="n">
        <x:v>5687.722698749998</x:v>
      </x:c>
      <x:c r="F42" s="32" t="n">
        <x:v>386139.67363043316</x:v>
      </x:c>
      <x:c r="G42" s="42" t="n">
        <x:v>0.9847941213848002</x:v>
      </x:c>
      <x:c r="H42" s="42" t="n">
        <x:v>0.9852130685355746</x:v>
      </x:c>
      <x:c r="I42" s="32" t="n">
        <x:v>2323.5945454545454</x:v>
      </x:c>
      <x:c r="J42" s="32" t="n">
        <x:v>15034.233804173029</x:v>
      </x:c>
      <x:c r="K42" s="45" t="n">
        <x:v>6.470248363073175</x:v>
      </x:c>
      <x:c r="L42" s="42" t="n">
        <x:v>0.8030717967697245</x:v>
      </x:c>
    </x:row>
    <x:row r="43">
      <x:c r="A43" s="33" t="n">
        <x:v>46082</x:v>
      </x:c>
      <x:c r="B43" s="32" t="n">
        <x:v>386139.67363043316</x:v>
      </x:c>
      <x:c r="C43" s="32" t="n">
        <x:v>17074.255274999996</x:v>
      </x:c>
      <x:c r="D43" s="32" t="n">
        <x:v>152.06287399200482</x:v>
      </x:c>
      <x:c r="E43" s="32" t="n">
        <x:v>6184.428306749998</x:v>
      </x:c>
      <x:c r="F43" s="32" t="n">
        <x:v>397181.56347267516</x:v>
      </x:c>
      <x:c r="G43" s="42" t="n">
        <x:v>0.9839839603928681</x:v>
      </x:c>
      <x:c r="H43" s="42" t="n">
        <x:v>0.9843777631652233</x:v>
      </x:c>
      <x:c r="I43" s="32" t="n">
        <x:v>3050.4844</x:v>
      </x:c>
      <x:c r="J43" s="32" t="n">
        <x:v>14135.793042589623</x:v>
      </x:c>
      <x:c r="K43" s="45" t="n">
        <x:v>4.6339502810077065</x:v>
      </x:c>
      <x:c r="L43" s="42" t="n">
        <x:v>0.802</x:v>
      </x:c>
    </x:row>
    <x:row r="44">
      <x:c r="A44" s="33" t="n">
        <x:v>46113</x:v>
      </x:c>
      <x:c r="B44" s="32" t="n">
        <x:v>397181.56347267516</x:v>
      </x:c>
      <x:c r="C44" s="32" t="n">
        <x:v>19170.840776624995</x:v>
      </x:c>
      <x:c r="D44" s="32" t="n">
        <x:v>170.63611583396778</x:v>
      </x:c>
      <x:c r="E44" s="32" t="n">
        <x:v>6074.665237124998</x:v>
      </x:c>
      <x:c r="F44" s="32" t="n">
        <x:v>410448.3751280091</x:v>
      </x:c>
      <x:c r="G44" s="42" t="n">
        <x:v>0.9847055709635352</x:v>
      </x:c>
      <x:c r="H44" s="42" t="n">
        <x:v>0.9851351883766447</x:v>
      </x:c>
      <x:c r="I44" s="32" t="n">
        <x:v>2273.148305084746</x:v>
      </x:c>
      <x:c r="J44" s="32" t="n">
        <x:v>15206.869258428336</x:v>
      </x:c>
      <x:c r="K44" s="45" t="n">
        <x:v>6.689783163030977</x:v>
      </x:c>
      <x:c r="L44" s="42" t="n">
        <x:v>0.8030717967697245</x:v>
      </x:c>
    </x:row>
    <x:row r="45">
      <x:c r="A45" s="33" t="n">
        <x:v>46143</x:v>
      </x:c>
      <x:c r="B45" s="32" t="n">
        <x:v>410448.3751280091</x:v>
      </x:c>
      <x:c r="C45" s="32" t="n">
        <x:v>16405.698396374995</x:v>
      </x:c>
      <x:c r="D45" s="32" t="n">
        <x:v>124.78619683127363</x:v>
      </x:c>
      <x:c r="E45" s="32" t="n">
        <x:v>6403.954445999998</x:v>
      </x:c>
      <x:c r="F45" s="32" t="n">
        <x:v>420574.9052752154</x:v>
      </x:c>
      <x:c r="G45" s="42" t="n">
        <x:v>0.9843976615962903</x:v>
      </x:c>
      <x:c r="H45" s="42" t="n">
        <x:v>0.9847016856938211</x:v>
      </x:c>
      <x:c r="I45" s="32" t="n">
        <x:v>2625.3862264150944</x:v>
      </x:c>
      <x:c r="J45" s="32" t="n">
        <x:v>13796.098173129441</x:v>
      </x:c>
      <x:c r="K45" s="45" t="n">
        <x:v>5.254883275581019</x:v>
      </x:c>
      <x:c r="L45" s="42" t="n">
        <x:v>0.806</x:v>
      </x:c>
    </x:row>
    <x:row r="46">
      <x:c r="A46" s="33" t="n">
        <x:v>46174</x:v>
      </x:c>
      <x:c r="B46" s="32" t="n">
        <x:v>420574.9052752154</x:v>
      </x:c>
      <x:c r="C46" s="32" t="n">
        <x:v>16457.808136499996</x:v>
      </x:c>
      <x:c r="D46" s="32" t="n">
        <x:v>115.49957591026396</x:v>
      </x:c>
      <x:c r="E46" s="32" t="n">
        <x:v>6790.896984374998</x:v>
      </x:c>
      <x:c r="F46" s="32" t="n">
        <x:v>430357.31600325066</x:v>
      </x:c>
      <x:c r="G46" s="42" t="n">
        <x:v>0.9838532996163164</x:v>
      </x:c>
      <x:c r="H46" s="42" t="n">
        <x:v>0.9841279226964421</x:v>
      </x:c>
      <x:c r="I46" s="32" t="n">
        <x:v>2394.039464285714</x:v>
      </x:c>
      <x:c r="J46" s="32" t="n">
        <x:v>13605.617000824583</x:v>
      </x:c>
      <x:c r="K46" s="45" t="n">
        <x:v>5.683121437133016</x:v>
      </x:c>
      <x:c r="L46" s="42" t="n">
        <x:v>0.81</x:v>
      </x:c>
    </x:row>
    <x:row r="47">
      <x:c r="A47" s="33" t="n">
        <x:v>46204</x:v>
      </x:c>
      <x:c r="B47" s="32" t="n">
        <x:v>430357.31600325066</x:v>
      </x:c>
      <x:c r="C47" s="32" t="n">
        <x:v>16515.461465999997</x:v>
      </x:c>
      <x:c r="D47" s="32" t="n">
        <x:v>124.78619683128454</x:v>
      </x:c>
      <x:c r="E47" s="32" t="n">
        <x:v>6403.954445999998</x:v>
      </x:c>
      <x:c r="F47" s="32" t="n">
        <x:v>440593.60922008194</x:v>
      </x:c>
      <x:c r="G47" s="42" t="n">
        <x:v>0.9851194479381138</x:v>
      </x:c>
      <x:c r="H47" s="42" t="n">
        <x:v>0.9854094074489458</x:v>
      </x:c>
      <x:c r="I47" s="32" t="n">
        <x:v>2506.6666666666665</x:v>
      </x:c>
      <x:c r="J47" s="32" t="n">
        <x:v>14600.988353726847</x:v>
      </x:c>
      <x:c r="K47" s="45" t="n">
        <x:v>5.824862375156987</x:v>
      </x:c>
      <x:c r="L47" s="42" t="n">
        <x:v>0.8140000000000001</x:v>
      </x:c>
    </x:row>
    <x:row r="48">
      <x:c r="A48" s="33" t="n">
        <x:v>46235</x:v>
      </x:c>
      <x:c r="B48" s="32" t="n">
        <x:v>440593.60922008194</x:v>
      </x:c>
      <x:c r="C48" s="32" t="n">
        <x:v>16018.755857999997</x:v>
      </x:c>
      <x:c r="D48" s="32" t="n">
        <x:v>115.49957591021303</x:v>
      </x:c>
      <x:c r="E48" s="32" t="n">
        <x:v>6790.896984374998</x:v>
      </x:c>
      <x:c r="F48" s="32" t="n">
        <x:v>449936.96766961715</x:v>
      </x:c>
      <x:c r="G48" s="42" t="n">
        <x:v>0.9845869371632604</x:v>
      </x:c>
      <x:c r="H48" s="42" t="n">
        <x:v>0.9848490825359876</x:v>
      </x:c>
      <x:c r="I48" s="32" t="n">
        <x:v>2623.846153846154</x:v>
      </x:c>
      <x:c r="J48" s="32" t="n">
        <x:v>14405.513590475195</x:v>
      </x:c>
      <x:c r="K48" s="45" t="n">
        <x:v>5.490227988161171</x:v>
      </x:c>
      <x:c r="L48" s="42" t="n">
        <x:v>0.8169282032302755</x:v>
      </x:c>
    </x:row>
    <x:row r="49">
      <x:c r="A49" s="33" t="n">
        <x:v>46266</x:v>
      </x:c>
      <x:c r="B49" s="32" t="n">
        <x:v>449936.96766961715</x:v>
      </x:c>
      <x:c r="C49" s="32" t="n">
        <x:v>15908.992788374995</x:v>
      </x:c>
      <x:c r="D49" s="32" t="n">
        <x:v>115.49957591024759</x:v>
      </x:c>
      <x:c r="E49" s="32" t="n">
        <x:v>6900.660053999998</x:v>
      </x:c>
      <x:c r="F49" s="32" t="n">
        <x:v>459060.7999799024</x:v>
      </x:c>
      <x:c r="G49" s="42" t="n">
        <x:v>0.9846630516053372</x:v>
      </x:c>
      <x:c r="H49" s="42" t="n">
        <x:v>0.9849197532862604</x:v>
      </x:c>
      <x:c r="I49" s="32" t="n">
        <x:v>2696.470588235294</x:v>
      </x:c>
      <x:c r="J49" s="32" t="n">
        <x:v>14177.462192291765</x:v>
      </x:c>
      <x:c r="K49" s="45" t="n">
        <x:v>5.2577848444363005</x:v>
      </x:c>
      <x:c r="L49" s="42" t="n">
        <x:v>0.8180000000000001</x:v>
      </x:c>
    </x:row>
    <x:row r="50">
      <x:c r="A50" s="33" t="n">
        <x:v>46296</x:v>
      </x:c>
      <x:c r="B50" s="32" t="n">
        <x:v>459060.7999799024</x:v>
      </x:c>
      <x:c r="C50" s="32" t="n">
        <x:v>15908.992788374995</x:v>
      </x:c>
      <x:c r="D50" s="32" t="n">
        <x:v>115.49957591024759</x:v>
      </x:c>
      <x:c r="E50" s="32" t="n">
        <x:v>6900.660053999998</x:v>
      </x:c>
      <x:c r="F50" s="32" t="n">
        <x:v>468184.63229018764</x:v>
      </x:c>
      <x:c r="G50" s="42" t="n">
        <x:v>0.9849678734182877</x:v>
      </x:c>
      <x:c r="H50" s="42" t="n">
        <x:v>0.9852194731539118</x:v>
      </x:c>
      <x:c r="I50" s="32" t="n">
        <x:v>2717.6470588235293</x:v>
      </x:c>
      <x:c r="J50" s="32" t="n">
        <x:v>14445.167793999142</x:v>
      </x:c>
      <x:c r="K50" s="45" t="n">
        <x:v>5.315321482640377</x:v>
      </x:c>
      <x:c r="L50" s="42" t="n">
        <x:v>0.8169282032302755</x:v>
      </x:c>
    </x:row>
    <x:row r="51">
      <x:c r="A51" s="33" t="n">
        <x:v>46327</x:v>
      </x:c>
      <x:c r="B51" s="32" t="n">
        <x:v>468184.63229018764</x:v>
      </x:c>
      <x:c r="C51" s="32" t="n">
        <x:v>16405.698396374995</x:v>
      </x:c>
      <x:c r="D51" s="32" t="n">
        <x:v>120.1428863707315</x:v>
      </x:c>
      <x:c r="E51" s="32" t="n">
        <x:v>6900.660053999998</x:v>
      </x:c>
      <x:c r="F51" s="32" t="n">
        <x:v>477809.81351893337</x:v>
      </x:c>
      <x:c r="G51" s="42" t="n">
        <x:v>0.9852608146913228</x:v>
      </x:c>
      <x:c r="H51" s="42" t="n">
        <x:v>0.9855174290226882</x:v>
      </x:c>
      <x:c r="I51" s="32" t="n">
        <x:v>2635.4716981132074</x:v>
      </x:c>
      <x:c r="J51" s="32" t="n">
        <x:v>14673.279515796035</x:v>
      </x:c>
      <x:c r="K51" s="45" t="n">
        <x:v>5.5676103546476945</x:v>
      </x:c>
      <x:c r="L51" s="42" t="n">
        <x:v>0.8140000000000001</x:v>
      </x:c>
    </x:row>
    <x:row r="52">
      <x:c r="A52" s="33" t="n">
        <x:v>46357</x:v>
      </x:c>
      <x:c r="B52" s="32" t="n">
        <x:v>477809.81351893337</x:v>
      </x:c>
      <x:c r="C52" s="32" t="n">
        <x:v>17289.346542749998</x:v>
      </x:c>
      <x:c r="D52" s="32" t="n">
        <x:v>124.78619683127181</x:v>
      </x:c>
      <x:c r="E52" s="32" t="n">
        <x:v>7287.6025923749985</x:v>
      </x:c>
      <x:c r="F52" s="32" t="n">
        <x:v>487936.34366613964</x:v>
      </x:c>
      <x:c r="G52" s="42" t="n">
        <x:v>0.9847479009719288</x:v>
      </x:c>
      <x:c r="H52" s="42" t="n">
        <x:v>0.9850090638725236</x:v>
      </x:c>
      <x:c r="I52" s="32" t="n">
        <x:v>2513.5714285714284</x:v>
      </x:c>
      <x:c r="J52" s="32" t="n">
        <x:v>14343.704305137073</x:v>
      </x:c>
      <x:c r="K52" s="45" t="n">
        <x:v>5.7065035598726634</x:v>
      </x:c>
      <x:c r="L52" s="42" t="n">
        <x:v>0.81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4" customHeight="1">
      <x:c r="A1" s="24" t="str">
        <x:v>ARR movement bridge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Starting ARR plus new and expansion ARR less churned ARR equals ending ARR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Month</x:v>
      </x:c>
      <x:c r="B4" s="27" t="str">
        <x:v>Starting ARR</x:v>
      </x:c>
      <x:c r="C4" s="27" t="str">
        <x:v>New ARR</x:v>
      </x:c>
      <x:c r="D4" s="27" t="str">
        <x:v>Expansion ARR</x:v>
      </x:c>
      <x:c r="E4" s="27" t="str">
        <x:v>Churned ARR</x:v>
      </x:c>
      <x:c r="F4" s="27" t="str">
        <x:v>Ending ARR</x:v>
      </x:c>
      <x:c r="G4" s="27" t="str">
        <x:v>Bridge check</x:v>
      </x:c>
      <x:c r="H4" s="31"/>
      <x:c r="I4" s="31"/>
      <x:c r="J4" s="31"/>
      <x:c r="K4" s="31"/>
      <x:c r="L4" s="31"/>
    </x:row>
    <x:row r="5">
      <x:c r="A5" s="33" t="n">
        <x:f>'SaaS Metrics'!A5</x:f>
        <x:v>44927</x:v>
      </x:c>
      <x:c r="B5" s="32" t="n">
        <x:f>'SaaS Metrics'!B5*12</x:f>
        <x:v>0</x:v>
      </x:c>
      <x:c r="C5" s="32" t="n">
        <x:f>'SaaS Metrics'!C5*12</x:f>
        <x:v>61560</x:v>
      </x:c>
      <x:c r="D5" s="32" t="n">
        <x:f>'SaaS Metrics'!D5*12</x:f>
        <x:v>0</x:v>
      </x:c>
      <x:c r="E5" s="32" t="n">
        <x:f>'SaaS Metrics'!E5*12</x:f>
        <x:v>20880</x:v>
      </x:c>
      <x:c r="F5" s="32" t="n">
        <x:f>'SaaS Metrics'!F5*12</x:f>
        <x:v>1550728.4880000001</x:v>
      </x:c>
      <x:c r="G5" s="32" t="n">
        <x:f>B5+C5+D5-E5-F5</x:f>
        <x:v>-1510048.4880000001</x:v>
      </x:c>
      <x:c r="H5" s="31"/>
      <x:c r="I5" s="31"/>
      <x:c r="J5" s="31"/>
      <x:c r="K5" s="31"/>
      <x:c r="L5" s="31"/>
    </x:row>
    <x:row r="6">
      <x:c r="A6" s="33" t="n">
        <x:f>'SaaS Metrics'!A6</x:f>
        <x:v>44958</x:v>
      </x:c>
      <x:c r="B6" s="32" t="n">
        <x:f>'SaaS Metrics'!B6*12</x:f>
        <x:v>1550728.4880000001</x:v>
      </x:c>
      <x:c r="C6" s="32" t="n">
        <x:f>'SaaS Metrics'!C6*12</x:f>
        <x:v>66312</x:v>
      </x:c>
      <x:c r="D6" s="32" t="n">
        <x:f>'SaaS Metrics'!D6*12</x:f>
        <x:v>647.0159999997122</x:v>
      </x:c>
      <x:c r="E6" s="32" t="n">
        <x:f>'SaaS Metrics'!E6*12</x:f>
        <x:v>19068</x:v>
      </x:c>
      <x:c r="F6" s="32" t="n">
        <x:f>'SaaS Metrics'!F6*12</x:f>
        <x:v>1598619.5039999997</x:v>
      </x:c>
      <x:c r="G6" s="32" t="n">
        <x:f>B6+C6+D6-E6-F6</x:f>
        <x:v>0</x:v>
      </x:c>
      <x:c r="H6" s="31"/>
      <x:c r="I6" s="31"/>
      <x:c r="J6" s="31"/>
      <x:c r="K6" s="31"/>
      <x:c r="L6" s="31"/>
    </x:row>
    <x:row r="7">
      <x:c r="A7" s="33" t="n">
        <x:f>'SaaS Metrics'!A7</x:f>
        <x:v>44986</x:v>
      </x:c>
      <x:c r="B7" s="32" t="n">
        <x:f>'SaaS Metrics'!B7*12</x:f>
        <x:v>1598619.5039999997</x:v>
      </x:c>
      <x:c r="C7" s="32" t="n">
        <x:f>'SaaS Metrics'!C7*12</x:f>
        <x:v>65748</x:v>
      </x:c>
      <x:c r="D7" s="32" t="n">
        <x:f>'SaaS Metrics'!D7*12</x:f>
        <x:v>697.2719999999972</x:v>
      </x:c>
      <x:c r="E7" s="32" t="n">
        <x:f>'SaaS Metrics'!E7*12</x:f>
        <x:v>16692</x:v>
      </x:c>
      <x:c r="F7" s="32" t="n">
        <x:f>'SaaS Metrics'!F7*12</x:f>
        <x:v>1648372.7759999998</x:v>
      </x:c>
      <x:c r="G7" s="32" t="n">
        <x:f>B7+C7+D7-E7-F7</x:f>
        <x:v>-2.3283064365386963e-10</x:v>
      </x:c>
      <x:c r="H7" s="31"/>
      <x:c r="I7" s="31"/>
      <x:c r="J7" s="31"/>
      <x:c r="K7" s="31"/>
      <x:c r="L7" s="31"/>
    </x:row>
    <x:row r="8">
      <x:c r="A8" s="33" t="n">
        <x:f>'SaaS Metrics'!A8</x:f>
        <x:v>45017</x:v>
      </x:c>
      <x:c r="B8" s="32" t="n">
        <x:f>'SaaS Metrics'!B8*12</x:f>
        <x:v>1648372.7759999998</x:v>
      </x:c>
      <x:c r="C8" s="32" t="n">
        <x:f>'SaaS Metrics'!C8*12</x:f>
        <x:v>72312</x:v>
      </x:c>
      <x:c r="D8" s="32" t="n">
        <x:f>'SaaS Metrics'!D8*12</x:f>
        <x:v>747.5280000002822</x:v>
      </x:c>
      <x:c r="E8" s="32" t="n">
        <x:f>'SaaS Metrics'!E8*12</x:f>
        <x:v>17880</x:v>
      </x:c>
      <x:c r="F8" s="32" t="n">
        <x:f>'SaaS Metrics'!F8*12</x:f>
        <x:v>1703552.304</x:v>
      </x:c>
      <x:c r="G8" s="32" t="n">
        <x:f>B8+C8+D8-E8-F8</x:f>
        <x:v>0</x:v>
      </x:c>
      <x:c r="H8" s="31"/>
      <x:c r="I8" s="31"/>
      <x:c r="J8" s="31"/>
      <x:c r="K8" s="31"/>
      <x:c r="L8" s="31"/>
    </x:row>
    <x:row r="9">
      <x:c r="A9" s="33" t="n">
        <x:f>'SaaS Metrics'!A9</x:f>
        <x:v>45047</x:v>
      </x:c>
      <x:c r="B9" s="32" t="n">
        <x:f>'SaaS Metrics'!B9*12</x:f>
        <x:v>1703552.304</x:v>
      </x:c>
      <x:c r="C9" s="32" t="n">
        <x:f>'SaaS Metrics'!C9*12</x:f>
        <x:v>77688</x:v>
      </x:c>
      <x:c r="D9" s="32" t="n">
        <x:f>'SaaS Metrics'!D9*12</x:f>
        <x:v>747.527999999933</x:v>
      </x:c>
      <x:c r="E9" s="32" t="n">
        <x:f>'SaaS Metrics'!E9*12</x:f>
        <x:v>22068</x:v>
      </x:c>
      <x:c r="F9" s="32" t="n">
        <x:f>'SaaS Metrics'!F9*12</x:f>
        <x:v>1759919.832</x:v>
      </x:c>
      <x:c r="G9" s="32" t="n">
        <x:f>B9+C9+D9-E9-F9</x:f>
        <x:v>0</x:v>
      </x:c>
      <x:c r="H9" s="31"/>
      <x:c r="I9" s="31"/>
      <x:c r="J9" s="31"/>
      <x:c r="K9" s="31"/>
      <x:c r="L9" s="31"/>
    </x:row>
    <x:row r="10">
      <x:c r="A10" s="33" t="n">
        <x:f>'SaaS Metrics'!A10</x:f>
        <x:v>45078</x:v>
      </x:c>
      <x:c r="B10" s="32" t="n">
        <x:f>'SaaS Metrics'!B10*12</x:f>
        <x:v>1759919.832</x:v>
      </x:c>
      <x:c r="C10" s="32" t="n">
        <x:f>'SaaS Metrics'!C10*12</x:f>
        <x:v>62748</x:v>
      </x:c>
      <x:c r="D10" s="32" t="n">
        <x:f>'SaaS Metrics'!D10*12</x:f>
        <x:v>596.7600000001257</x:v>
      </x:c>
      <x:c r="E10" s="32" t="n">
        <x:f>'SaaS Metrics'!E10*12</x:f>
        <x:v>22068</x:v>
      </x:c>
      <x:c r="F10" s="32" t="n">
        <x:f>'SaaS Metrics'!F10*12</x:f>
        <x:v>1801196.5920000002</x:v>
      </x:c>
      <x:c r="G10" s="32" t="n">
        <x:f>B10+C10+D10-E10-F10</x:f>
        <x:v>0</x:v>
      </x:c>
      <x:c r="H10" s="31"/>
      <x:c r="I10" s="31"/>
      <x:c r="J10" s="31"/>
      <x:c r="K10" s="31"/>
      <x:c r="L10" s="31"/>
    </x:row>
    <x:row r="11">
      <x:c r="A11" s="33" t="n">
        <x:f>'SaaS Metrics'!A11</x:f>
        <x:v>45108</x:v>
      </x:c>
      <x:c r="B11" s="32" t="n">
        <x:f>'SaaS Metrics'!B11*12</x:f>
        <x:v>1801196.5920000002</x:v>
      </x:c>
      <x:c r="C11" s="32" t="n">
        <x:f>'SaaS Metrics'!C11*12</x:f>
        <x:v>77688</x:v>
      </x:c>
      <x:c r="D11" s="32" t="n">
        <x:f>'SaaS Metrics'!D11*12</x:f>
        <x:v>797.7839999998687</x:v>
      </x:c>
      <x:c r="E11" s="32" t="n">
        <x:f>'SaaS Metrics'!E11*12</x:f>
        <x:v>17880</x:v>
      </x:c>
      <x:c r="F11" s="32" t="n">
        <x:f>'SaaS Metrics'!F11*12</x:f>
        <x:v>1861802.3760000002</x:v>
      </x:c>
      <x:c r="G11" s="32" t="n">
        <x:f>B11+C11+D11-E11-F11</x:f>
        <x:v>0</x:v>
      </x:c>
      <x:c r="H11" s="31"/>
      <x:c r="I11" s="31"/>
      <x:c r="J11" s="31"/>
      <x:c r="K11" s="31"/>
      <x:c r="L11" s="31"/>
    </x:row>
    <x:row r="12">
      <x:c r="A12" s="33" t="n">
        <x:f>'SaaS Metrics'!A12</x:f>
        <x:v>45139</x:v>
      </x:c>
      <x:c r="B12" s="32" t="n">
        <x:f>'SaaS Metrics'!B12*12</x:f>
        <x:v>1861802.3760000002</x:v>
      </x:c>
      <x:c r="C12" s="32" t="n">
        <x:f>'SaaS Metrics'!C12*12</x:f>
        <x:v>72312</x:v>
      </x:c>
      <x:c r="D12" s="32" t="n">
        <x:f>'SaaS Metrics'!D12*12</x:f>
        <x:v>697.2719999999972</x:v>
      </x:c>
      <x:c r="E12" s="32" t="n">
        <x:f>'SaaS Metrics'!E12*12</x:f>
        <x:v>22068</x:v>
      </x:c>
      <x:c r="F12" s="32" t="n">
        <x:f>'SaaS Metrics'!F12*12</x:f>
        <x:v>1912743.648</x:v>
      </x:c>
      <x:c r="G12" s="32" t="n">
        <x:f>B12+C12+D12-E12-F12</x:f>
        <x:v>0</x:v>
      </x:c>
      <x:c r="H12" s="31"/>
      <x:c r="I12" s="31"/>
      <x:c r="J12" s="31"/>
      <x:c r="K12" s="31"/>
      <x:c r="L12" s="31"/>
    </x:row>
    <x:row r="13">
      <x:c r="A13" s="33" t="n">
        <x:f>'SaaS Metrics'!A13</x:f>
        <x:v>45170</x:v>
      </x:c>
      <x:c r="B13" s="32" t="n">
        <x:f>'SaaS Metrics'!B13*12</x:f>
        <x:v>1912743.648</x:v>
      </x:c>
      <x:c r="C13" s="32" t="n">
        <x:f>'SaaS Metrics'!C13*12</x:f>
        <x:v>65748</x:v>
      </x:c>
      <x:c r="D13" s="32" t="n">
        <x:f>'SaaS Metrics'!D13*12</x:f>
        <x:v>596.7599999997765</x:v>
      </x:c>
      <x:c r="E13" s="32" t="n">
        <x:f>'SaaS Metrics'!E13*12</x:f>
        <x:v>28632</x:v>
      </x:c>
      <x:c r="F13" s="32" t="n">
        <x:f>'SaaS Metrics'!F13*12</x:f>
        <x:v>1950456.4079999998</x:v>
      </x:c>
      <x:c r="G13" s="32" t="n">
        <x:f>B13+C13+D13-E13-F13</x:f>
        <x:v>0</x:v>
      </x:c>
      <x:c r="H13" s="31"/>
      <x:c r="I13" s="31"/>
      <x:c r="J13" s="31"/>
      <x:c r="K13" s="31"/>
      <x:c r="L13" s="31"/>
    </x:row>
    <x:row r="14">
      <x:c r="A14" s="33" t="n">
        <x:f>'SaaS Metrics'!A14</x:f>
        <x:v>45200</x:v>
      </x:c>
      <x:c r="B14" s="32" t="n">
        <x:f>'SaaS Metrics'!B14*12</x:f>
        <x:v>1950456.4079999998</x:v>
      </x:c>
      <x:c r="C14" s="32" t="n">
        <x:f>'SaaS Metrics'!C14*12</x:f>
        <x:v>59184</x:v>
      </x:c>
      <x:c r="D14" s="32" t="n">
        <x:f>'SaaS Metrics'!D14*12</x:f>
        <x:v>647.0160000000615</x:v>
      </x:c>
      <x:c r="E14" s="32" t="n">
        <x:f>'SaaS Metrics'!E14*12</x:f>
        <x:v>17880</x:v>
      </x:c>
      <x:c r="F14" s="32" t="n">
        <x:f>'SaaS Metrics'!F14*12</x:f>
        <x:v>1992407.4239999999</x:v>
      </x:c>
      <x:c r="G14" s="32" t="n">
        <x:f>B14+C14+D14-E14-F14</x:f>
        <x:v>0</x:v>
      </x:c>
      <x:c r="H14" s="31"/>
      <x:c r="I14" s="31"/>
      <x:c r="J14" s="31"/>
      <x:c r="K14" s="31"/>
      <x:c r="L14" s="31"/>
    </x:row>
    <x:row r="15">
      <x:c r="A15" s="33" t="n">
        <x:f>'SaaS Metrics'!A15</x:f>
        <x:v>45231</x:v>
      </x:c>
      <x:c r="B15" s="32" t="n">
        <x:f>'SaaS Metrics'!B15*12</x:f>
        <x:v>1992407.4239999999</x:v>
      </x:c>
      <x:c r="C15" s="32" t="n">
        <x:f>'SaaS Metrics'!C15*12</x:f>
        <x:v>76500</x:v>
      </x:c>
      <x:c r="D15" s="32" t="n">
        <x:f>'SaaS Metrics'!D15*12</x:f>
        <x:v>747.5280000002822</x:v>
      </x:c>
      <x:c r="E15" s="32" t="n">
        <x:f>'SaaS Metrics'!E15*12</x:f>
        <x:v>24444</x:v>
      </x:c>
      <x:c r="F15" s="32" t="n">
        <x:f>'SaaS Metrics'!F15*12</x:f>
        <x:v>2045210.952</x:v>
      </x:c>
      <x:c r="G15" s="32" t="n">
        <x:f>B15+C15+D15-E15-F15</x:f>
        <x:v>0</x:v>
      </x:c>
      <x:c r="H15" s="31"/>
      <x:c r="I15" s="31"/>
      <x:c r="J15" s="31"/>
      <x:c r="K15" s="31"/>
      <x:c r="L15" s="31"/>
    </x:row>
    <x:row r="16">
      <x:c r="A16" s="33" t="n">
        <x:f>'SaaS Metrics'!A16</x:f>
        <x:v>45261</x:v>
      </x:c>
      <x:c r="B16" s="32" t="n">
        <x:f>'SaaS Metrics'!B16*12</x:f>
        <x:v>2045210.952</x:v>
      </x:c>
      <x:c r="C16" s="32" t="n">
        <x:f>'SaaS Metrics'!C16*12</x:f>
        <x:v>77688</x:v>
      </x:c>
      <x:c r="D16" s="32" t="n">
        <x:f>'SaaS Metrics'!D16*12</x:f>
        <x:v>747.527999999933</x:v>
      </x:c>
      <x:c r="E16" s="32" t="n">
        <x:f>'SaaS Metrics'!E16*12</x:f>
        <x:v>22068</x:v>
      </x:c>
      <x:c r="F16" s="32" t="n">
        <x:f>'SaaS Metrics'!F16*12</x:f>
        <x:v>2101578.48</x:v>
      </x:c>
      <x:c r="G16" s="32" t="n">
        <x:f>B16+C16+D16-E16-F16</x:f>
        <x:v>0</x:v>
      </x:c>
      <x:c r="H16" s="31"/>
      <x:c r="I16" s="31"/>
      <x:c r="J16" s="31"/>
      <x:c r="K16" s="31"/>
      <x:c r="L16" s="31"/>
    </x:row>
    <x:row r="17">
      <x:c r="A17" s="33" t="n">
        <x:f>'SaaS Metrics'!A17</x:f>
        <x:v>45292</x:v>
      </x:c>
      <x:c r="B17" s="32" t="n">
        <x:f>'SaaS Metrics'!B17*12</x:f>
        <x:v>2101578.48</x:v>
      </x:c>
      <x:c r="C17" s="32" t="n">
        <x:f>'SaaS Metrics'!C17*12</x:f>
        <x:v>80407.08</x:v>
      </x:c>
      <x:c r="D17" s="32" t="n">
        <x:f>'SaaS Metrics'!D17*12</x:f>
        <x:v>74276.92331999991</x:v>
      </x:c>
      <x:c r="E17" s="32" t="n">
        <x:f>'SaaS Metrics'!E17*12</x:f>
        <x:v>29634.119999999995</x:v>
      </x:c>
      <x:c r="F17" s="32" t="n">
        <x:f>'SaaS Metrics'!F17*12</x:f>
        <x:v>2226628.36332</x:v>
      </x:c>
      <x:c r="G17" s="32" t="n">
        <x:f>B17+C17+D17-E17-F17</x:f>
        <x:v>0</x:v>
      </x:c>
      <x:c r="H17" s="31"/>
      <x:c r="I17" s="31"/>
      <x:c r="J17" s="31"/>
      <x:c r="K17" s="31"/>
      <x:c r="L17" s="31"/>
    </x:row>
    <x:row r="18">
      <x:c r="A18" s="33" t="n">
        <x:f>'SaaS Metrics'!A18</x:f>
        <x:v>45323</x:v>
      </x:c>
      <x:c r="B18" s="32" t="n">
        <x:f>'SaaS Metrics'!B18*12</x:f>
        <x:v>2226628.36332</x:v>
      </x:c>
      <x:c r="C18" s="32" t="n">
        <x:f>'SaaS Metrics'!C18*12</x:f>
        <x:v>84741.66</x:v>
      </x:c>
      <x:c r="D18" s="32" t="n">
        <x:f>'SaaS Metrics'!D18*12</x:f>
        <x:v>773.691479999914</x:v>
      </x:c>
      <x:c r="E18" s="32" t="n">
        <x:f>'SaaS Metrics'!E18*12</x:f>
        <x:v>28404.54</x:v>
      </x:c>
      <x:c r="F18" s="32" t="n">
        <x:f>'SaaS Metrics'!F18*12</x:f>
        <x:v>2283739.1748</x:v>
      </x:c>
      <x:c r="G18" s="32" t="n">
        <x:f>B18+C18+D18-E18-F18</x:f>
        <x:v>0</x:v>
      </x:c>
      <x:c r="H18" s="31"/>
      <x:c r="I18" s="31"/>
      <x:c r="J18" s="31"/>
      <x:c r="K18" s="31"/>
      <x:c r="L18" s="31"/>
    </x:row>
    <x:row r="19">
      <x:c r="A19" s="33" t="n">
        <x:f>'SaaS Metrics'!A19</x:f>
        <x:v>45352</x:v>
      </x:c>
      <x:c r="B19" s="32" t="n">
        <x:f>'SaaS Metrics'!B19*12</x:f>
        <x:v>2283739.1748</x:v>
      </x:c>
      <x:c r="C19" s="32" t="n">
        <x:f>'SaaS Metrics'!C19*12</x:f>
        <x:v>95869.98</x:v>
      </x:c>
      <x:c r="D19" s="32" t="n">
        <x:f>'SaaS Metrics'!D19*12</x:f>
        <x:v>877.7213999995474</x:v>
      </x:c>
      <x:c r="E19" s="32" t="n">
        <x:f>'SaaS Metrics'!E19*12</x:f>
        <x:v>25945.379999999997</x:v>
      </x:c>
      <x:c r="F19" s="32" t="n">
        <x:f>'SaaS Metrics'!F19*12</x:f>
        <x:v>2354541.4961999995</x:v>
      </x:c>
      <x:c r="G19" s="32" t="n">
        <x:f>B19+C19+D19-E19-F19</x:f>
        <x:v>4.656612873077393e-10</x:v>
      </x:c>
      <x:c r="H19" s="31"/>
      <x:c r="I19" s="31"/>
      <x:c r="J19" s="31"/>
      <x:c r="K19" s="31"/>
      <x:c r="L19" s="31"/>
    </x:row>
    <x:row r="20">
      <x:c r="A20" s="33" t="n">
        <x:f>'SaaS Metrics'!A20</x:f>
        <x:v>45383</x:v>
      </x:c>
      <x:c r="B20" s="32" t="n">
        <x:f>'SaaS Metrics'!B20*12</x:f>
        <x:v>2354541.4961999995</x:v>
      </x:c>
      <x:c r="C20" s="32" t="n">
        <x:f>'SaaS Metrics'!C20*12</x:f>
        <x:v>112612.13999999998</x:v>
      </x:c>
      <x:c r="D20" s="32" t="n">
        <x:f>'SaaS Metrics'!D20*12</x:f>
        <x:v>1235.293200000524</x:v>
      </x:c>
      <x:c r="E20" s="32" t="n">
        <x:f>'SaaS Metrics'!E20*12</x:f>
        <x:v>28404.54</x:v>
      </x:c>
      <x:c r="F20" s="32" t="n">
        <x:f>'SaaS Metrics'!F20*12</x:f>
        <x:v>2439984.3893999998</x:v>
      </x:c>
      <x:c r="G20" s="32" t="n">
        <x:f>B20+C20+D20-E20-F20</x:f>
        <x:v>4.656612873077393e-10</x:v>
      </x:c>
      <x:c r="H20" s="31"/>
      <x:c r="I20" s="31"/>
      <x:c r="J20" s="31"/>
      <x:c r="K20" s="31"/>
      <x:c r="L20" s="31"/>
    </x:row>
    <x:row r="21">
      <x:c r="A21" s="33" t="n">
        <x:f>'SaaS Metrics'!A21</x:f>
        <x:v>45413</x:v>
      </x:c>
      <x:c r="B21" s="32" t="n">
        <x:f>'SaaS Metrics'!B21*12</x:f>
        <x:v>2439984.3893999998</x:v>
      </x:c>
      <x:c r="C21" s="32" t="n">
        <x:f>'SaaS Metrics'!C21*12</x:f>
        <x:v>105818.4</x:v>
      </x:c>
      <x:c r="D21" s="32" t="n">
        <x:f>'SaaS Metrics'!D21*12</x:f>
        <x:v>1183.2782400000906</x:v>
      </x:c>
      <x:c r="E21" s="32" t="n">
        <x:f>'SaaS Metrics'!E21*12</x:f>
        <x:v>30863.699999999993</x:v>
      </x:c>
      <x:c r="F21" s="32" t="n">
        <x:f>'SaaS Metrics'!F21*12</x:f>
        <x:v>2516122.36764</x:v>
      </x:c>
      <x:c r="G21" s="32" t="n">
        <x:f>B21+C21+D21-E21-F21</x:f>
        <x:v>-4.656612873077393e-10</x:v>
      </x:c>
      <x:c r="H21" s="31"/>
      <x:c r="I21" s="31"/>
      <x:c r="J21" s="31"/>
      <x:c r="K21" s="31"/>
      <x:c r="L21" s="31"/>
    </x:row>
    <x:row r="22">
      <x:c r="A22" s="33" t="n">
        <x:f>'SaaS Metrics'!A22</x:f>
        <x:v>45444</x:v>
      </x:c>
      <x:c r="B22" s="32" t="n">
        <x:f>'SaaS Metrics'!B22*12</x:f>
        <x:v>2516122.36764</x:v>
      </x:c>
      <x:c r="C22" s="32" t="n">
        <x:f>'SaaS Metrics'!C22*12</x:f>
        <x:v>114487.56</x:v>
      </x:c>
      <x:c r="D22" s="32" t="n">
        <x:f>'SaaS Metrics'!D22*12</x:f>
        <x:v>1339.3231199994862</x:v>
      </x:c>
      <x:c r="E22" s="32" t="n">
        <x:f>'SaaS Metrics'!E22*12</x:f>
        <x:v>27758.699999999997</x:v>
      </x:c>
      <x:c r="F22" s="32" t="n">
        <x:f>'SaaS Metrics'!F22*12</x:f>
        <x:v>2604190.5507599995</x:v>
      </x:c>
      <x:c r="G22" s="32" t="n">
        <x:f>B22+C22+D22-E22-F22</x:f>
        <x:v>-4.656612873077393e-10</x:v>
      </x:c>
      <x:c r="H22" s="31"/>
      <x:c r="I22" s="31"/>
      <x:c r="J22" s="31"/>
      <x:c r="K22" s="31"/>
      <x:c r="L22" s="31"/>
    </x:row>
    <x:row r="23">
      <x:c r="A23" s="33" t="n">
        <x:f>'SaaS Metrics'!A23</x:f>
        <x:v>45474</x:v>
      </x:c>
      <x:c r="B23" s="32" t="n">
        <x:f>'SaaS Metrics'!B23*12</x:f>
        <x:v>2604190.5507599995</x:v>
      </x:c>
      <x:c r="C23" s="32" t="n">
        <x:f>'SaaS Metrics'!C23*12</x:f>
        <x:v>105818.4</x:v>
      </x:c>
      <x:c r="D23" s="32" t="n">
        <x:f>'SaaS Metrics'!D23*12</x:f>
        <x:v>1183.2782400006254</x:v>
      </x:c>
      <x:c r="E23" s="32" t="n">
        <x:f>'SaaS Metrics'!E23*12</x:f>
        <x:v>25945.379999999997</x:v>
      </x:c>
      <x:c r="F23" s="32" t="n">
        <x:f>'SaaS Metrics'!F23*12</x:f>
        <x:v>2685246.8490000004</x:v>
      </x:c>
      <x:c r="G23" s="32" t="n">
        <x:f>B23+C23+D23-E23-F23</x:f>
        <x:v>0</x:v>
      </x:c>
      <x:c r="H23" s="31"/>
      <x:c r="I23" s="31"/>
      <x:c r="J23" s="31"/>
      <x:c r="K23" s="31"/>
      <x:c r="L23" s="31"/>
    </x:row>
    <x:row r="24">
      <x:c r="A24" s="33" t="n">
        <x:f>'SaaS Metrics'!A24</x:f>
        <x:v>45505</x:v>
      </x:c>
      <x:c r="B24" s="32" t="n">
        <x:f>'SaaS Metrics'!B24*12</x:f>
        <x:v>2685246.8490000004</x:v>
      </x:c>
      <x:c r="C24" s="32" t="n">
        <x:f>'SaaS Metrics'!C24*12</x:f>
        <x:v>108923.4</x:v>
      </x:c>
      <x:c r="D24" s="32" t="n">
        <x:f>'SaaS Metrics'!D24*12</x:f>
        <x:v>1235.2931999999946</x:v>
      </x:c>
      <x:c r="E24" s="32" t="n">
        <x:f>'SaaS Metrics'!E24*12</x:f>
        <x:v>29634.119999999995</x:v>
      </x:c>
      <x:c r="F24" s="32" t="n">
        <x:f>'SaaS Metrics'!F24*12</x:f>
        <x:v>2765771.4222</x:v>
      </x:c>
      <x:c r="G24" s="32" t="n">
        <x:f>B24+C24+D24-E24-F24</x:f>
        <x:v>4.656612873077393e-10</x:v>
      </x:c>
      <x:c r="H24" s="31"/>
      <x:c r="I24" s="31"/>
      <x:c r="J24" s="31"/>
      <x:c r="K24" s="31"/>
      <x:c r="L24" s="31"/>
    </x:row>
    <x:row r="25">
      <x:c r="A25" s="33" t="n">
        <x:f>'SaaS Metrics'!A25</x:f>
        <x:v>45536</x:v>
      </x:c>
      <x:c r="B25" s="32" t="n">
        <x:f>'SaaS Metrics'!B25*12</x:f>
        <x:v>2765771.4222</x:v>
      </x:c>
      <x:c r="C25" s="32" t="n">
        <x:f>'SaaS Metrics'!C25*12</x:f>
        <x:v>94640.4</x:v>
      </x:c>
      <x:c r="D25" s="32" t="n">
        <x:f>'SaaS Metrics'!D25*12</x:f>
        <x:v>877.7213999997548</x:v>
      </x:c>
      <x:c r="E25" s="32" t="n">
        <x:f>'SaaS Metrics'!E25*12</x:f>
        <x:v>30863.699999999993</x:v>
      </x:c>
      <x:c r="F25" s="32" t="n">
        <x:f>'SaaS Metrics'!F25*12</x:f>
        <x:v>2830425.8436</x:v>
      </x:c>
      <x:c r="G25" s="32" t="n">
        <x:f>B25+C25+D25-E25-F25</x:f>
        <x:v>-4.656612873077393e-10</x:v>
      </x:c>
      <x:c r="H25" s="31"/>
      <x:c r="I25" s="31"/>
      <x:c r="J25" s="31"/>
      <x:c r="K25" s="31"/>
      <x:c r="L25" s="31"/>
    </x:row>
    <x:row r="26">
      <x:c r="A26" s="33" t="n">
        <x:f>'SaaS Metrics'!A26</x:f>
        <x:v>45566</x:v>
      </x:c>
      <x:c r="B26" s="32" t="n">
        <x:f>'SaaS Metrics'!B26*12</x:f>
        <x:v>2830425.8436</x:v>
      </x:c>
      <x:c r="C26" s="32" t="n">
        <x:f>'SaaS Metrics'!C26*12</x:f>
        <x:v>101434.13999999998</x:v>
      </x:c>
      <x:c r="D26" s="32" t="n">
        <x:f>'SaaS Metrics'!D26*12</x:f>
        <x:v>877.7213999996784</x:v>
      </x:c>
      <x:c r="E26" s="32" t="n">
        <x:f>'SaaS Metrics'!E26*12</x:f>
        <x:v>35198.28</x:v>
      </x:c>
      <x:c r="F26" s="32" t="n">
        <x:f>'SaaS Metrics'!F26*12</x:f>
        <x:v>2897539.425</x:v>
      </x:c>
      <x:c r="G26" s="32" t="n">
        <x:f>B26+C26+D26-E26-F26</x:f>
        <x:v>0</x:v>
      </x:c>
      <x:c r="H26" s="31"/>
      <x:c r="I26" s="31"/>
      <x:c r="J26" s="31"/>
      <x:c r="K26" s="31"/>
      <x:c r="L26" s="31"/>
    </x:row>
    <x:row r="27">
      <x:c r="A27" s="33" t="n">
        <x:f>'SaaS Metrics'!A27</x:f>
        <x:v>45597</x:v>
      </x:c>
      <x:c r="B27" s="32" t="n">
        <x:f>'SaaS Metrics'!B27*12</x:f>
        <x:v>2897539.425</x:v>
      </x:c>
      <x:c r="C27" s="32" t="n">
        <x:f>'SaaS Metrics'!C27*12</x:f>
        <x:v>100204.56</x:v>
      </x:c>
      <x:c r="D27" s="32" t="n">
        <x:f>'SaaS Metrics'!D27*12</x:f>
        <x:v>877.7214000000713</x:v>
      </x:c>
      <x:c r="E27" s="32" t="n">
        <x:f>'SaaS Metrics'!E27*12</x:f>
        <x:v>35198.28</x:v>
      </x:c>
      <x:c r="F27" s="32" t="n">
        <x:f>'SaaS Metrics'!F27*12</x:f>
        <x:v>2963423.4263999998</x:v>
      </x:c>
      <x:c r="G27" s="32" t="n">
        <x:f>B27+C27+D27-E27-F27</x:f>
        <x:v>4.656612873077393e-10</x:v>
      </x:c>
      <x:c r="H27" s="31"/>
      <x:c r="I27" s="31"/>
      <x:c r="J27" s="31"/>
      <x:c r="K27" s="31"/>
      <x:c r="L27" s="31"/>
    </x:row>
    <x:row r="28">
      <x:c r="A28" s="33" t="n">
        <x:f>'SaaS Metrics'!A28</x:f>
        <x:v>45627</x:v>
      </x:c>
      <x:c r="B28" s="32" t="n">
        <x:f>'SaaS Metrics'!B28*12</x:f>
        <x:v>2963423.4263999998</x:v>
      </x:c>
      <x:c r="C28" s="32" t="n">
        <x:f>'SaaS Metrics'!C28*12</x:f>
        <x:v>97099.56</x:v>
      </x:c>
      <x:c r="D28" s="32" t="n">
        <x:f>'SaaS Metrics'!D28*12</x:f>
        <x:v>825.7064399997689</x:v>
      </x:c>
      <x:c r="E28" s="32" t="n">
        <x:f>'SaaS Metrics'!E28*12</x:f>
        <x:v>35198.28</x:v>
      </x:c>
      <x:c r="F28" s="32" t="n">
        <x:f>'SaaS Metrics'!F28*12</x:f>
        <x:v>3026150.4128399994</x:v>
      </x:c>
      <x:c r="G28" s="32" t="n">
        <x:f>B28+C28+D28-E28-F28</x:f>
        <x:v>4.656612873077393e-10</x:v>
      </x:c>
      <x:c r="H28" s="31"/>
      <x:c r="I28" s="31"/>
      <x:c r="J28" s="31"/>
      <x:c r="K28" s="31"/>
      <x:c r="L28" s="31"/>
    </x:row>
    <x:row r="29">
      <x:c r="A29" s="33" t="n">
        <x:f>'SaaS Metrics'!A29</x:f>
        <x:v>45658</x:v>
      </x:c>
      <x:c r="B29" s="32" t="n">
        <x:f>'SaaS Metrics'!B29*12</x:f>
        <x:v>3026150.4128399994</x:v>
      </x:c>
      <x:c r="C29" s="32" t="n">
        <x:f>'SaaS Metrics'!C29*12</x:f>
        <x:v>121039.85519999998</x:v>
      </x:c>
      <x:c r="D29" s="32" t="n">
        <x:f>'SaaS Metrics'!D29*12</x:f>
        <x:v>107193.79291140077</x:v>
      </x:c>
      <x:c r="E29" s="32" t="n">
        <x:f>'SaaS Metrics'!E29*12</x:f>
        <x:v>35157.6045</x:v>
      </x:c>
      <x:c r="F29" s="32" t="n">
        <x:f>'SaaS Metrics'!F29*12</x:f>
        <x:v>3219226.4564514</x:v>
      </x:c>
      <x:c r="G29" s="32" t="n">
        <x:f>B29+C29+D29-E29-F29</x:f>
        <x:v>0</x:v>
      </x:c>
      <x:c r="H29" s="31"/>
      <x:c r="I29" s="31"/>
      <x:c r="J29" s="31"/>
      <x:c r="K29" s="31"/>
      <x:c r="L29" s="31"/>
    </x:row>
    <x:row r="30">
      <x:c r="A30" s="33" t="n">
        <x:f>'SaaS Metrics'!A30</x:f>
        <x:v>45689</x:v>
      </x:c>
      <x:c r="B30" s="32" t="n">
        <x:f>'SaaS Metrics'!B30*12</x:f>
        <x:v>3219226.4564514</x:v>
      </x:c>
      <x:c r="C30" s="32" t="n">
        <x:f>'SaaS Metrics'!C30*12</x:f>
        <x:v>135771.34139999998</x:v>
      </x:c>
      <x:c r="D30" s="32" t="n">
        <x:f>'SaaS Metrics'!D30*12</x:f>
        <x:v>1440.034912799385</x:v>
      </x:c>
      <x:c r="E30" s="32" t="n">
        <x:f>'SaaS Metrics'!E30*12</x:f>
        <x:v>40248.06569999999</x:v>
      </x:c>
      <x:c r="F30" s="32" t="n">
        <x:f>'SaaS Metrics'!F30*12</x:f>
        <x:v>3316189.7670642</x:v>
      </x:c>
      <x:c r="G30" s="32" t="n">
        <x:f>B30+C30+D30-E30-F30</x:f>
        <x:v>-4.656612873077393e-10</x:v>
      </x:c>
      <x:c r="H30" s="31"/>
      <x:c r="I30" s="31"/>
      <x:c r="J30" s="31"/>
      <x:c r="K30" s="31"/>
      <x:c r="L30" s="31"/>
    </x:row>
    <x:row r="31">
      <x:c r="A31" s="33" t="n">
        <x:f>'SaaS Metrics'!A31</x:f>
        <x:v>45717</x:v>
      </x:c>
      <x:c r="B31" s="32" t="n">
        <x:f>'SaaS Metrics'!B31*12</x:f>
        <x:v>3316189.7670642</x:v>
      </x:c>
      <x:c r="C31" s="32" t="n">
        <x:f>'SaaS Metrics'!C31*12</x:f>
        <x:v>141530.24699999997</x:v>
      </x:c>
      <x:c r="D31" s="32" t="n">
        <x:f>'SaaS Metrics'!D31*12</x:f>
        <x:v>1493.8703964000051</x:v>
      </x:c>
      <x:c r="E31" s="32" t="n">
        <x:f>'SaaS Metrics'!E31*12</x:f>
        <x:v>36430.21979999999</x:v>
      </x:c>
      <x:c r="F31" s="32" t="n">
        <x:f>'SaaS Metrics'!F31*12</x:f>
        <x:v>3422783.6646605995</x:v>
      </x:c>
      <x:c r="G31" s="32" t="n">
        <x:f>B31+C31+D31-E31-F31</x:f>
        <x:v>0</x:v>
      </x:c>
      <x:c r="H31" s="31"/>
      <x:c r="I31" s="31"/>
      <x:c r="J31" s="31"/>
      <x:c r="K31" s="31"/>
      <x:c r="L31" s="31"/>
    </x:row>
    <x:row r="32">
      <x:c r="A32" s="33" t="n">
        <x:f>'SaaS Metrics'!A32</x:f>
        <x:v>45748</x:v>
      </x:c>
      <x:c r="B32" s="32" t="n">
        <x:f>'SaaS Metrics'!B32*12</x:f>
        <x:v>3422783.6646605995</x:v>
      </x:c>
      <x:c r="C32" s="32" t="n">
        <x:f>'SaaS Metrics'!C32*12</x:f>
        <x:v>144743.922</x:v>
      </x:c>
      <x:c r="D32" s="32" t="n">
        <x:f>'SaaS Metrics'!D32*12</x:f>
        <x:v>1069.9480997999308</x:v>
      </x:c>
      <x:c r="E32" s="32" t="n">
        <x:f>'SaaS Metrics'!E32*12</x:f>
        <x:v>56367.85949999999</x:v>
      </x:c>
      <x:c r="F32" s="32" t="n">
        <x:f>'SaaS Metrics'!F32*12</x:f>
        <x:v>3512229.6752603995</x:v>
      </x:c>
      <x:c r="G32" s="32" t="n">
        <x:f>B32+C32+D32-E32-F32</x:f>
        <x:v>0</x:v>
      </x:c>
      <x:c r="H32" s="31"/>
      <x:c r="I32" s="31"/>
      <x:c r="J32" s="31"/>
      <x:c r="K32" s="31"/>
      <x:c r="L32" s="31"/>
    </x:row>
    <x:row r="33">
      <x:c r="A33" s="33" t="n">
        <x:f>'SaaS Metrics'!A33</x:f>
        <x:v>45778</x:v>
      </x:c>
      <x:c r="B33" s="32" t="n">
        <x:f>'SaaS Metrics'!B33*12</x:f>
        <x:v>3512229.6752603995</x:v>
      </x:c>
      <x:c r="C33" s="32" t="n">
        <x:f>'SaaS Metrics'!C33*12</x:f>
        <x:v>162020.6388</x:v>
      </x:c>
      <x:c r="D33" s="32" t="n">
        <x:f>'SaaS Metrics'!D33*12</x:f>
        <x:v>1655.3768471999174</x:v>
      </x:c>
      <x:c r="E33" s="32" t="n">
        <x:f>'SaaS Metrics'!E33*12</x:f>
        <x:v>47279.586599999995</x:v>
      </x:c>
      <x:c r="F33" s="32" t="n">
        <x:f>'SaaS Metrics'!F33*12</x:f>
        <x:v>3628626.1043075994</x:v>
      </x:c>
      <x:c r="G33" s="32" t="n">
        <x:f>B33+C33+D33-E33-F33</x:f>
        <x:v>0</x:v>
      </x:c>
      <x:c r="H33" s="31"/>
      <x:c r="I33" s="31"/>
      <x:c r="J33" s="31"/>
      <x:c r="K33" s="31"/>
      <x:c r="L33" s="31"/>
    </x:row>
    <x:row r="34">
      <x:c r="A34" s="33" t="n">
        <x:f>'SaaS Metrics'!A34</x:f>
        <x:v>45809</x:v>
      </x:c>
      <x:c r="B34" s="32" t="n">
        <x:f>'SaaS Metrics'!B34*12</x:f>
        <x:v>3628626.1043075994</x:v>
      </x:c>
      <x:c r="C34" s="32" t="n">
        <x:f>'SaaS Metrics'!C34*12</x:f>
        <x:v>154989.11789999998</x:v>
      </x:c>
      <x:c r="D34" s="32" t="n">
        <x:f>'SaaS Metrics'!D34*12</x:f>
        <x:v>1231.454550600105</x:v>
      </x:c>
      <x:c r="E34" s="32" t="n">
        <x:f>'SaaS Metrics'!E34*12</x:f>
        <x:v>58244.645699999994</x:v>
      </x:c>
      <x:c r="F34" s="32" t="n">
        <x:f>'SaaS Metrics'!F34*12</x:f>
        <x:v>3726602.0310581997</x:v>
      </x:c>
      <x:c r="G34" s="32" t="n">
        <x:f>B34+C34+D34-E34-F34</x:f>
        <x:v>0</x:v>
      </x:c>
      <x:c r="H34" s="31"/>
      <x:c r="I34" s="31"/>
      <x:c r="J34" s="31"/>
      <x:c r="K34" s="31"/>
      <x:c r="L34" s="31"/>
    </x:row>
    <x:row r="35">
      <x:c r="A35" s="33" t="n">
        <x:f>'SaaS Metrics'!A35</x:f>
        <x:v>45839</x:v>
      </x:c>
      <x:c r="B35" s="32" t="n">
        <x:f>'SaaS Metrics'!B35*12</x:f>
        <x:v>3726602.0310581997</x:v>
      </x:c>
      <x:c r="C35" s="32" t="n">
        <x:f>'SaaS Metrics'!C35*12</x:f>
        <x:v>159475.40819999998</x:v>
      </x:c>
      <x:c r="D35" s="32" t="n">
        <x:f>'SaaS Metrics'!D35*12</x:f>
        <x:v>1285.290034199672</x:v>
      </x:c>
      <x:c r="E35" s="32" t="n">
        <x:f>'SaaS Metrics'!E35*12</x:f>
        <x:v>60789.876299999996</x:v>
      </x:c>
      <x:c r="F35" s="32" t="n">
        <x:f>'SaaS Metrics'!F35*12</x:f>
        <x:v>3826572.852992399</x:v>
      </x:c>
      <x:c r="G35" s="32" t="n">
        <x:f>B35+C35+D35-E35-F35</x:f>
        <x:v>0</x:v>
      </x:c>
      <x:c r="H35" s="31"/>
      <x:c r="I35" s="31"/>
      <x:c r="J35" s="31"/>
      <x:c r="K35" s="31"/>
      <x:c r="L35" s="31"/>
    </x:row>
    <x:row r="36">
      <x:c r="A36" s="33" t="n">
        <x:f>'SaaS Metrics'!A36</x:f>
        <x:v>45870</x:v>
      </x:c>
      <x:c r="B36" s="32" t="n">
        <x:f>'SaaS Metrics'!B36*12</x:f>
        <x:v>3826572.852992399</x:v>
      </x:c>
      <x:c r="C36" s="32" t="n">
        <x:f>'SaaS Metrics'!C36*12</x:f>
        <x:v>137043.95669999998</x:v>
      </x:c>
      <x:c r="D36" s="32" t="n">
        <x:f>'SaaS Metrics'!D36*12</x:f>
        <x:v>1332.3639456006713</x:v>
      </x:c>
      <x:c r="E36" s="32" t="n">
        <x:f>'SaaS Metrics'!E36*12</x:f>
        <x:v>44130.185099999995</x:v>
      </x:c>
      <x:c r="F36" s="32" t="n">
        <x:f>'SaaS Metrics'!F36*12</x:f>
        <x:v>3920818.988538</x:v>
      </x:c>
      <x:c r="G36" s="32" t="n">
        <x:f>B36+C36+D36-E36-F36</x:f>
        <x:v>0</x:v>
      </x:c>
      <x:c r="H36" s="31"/>
      <x:c r="I36" s="31"/>
      <x:c r="J36" s="31"/>
      <x:c r="K36" s="31"/>
      <x:c r="L36" s="31"/>
    </x:row>
    <x:row r="37">
      <x:c r="A37" s="33" t="n">
        <x:f>'SaaS Metrics'!A37</x:f>
        <x:v>45901</x:v>
      </x:c>
      <x:c r="B37" s="32" t="n">
        <x:f>'SaaS Metrics'!B37*12</x:f>
        <x:v>3920818.988538</x:v>
      </x:c>
      <x:c r="C37" s="32" t="n">
        <x:f>'SaaS Metrics'!C37*12</x:f>
        <x:v>139653.4608</x:v>
      </x:c>
      <x:c r="D37" s="32" t="n">
        <x:f>'SaaS Metrics'!D37*12</x:f>
        <x:v>1016.1126161990323</x:v>
      </x:c>
      <x:c r="E37" s="32" t="n">
        <x:f>'SaaS Metrics'!E37*12</x:f>
        <x:v>65944.61099999999</x:v>
      </x:c>
      <x:c r="F37" s="32" t="n">
        <x:f>'SaaS Metrics'!F37*12</x:f>
        <x:v>3995543.950954199</x:v>
      </x:c>
      <x:c r="G37" s="32" t="n">
        <x:f>B37+C37+D37-E37-F37</x:f>
        <x:v>0</x:v>
      </x:c>
      <x:c r="H37" s="31"/>
      <x:c r="I37" s="31"/>
      <x:c r="J37" s="31"/>
      <x:c r="K37" s="31"/>
      <x:c r="L37" s="31"/>
    </x:row>
    <x:row r="38">
      <x:c r="A38" s="33" t="n">
        <x:f>'SaaS Metrics'!A38</x:f>
        <x:v>45931</x:v>
      </x:c>
      <x:c r="B38" s="32" t="n">
        <x:f>'SaaS Metrics'!B38*12</x:f>
        <x:v>3995543.950954199</x:v>
      </x:c>
      <x:c r="C38" s="32" t="n">
        <x:f>'SaaS Metrics'!C38*12</x:f>
        <x:v>150502.8276</x:v>
      </x:c>
      <x:c r="D38" s="32" t="n">
        <x:f>'SaaS Metrics'!D38*12</x:f>
        <x:v>1069.948099800651</x:v>
      </x:c>
      <x:c r="E38" s="32" t="n">
        <x:f>'SaaS Metrics'!E38*12</x:f>
        <x:v>68489.8416</x:v>
      </x:c>
      <x:c r="F38" s="32" t="n">
        <x:f>'SaaS Metrics'!F38*12</x:f>
        <x:v>4078626.8850539997</x:v>
      </x:c>
      <x:c r="G38" s="32" t="n">
        <x:f>B38+C38+D38-E38-F38</x:f>
        <x:v>0</x:v>
      </x:c>
      <x:c r="H38" s="31"/>
      <x:c r="I38" s="31"/>
      <x:c r="J38" s="31"/>
      <x:c r="K38" s="31"/>
      <x:c r="L38" s="31"/>
    </x:row>
    <x:row r="39">
      <x:c r="A39" s="33" t="n">
        <x:f>'SaaS Metrics'!A39</x:f>
        <x:v>45962</x:v>
      </x:c>
      <x:c r="B39" s="32" t="n">
        <x:f>'SaaS Metrics'!B39*12</x:f>
        <x:v>4078626.8850539997</x:v>
      </x:c>
      <x:c r="C39" s="32" t="n">
        <x:f>'SaaS Metrics'!C39*12</x:f>
        <x:v>142802.86229999998</x:v>
      </x:c>
      <x:c r="D39" s="32" t="n">
        <x:f>'SaaS Metrics'!D39*12</x:f>
        <x:v>1069.9480997997998</x:v>
      </x:c>
      <x:c r="E39" s="32" t="n">
        <x:f>'SaaS Metrics'!E39*12</x:f>
        <x:v>56972.03039999999</x:v>
      </x:c>
      <x:c r="F39" s="32" t="n">
        <x:f>'SaaS Metrics'!F39*12</x:f>
        <x:v>4165527.6650537993</x:v>
      </x:c>
      <x:c r="G39" s="32" t="n">
        <x:f>B39+C39+D39-E39-F39</x:f>
        <x:v>0</x:v>
      </x:c>
      <x:c r="H39" s="31"/>
      <x:c r="I39" s="31"/>
      <x:c r="J39" s="31"/>
      <x:c r="K39" s="31"/>
      <x:c r="L39" s="31"/>
    </x:row>
    <x:row r="40">
      <x:c r="A40" s="33" t="n">
        <x:f>'SaaS Metrics'!A40</x:f>
        <x:v>45992</x:v>
      </x:c>
      <x:c r="B40" s="32" t="n">
        <x:f>'SaaS Metrics'!B40*12</x:f>
        <x:v>4165527.6650537993</x:v>
      </x:c>
      <x:c r="C40" s="32" t="n">
        <x:f>'SaaS Metrics'!C40*12</x:f>
        <x:v>137043.95669999998</x:v>
      </x:c>
      <x:c r="D40" s="32" t="n">
        <x:f>'SaaS Metrics'!D40*12</x:f>
        <x:v>908.4416490003787</x:v>
      </x:c>
      <x:c r="E40" s="32" t="n">
        <x:f>'SaaS Metrics'!E40*12</x:f>
        <x:v>72307.6875</x:v>
      </x:c>
      <x:c r="F40" s="32" t="n">
        <x:f>'SaaS Metrics'!F40*12</x:f>
        <x:v>4231172.3759028</x:v>
      </x:c>
      <x:c r="G40" s="32" t="n">
        <x:f>B40+C40+D40-E40-F40</x:f>
        <x:v>-9.313225746154785e-10</x:v>
      </x:c>
      <x:c r="H40" s="31"/>
      <x:c r="I40" s="31"/>
      <x:c r="J40" s="31"/>
      <x:c r="K40" s="31"/>
      <x:c r="L40" s="31"/>
    </x:row>
    <x:row r="41">
      <x:c r="A41" s="33" t="n">
        <x:f>'SaaS Metrics'!A41</x:f>
        <x:v>46023</x:v>
      </x:c>
      <x:c r="B41" s="32" t="n">
        <x:f>'SaaS Metrics'!B41*12</x:f>
        <x:v>4231172.3759028</x:v>
      </x:c>
      <x:c r="C41" s="32" t="n">
        <x:f>'SaaS Metrics'!C41*12</x:f>
        <x:v>169008.51799349996</x:v>
      </x:c>
      <x:c r="D41" s="32" t="n">
        <x:f>'SaaS Metrics'!D41*12</x:f>
        <x:v>149365.58861646836</x:v>
      </x:c>
      <x:c r="E41" s="32" t="n">
        <x:f>'SaaS Metrics'!E41*12</x:f>
        <x:v>60975.04825349999</x:v>
      </x:c>
      <x:c r="F41" s="32" t="n">
        <x:f>'SaaS Metrics'!F41*12</x:f>
        <x:v>4488571.4342592675</x:v>
      </x:c>
      <x:c r="G41" s="32" t="n">
        <x:f>B41+C41+D41-E41-F41</x:f>
        <x:v>0</x:v>
      </x:c>
      <x:c r="H41" s="31"/>
      <x:c r="I41" s="31"/>
      <x:c r="J41" s="31"/>
      <x:c r="K41" s="31"/>
      <x:c r="L41" s="31"/>
    </x:row>
    <x:row r="42">
      <x:c r="A42" s="33" t="n">
        <x:f>'SaaS Metrics'!A42</x:f>
        <x:v>46054</x:v>
      </x:c>
      <x:c r="B42" s="32" t="n">
        <x:f>'SaaS Metrics'!B42*12</x:f>
        <x:v>4488571.4342592675</x:v>
      </x:c>
      <x:c r="C42" s="32" t="n">
        <x:f>'SaaS Metrics'!C42*12</x:f>
        <x:v>211476.84747749998</x:v>
      </x:c>
      <x:c r="D42" s="32" t="n">
        <x:f>'SaaS Metrics'!D42*12</x:f>
        <x:v>1880.4742134299086</x:v>
      </x:c>
      <x:c r="E42" s="32" t="n">
        <x:f>'SaaS Metrics'!E42*12</x:f>
        <x:v>68252.67238499998</x:v>
      </x:c>
      <x:c r="F42" s="32" t="n">
        <x:f>'SaaS Metrics'!F42*12</x:f>
        <x:v>4633676.083565198</x:v>
      </x:c>
      <x:c r="G42" s="32" t="n">
        <x:f>B42+C42+D42-E42-F42</x:f>
        <x:v>0</x:v>
      </x:c>
      <x:c r="H42" s="31"/>
      <x:c r="I42" s="31"/>
      <x:c r="J42" s="31"/>
      <x:c r="K42" s="31"/>
      <x:c r="L42" s="31"/>
    </x:row>
    <x:row r="43">
      <x:c r="A43" s="33" t="n">
        <x:f>'SaaS Metrics'!A43</x:f>
        <x:v>46082</x:v>
      </x:c>
      <x:c r="B43" s="32" t="n">
        <x:f>'SaaS Metrics'!B43*12</x:f>
        <x:v>4633676.083565198</x:v>
      </x:c>
      <x:c r="C43" s="32" t="n">
        <x:f>'SaaS Metrics'!C43*12</x:f>
        <x:v>204891.06329999995</x:v>
      </x:c>
      <x:c r="D43" s="32" t="n">
        <x:f>'SaaS Metrics'!D43*12</x:f>
        <x:v>1824.754487904058</x:v>
      </x:c>
      <x:c r="E43" s="32" t="n">
        <x:f>'SaaS Metrics'!E43*12</x:f>
        <x:v>74213.13968099997</x:v>
      </x:c>
      <x:c r="F43" s="32" t="n">
        <x:f>'SaaS Metrics'!F43*12</x:f>
        <x:v>4766178.761672102</x:v>
      </x:c>
      <x:c r="G43" s="32" t="n">
        <x:f>B43+C43+D43-E43-F43</x:f>
        <x:v>-9.313225746154785e-10</x:v>
      </x:c>
      <x:c r="H43" s="31"/>
      <x:c r="I43" s="31"/>
      <x:c r="J43" s="31"/>
      <x:c r="K43" s="31"/>
      <x:c r="L43" s="31"/>
    </x:row>
    <x:row r="44">
      <x:c r="A44" s="33" t="n">
        <x:f>'SaaS Metrics'!A44</x:f>
        <x:v>46113</x:v>
      </x:c>
      <x:c r="B44" s="32" t="n">
        <x:f>'SaaS Metrics'!B44*12</x:f>
        <x:v>4766178.761672102</x:v>
      </x:c>
      <x:c r="C44" s="32" t="n">
        <x:f>'SaaS Metrics'!C44*12</x:f>
        <x:v>230050.08931949994</x:v>
      </x:c>
      <x:c r="D44" s="32" t="n">
        <x:f>'SaaS Metrics'!D44*12</x:f>
        <x:v>2047.6333900076133</x:v>
      </x:c>
      <x:c r="E44" s="32" t="n">
        <x:f>'SaaS Metrics'!E44*12</x:f>
        <x:v>72895.98284549998</x:v>
      </x:c>
      <x:c r="F44" s="32" t="n">
        <x:f>'SaaS Metrics'!F44*12</x:f>
        <x:v>4925380.5015361095</x:v>
      </x:c>
      <x:c r="G44" s="32" t="n">
        <x:f>B44+C44+D44-E44-F44</x:f>
        <x:v>0</x:v>
      </x:c>
      <x:c r="H44" s="31"/>
      <x:c r="I44" s="31"/>
      <x:c r="J44" s="31"/>
      <x:c r="K44" s="31"/>
      <x:c r="L44" s="31"/>
    </x:row>
    <x:row r="45">
      <x:c r="A45" s="33" t="n">
        <x:f>'SaaS Metrics'!A45</x:f>
        <x:v>46143</x:v>
      </x:c>
      <x:c r="B45" s="32" t="n">
        <x:f>'SaaS Metrics'!B45*12</x:f>
        <x:v>4925380.5015361095</x:v>
      </x:c>
      <x:c r="C45" s="32" t="n">
        <x:f>'SaaS Metrics'!C45*12</x:f>
        <x:v>196868.38075649994</x:v>
      </x:c>
      <x:c r="D45" s="32" t="n">
        <x:f>'SaaS Metrics'!D45*12</x:f>
        <x:v>1497.4343619752835</x:v>
      </x:c>
      <x:c r="E45" s="32" t="n">
        <x:f>'SaaS Metrics'!E45*12</x:f>
        <x:v>76847.45335199998</x:v>
      </x:c>
      <x:c r="F45" s="32" t="n">
        <x:f>'SaaS Metrics'!F45*12</x:f>
        <x:v>5046898.863302585</x:v>
      </x:c>
      <x:c r="G45" s="32" t="n">
        <x:f>B45+C45+D45-E45-F45</x:f>
        <x:v>9.313225746154785e-10</x:v>
      </x:c>
      <x:c r="H45" s="31"/>
      <x:c r="I45" s="31"/>
      <x:c r="J45" s="31"/>
      <x:c r="K45" s="31"/>
      <x:c r="L45" s="31"/>
    </x:row>
    <x:row r="46">
      <x:c r="A46" s="33" t="n">
        <x:f>'SaaS Metrics'!A46</x:f>
        <x:v>46174</x:v>
      </x:c>
      <x:c r="B46" s="32" t="n">
        <x:f>'SaaS Metrics'!B46*12</x:f>
        <x:v>5046898.863302585</x:v>
      </x:c>
      <x:c r="C46" s="32" t="n">
        <x:f>'SaaS Metrics'!C46*12</x:f>
        <x:v>197493.69763799995</x:v>
      </x:c>
      <x:c r="D46" s="32" t="n">
        <x:f>'SaaS Metrics'!D46*12</x:f>
        <x:v>1385.9949109231675</x:v>
      </x:c>
      <x:c r="E46" s="32" t="n">
        <x:f>'SaaS Metrics'!E46*12</x:f>
        <x:v>81490.76381249998</x:v>
      </x:c>
      <x:c r="F46" s="32" t="n">
        <x:f>'SaaS Metrics'!F46*12</x:f>
        <x:v>5164287.792039008</x:v>
      </x:c>
      <x:c r="G46" s="32" t="n">
        <x:f>B46+C46+D46-E46-F46</x:f>
        <x:v>0</x:v>
      </x:c>
      <x:c r="H46" s="31"/>
      <x:c r="I46" s="31"/>
      <x:c r="J46" s="31"/>
      <x:c r="K46" s="31"/>
      <x:c r="L46" s="31"/>
    </x:row>
    <x:row r="47">
      <x:c r="A47" s="33" t="n">
        <x:f>'SaaS Metrics'!A47</x:f>
        <x:v>46204</x:v>
      </x:c>
      <x:c r="B47" s="32" t="n">
        <x:f>'SaaS Metrics'!B47*12</x:f>
        <x:v>5164287.792039008</x:v>
      </x:c>
      <x:c r="C47" s="32" t="n">
        <x:f>'SaaS Metrics'!C47*12</x:f>
        <x:v>198185.53759199998</x:v>
      </x:c>
      <x:c r="D47" s="32" t="n">
        <x:f>'SaaS Metrics'!D47*12</x:f>
        <x:v>1497.4343619754145</x:v>
      </x:c>
      <x:c r="E47" s="32" t="n">
        <x:f>'SaaS Metrics'!E47*12</x:f>
        <x:v>76847.45335199998</x:v>
      </x:c>
      <x:c r="F47" s="32" t="n">
        <x:f>'SaaS Metrics'!F47*12</x:f>
        <x:v>5287123.310640983</x:v>
      </x:c>
      <x:c r="G47" s="32" t="n">
        <x:f>B47+C47+D47-E47-F47</x:f>
        <x:v>9.313225746154785e-10</x:v>
      </x:c>
      <x:c r="H47" s="31"/>
      <x:c r="I47" s="31"/>
      <x:c r="J47" s="31"/>
      <x:c r="K47" s="31"/>
      <x:c r="L47" s="31"/>
    </x:row>
    <x:row r="48">
      <x:c r="A48" s="33" t="n">
        <x:f>'SaaS Metrics'!A48</x:f>
        <x:v>46235</x:v>
      </x:c>
      <x:c r="B48" s="32" t="n">
        <x:f>'SaaS Metrics'!B48*12</x:f>
        <x:v>5287123.310640983</x:v>
      </x:c>
      <x:c r="C48" s="32" t="n">
        <x:f>'SaaS Metrics'!C48*12</x:f>
        <x:v>192225.07029599996</x:v>
      </x:c>
      <x:c r="D48" s="32" t="n">
        <x:f>'SaaS Metrics'!D48*12</x:f>
        <x:v>1385.9949109225563</x:v>
      </x:c>
      <x:c r="E48" s="32" t="n">
        <x:f>'SaaS Metrics'!E48*12</x:f>
        <x:v>81490.76381249998</x:v>
      </x:c>
      <x:c r="F48" s="32" t="n">
        <x:f>'SaaS Metrics'!F48*12</x:f>
        <x:v>5399243.612035406</x:v>
      </x:c>
      <x:c r="G48" s="32" t="n">
        <x:f>B48+C48+D48-E48-F48</x:f>
        <x:v>0</x:v>
      </x:c>
      <x:c r="H48" s="31"/>
      <x:c r="I48" s="31"/>
      <x:c r="J48" s="31"/>
      <x:c r="K48" s="31"/>
      <x:c r="L48" s="31"/>
    </x:row>
    <x:row r="49">
      <x:c r="A49" s="33" t="n">
        <x:f>'SaaS Metrics'!A49</x:f>
        <x:v>46266</x:v>
      </x:c>
      <x:c r="B49" s="32" t="n">
        <x:f>'SaaS Metrics'!B49*12</x:f>
        <x:v>5399243.612035406</x:v>
      </x:c>
      <x:c r="C49" s="32" t="n">
        <x:f>'SaaS Metrics'!C49*12</x:f>
        <x:v>190907.91346049996</x:v>
      </x:c>
      <x:c r="D49" s="32" t="n">
        <x:f>'SaaS Metrics'!D49*12</x:f>
        <x:v>1385.994910922971</x:v>
      </x:c>
      <x:c r="E49" s="32" t="n">
        <x:f>'SaaS Metrics'!E49*12</x:f>
        <x:v>82807.92064799997</x:v>
      </x:c>
      <x:c r="F49" s="32" t="n">
        <x:f>'SaaS Metrics'!F49*12</x:f>
        <x:v>5508729.599758829</x:v>
      </x:c>
      <x:c r="G49" s="32" t="n">
        <x:f>B49+C49+D49-E49-F49</x:f>
        <x:v>-9.313225746154785e-10</x:v>
      </x:c>
      <x:c r="H49" s="31"/>
      <x:c r="I49" s="31"/>
      <x:c r="J49" s="31"/>
      <x:c r="K49" s="31"/>
      <x:c r="L49" s="31"/>
    </x:row>
    <x:row r="50">
      <x:c r="A50" s="33" t="n">
        <x:f>'SaaS Metrics'!A50</x:f>
        <x:v>46296</x:v>
      </x:c>
      <x:c r="B50" s="32" t="n">
        <x:f>'SaaS Metrics'!B50*12</x:f>
        <x:v>5508729.599758829</x:v>
      </x:c>
      <x:c r="C50" s="32" t="n">
        <x:f>'SaaS Metrics'!C50*12</x:f>
        <x:v>190907.91346049996</x:v>
      </x:c>
      <x:c r="D50" s="32" t="n">
        <x:f>'SaaS Metrics'!D50*12</x:f>
        <x:v>1385.994910922971</x:v>
      </x:c>
      <x:c r="E50" s="32" t="n">
        <x:f>'SaaS Metrics'!E50*12</x:f>
        <x:v>82807.92064799997</x:v>
      </x:c>
      <x:c r="F50" s="32" t="n">
        <x:f>'SaaS Metrics'!F50*12</x:f>
        <x:v>5618215.587482251</x:v>
      </x:c>
      <x:c r="G50" s="32" t="n">
        <x:f>B50+C50+D50-E50-F50</x:f>
        <x:v>0</x:v>
      </x:c>
      <x:c r="H50" s="31"/>
      <x:c r="I50" s="31"/>
      <x:c r="J50" s="31"/>
      <x:c r="K50" s="31"/>
      <x:c r="L50" s="31"/>
    </x:row>
    <x:row r="51">
      <x:c r="A51" s="33" t="n">
        <x:f>'SaaS Metrics'!A51</x:f>
        <x:v>46327</x:v>
      </x:c>
      <x:c r="B51" s="32" t="n">
        <x:f>'SaaS Metrics'!B51*12</x:f>
        <x:v>5618215.587482251</x:v>
      </x:c>
      <x:c r="C51" s="32" t="n">
        <x:f>'SaaS Metrics'!C51*12</x:f>
        <x:v>196868.38075649994</x:v>
      </x:c>
      <x:c r="D51" s="32" t="n">
        <x:f>'SaaS Metrics'!D51*12</x:f>
        <x:v>1441.714636448778</x:v>
      </x:c>
      <x:c r="E51" s="32" t="n">
        <x:f>'SaaS Metrics'!E51*12</x:f>
        <x:v>82807.92064799997</x:v>
      </x:c>
      <x:c r="F51" s="32" t="n">
        <x:f>'SaaS Metrics'!F51*12</x:f>
        <x:v>5733717.7622272</x:v>
      </x:c>
      <x:c r="G51" s="32" t="n">
        <x:f>B51+C51+D51-E51-F51</x:f>
        <x:v>0</x:v>
      </x:c>
      <x:c r="H51" s="31"/>
      <x:c r="I51" s="31"/>
      <x:c r="J51" s="31"/>
      <x:c r="K51" s="31"/>
      <x:c r="L51" s="31"/>
    </x:row>
    <x:row r="52">
      <x:c r="A52" s="33" t="n">
        <x:f>'SaaS Metrics'!A52</x:f>
        <x:v>46357</x:v>
      </x:c>
      <x:c r="B52" s="32" t="n">
        <x:f>'SaaS Metrics'!B52*12</x:f>
        <x:v>5733717.7622272</x:v>
      </x:c>
      <x:c r="C52" s="32" t="n">
        <x:f>'SaaS Metrics'!C52*12</x:f>
        <x:v>207472.15851299997</x:v>
      </x:c>
      <x:c r="D52" s="32" t="n">
        <x:f>'SaaS Metrics'!D52*12</x:f>
        <x:v>1497.4343619752617</x:v>
      </x:c>
      <x:c r="E52" s="32" t="n">
        <x:f>'SaaS Metrics'!E52*12</x:f>
        <x:v>87451.23110849998</x:v>
      </x:c>
      <x:c r="F52" s="32" t="n">
        <x:f>'SaaS Metrics'!F52*12</x:f>
        <x:v>5855236.123993676</x:v>
      </x:c>
      <x:c r="G52" s="32" t="n">
        <x:f>B52+C52+D52-E52-F52</x:f>
        <x:v>0</x:v>
      </x:c>
      <x:c r="H52" s="31"/>
      <x:c r="I52" s="31"/>
      <x:c r="J52" s="31"/>
      <x:c r="K52" s="31"/>
      <x:c r="L52" s="31"/>
    </x:row>
  </x:sheetData>
  <x:mergeCells>
    <x:mergeCell ref="A1:L1"/>
    <x:mergeCell ref="A2:L2"/>
  </x:mergeCells>
  <x:conditionalFormatting sqref="G5:G52">
    <x:cfRule type="cellIs" dxfId="0" priority="1" operator="notEqual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4" customHeight="1">
      <x:c r="A1" s="24" t="str">
        <x:v>Customer cohort retention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Average logo retention by months since acquisition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Age (months)</x:v>
      </x:c>
      <x:c r="B4" s="27" t="str">
        <x:v>Average logo retention</x:v>
      </x:c>
      <x:c r="C4" s="27" t="str">
        <x:v>Cohorts observed</x:v>
      </x:c>
      <x:c r="D4" s="31"/>
      <x:c r="E4" s="31"/>
      <x:c r="F4" s="31"/>
      <x:c r="G4" s="31"/>
      <x:c r="H4" s="31"/>
      <x:c r="I4" s="31"/>
      <x:c r="J4" s="31"/>
      <x:c r="K4" s="31"/>
      <x:c r="L4" s="31"/>
    </x:row>
    <x:row r="5">
      <x:c r="A5" s="31" t="n">
        <x:v>0</x:v>
      </x:c>
      <x:c r="B5" s="42" t="n">
        <x:v>1</x:v>
      </x:c>
      <x:c r="C5" s="31" t="n">
        <x:v>42</x:v>
      </x:c>
      <x:c r="D5" s="31"/>
      <x:c r="E5" s="31"/>
      <x:c r="F5" s="31"/>
      <x:c r="G5" s="31"/>
      <x:c r="H5" s="31"/>
      <x:c r="I5" s="31"/>
      <x:c r="J5" s="31"/>
      <x:c r="K5" s="31"/>
      <x:c r="L5" s="31"/>
    </x:row>
    <x:row r="6">
      <x:c r="A6" s="31" t="n">
        <x:v>1</x:v>
      </x:c>
      <x:c r="B6" s="42" t="n">
        <x:v>0.9765486460690612</x:v>
      </x:c>
      <x:c r="C6" s="31" t="n">
        <x:v>42</x:v>
      </x:c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31" t="n">
        <x:v>2</x:v>
      </x:c>
      <x:c r="B7" s="42" t="n">
        <x:v>0.9623229560688796</x:v>
      </x:c>
      <x:c r="C7" s="31" t="n">
        <x:v>42</x:v>
      </x:c>
      <x:c r="D7" s="31"/>
      <x:c r="E7" s="31"/>
      <x:c r="F7" s="31"/>
      <x:c r="G7" s="31"/>
      <x:c r="H7" s="31"/>
      <x:c r="I7" s="31"/>
      <x:c r="J7" s="31"/>
      <x:c r="K7" s="31"/>
      <x:c r="L7" s="31"/>
    </x:row>
    <x:row r="8">
      <x:c r="A8" s="31" t="n">
        <x:v>3</x:v>
      </x:c>
      <x:c r="B8" s="42" t="n">
        <x:v>0.9409282539288771</x:v>
      </x:c>
      <x:c r="C8" s="31" t="n">
        <x:v>42</x:v>
      </x:c>
      <x:c r="D8" s="31"/>
      <x:c r="E8" s="31"/>
      <x:c r="F8" s="31"/>
      <x:c r="G8" s="31"/>
      <x:c r="H8" s="31"/>
      <x:c r="I8" s="31"/>
      <x:c r="J8" s="31"/>
      <x:c r="K8" s="31"/>
      <x:c r="L8" s="31"/>
    </x:row>
    <x:row r="9">
      <x:c r="A9" s="31" t="n">
        <x:v>4</x:v>
      </x:c>
      <x:c r="B9" s="42" t="n">
        <x:v>0.9217910834349292</x:v>
      </x:c>
      <x:c r="C9" s="31" t="n">
        <x:v>42</x:v>
      </x:c>
      <x:c r="D9" s="31"/>
      <x:c r="E9" s="31"/>
      <x:c r="F9" s="31"/>
      <x:c r="G9" s="31"/>
      <x:c r="H9" s="31"/>
      <x:c r="I9" s="31"/>
      <x:c r="J9" s="31"/>
      <x:c r="K9" s="31"/>
      <x:c r="L9" s="31"/>
    </x:row>
    <x:row r="10">
      <x:c r="A10" s="31" t="n">
        <x:v>5</x:v>
      </x:c>
      <x:c r="B10" s="42" t="n">
        <x:v>0.9033341041880815</x:v>
      </x:c>
      <x:c r="C10" s="31" t="n">
        <x:v>42</x:v>
      </x:c>
      <x:c r="D10" s="31"/>
      <x:c r="E10" s="31"/>
      <x:c r="F10" s="31"/>
      <x:c r="G10" s="31"/>
      <x:c r="H10" s="31"/>
      <x:c r="I10" s="31"/>
      <x:c r="J10" s="31"/>
      <x:c r="K10" s="31"/>
      <x:c r="L10" s="31"/>
    </x:row>
    <x:row r="11">
      <x:c r="A11" s="31" t="n">
        <x:v>6</x:v>
      </x:c>
      <x:c r="B11" s="42" t="n">
        <x:v>0.8860563609301237</x:v>
      </x:c>
      <x:c r="C11" s="31" t="n">
        <x:v>42</x:v>
      </x:c>
      <x:c r="D11" s="31"/>
      <x:c r="E11" s="31"/>
      <x:c r="F11" s="31"/>
      <x:c r="G11" s="31"/>
      <x:c r="H11" s="31"/>
      <x:c r="I11" s="31"/>
      <x:c r="J11" s="31"/>
      <x:c r="K11" s="31"/>
      <x:c r="L11" s="31"/>
    </x:row>
    <x:row r="12">
      <x:c r="A12" s="31" t="n">
        <x:v>7</x:v>
      </x:c>
      <x:c r="B12" s="42" t="n">
        <x:v>0.8670409904929663</x:v>
      </x:c>
      <x:c r="C12" s="31" t="n">
        <x:v>41</x:v>
      </x:c>
      <x:c r="D12" s="31"/>
      <x:c r="E12" s="31"/>
      <x:c r="F12" s="31"/>
      <x:c r="G12" s="31"/>
      <x:c r="H12" s="31"/>
      <x:c r="I12" s="31"/>
      <x:c r="J12" s="31"/>
      <x:c r="K12" s="31"/>
      <x:c r="L12" s="31"/>
    </x:row>
    <x:row r="13">
      <x:c r="A13" s="31" t="n">
        <x:v>8</x:v>
      </x:c>
      <x:c r="B13" s="42" t="n">
        <x:v>0.849531682444226</x:v>
      </x:c>
      <x:c r="C13" s="31" t="n">
        <x:v>40</x:v>
      </x:c>
      <x:c r="D13" s="31"/>
      <x:c r="E13" s="31"/>
      <x:c r="F13" s="31"/>
      <x:c r="G13" s="31"/>
      <x:c r="H13" s="31"/>
      <x:c r="I13" s="31"/>
      <x:c r="J13" s="31"/>
      <x:c r="K13" s="31"/>
      <x:c r="L13" s="31"/>
    </x:row>
    <x:row r="14">
      <x:c r="A14" s="31" t="n">
        <x:v>9</x:v>
      </x:c>
      <x:c r="B14" s="42" t="n">
        <x:v>0.8321119014785543</x:v>
      </x:c>
      <x:c r="C14" s="31" t="n">
        <x:v>39</x:v>
      </x:c>
      <x:c r="D14" s="31"/>
      <x:c r="E14" s="31"/>
      <x:c r="F14" s="31"/>
      <x:c r="G14" s="31"/>
      <x:c r="H14" s="31"/>
      <x:c r="I14" s="31"/>
      <x:c r="J14" s="31"/>
      <x:c r="K14" s="31"/>
      <x:c r="L14" s="31"/>
    </x:row>
    <x:row r="15">
      <x:c r="A15" s="31" t="n">
        <x:v>10</x:v>
      </x:c>
      <x:c r="B15" s="42" t="n">
        <x:v>0.8123007349983623</x:v>
      </x:c>
      <x:c r="C15" s="31" t="n">
        <x:v>38</x:v>
      </x:c>
      <x:c r="D15" s="31"/>
      <x:c r="E15" s="31"/>
      <x:c r="F15" s="31"/>
      <x:c r="G15" s="31"/>
      <x:c r="H15" s="31"/>
      <x:c r="I15" s="31"/>
      <x:c r="J15" s="31"/>
      <x:c r="K15" s="31"/>
      <x:c r="L15" s="31"/>
    </x:row>
    <x:row r="16">
      <x:c r="A16" s="31" t="n">
        <x:v>11</x:v>
      </x:c>
      <x:c r="B16" s="42" t="n">
        <x:v>0.796040220365196</x:v>
      </x:c>
      <x:c r="C16" s="31" t="n">
        <x:v>37</x:v>
      </x:c>
      <x:c r="D16" s="31"/>
      <x:c r="E16" s="31"/>
      <x:c r="F16" s="31"/>
      <x:c r="G16" s="31"/>
      <x:c r="H16" s="31"/>
      <x:c r="I16" s="31"/>
      <x:c r="J16" s="31"/>
      <x:c r="K16" s="31"/>
      <x:c r="L16" s="31"/>
    </x:row>
    <x:row r="17">
      <x:c r="A17" s="31" t="n">
        <x:v>12</x:v>
      </x:c>
      <x:c r="B17" s="42" t="n">
        <x:v>0.7810164061301355</x:v>
      </x:c>
      <x:c r="C17" s="31" t="n">
        <x:v>36</x:v>
      </x:c>
      <x:c r="D17" s="31"/>
      <x:c r="E17" s="31"/>
      <x:c r="F17" s="31"/>
      <x:c r="G17" s="31"/>
      <x:c r="H17" s="31"/>
      <x:c r="I17" s="31"/>
      <x:c r="J17" s="31"/>
      <x:c r="K17" s="31"/>
      <x:c r="L17" s="31"/>
    </x:row>
    <x:row r="18">
      <x:c r="A18" s="31" t="n">
        <x:v>13</x:v>
      </x:c>
      <x:c r="B18" s="42" t="n">
        <x:v>0.7660242173359558</x:v>
      </x:c>
      <x:c r="C18" s="31" t="n">
        <x:v>35</x:v>
      </x:c>
      <x:c r="D18" s="31"/>
      <x:c r="E18" s="31"/>
      <x:c r="F18" s="31"/>
      <x:c r="G18" s="31"/>
      <x:c r="H18" s="31"/>
      <x:c r="I18" s="31"/>
      <x:c r="J18" s="31"/>
      <x:c r="K18" s="31"/>
      <x:c r="L18" s="31"/>
    </x:row>
    <x:row r="19">
      <x:c r="A19" s="31" t="n">
        <x:v>14</x:v>
      </x:c>
      <x:c r="B19" s="42" t="n">
        <x:v>0.7483407778112392</x:v>
      </x:c>
      <x:c r="C19" s="31" t="n">
        <x:v>34</x:v>
      </x:c>
      <x:c r="D19" s="31"/>
      <x:c r="E19" s="31"/>
      <x:c r="F19" s="31"/>
      <x:c r="G19" s="31"/>
      <x:c r="H19" s="31"/>
      <x:c r="I19" s="31"/>
      <x:c r="J19" s="31"/>
      <x:c r="K19" s="31"/>
      <x:c r="L19" s="31"/>
    </x:row>
    <x:row r="20">
      <x:c r="A20" s="31" t="n">
        <x:v>15</x:v>
      </x:c>
      <x:c r="B20" s="42" t="n">
        <x:v>0.7341989607699215</x:v>
      </x:c>
      <x:c r="C20" s="31" t="n">
        <x:v>33</x:v>
      </x:c>
      <x:c r="D20" s="31"/>
      <x:c r="E20" s="31"/>
      <x:c r="F20" s="31"/>
      <x:c r="G20" s="31"/>
      <x:c r="H20" s="31"/>
      <x:c r="I20" s="31"/>
      <x:c r="J20" s="31"/>
      <x:c r="K20" s="31"/>
      <x:c r="L20" s="31"/>
    </x:row>
    <x:row r="21">
      <x:c r="A21" s="31" t="n">
        <x:v>16</x:v>
      </x:c>
      <x:c r="B21" s="42" t="n">
        <x:v>0.7200135976397147</x:v>
      </x:c>
      <x:c r="C21" s="31" t="n">
        <x:v>32</x:v>
      </x:c>
      <x:c r="D21" s="31"/>
      <x:c r="E21" s="31"/>
      <x:c r="F21" s="31"/>
      <x:c r="G21" s="31"/>
      <x:c r="H21" s="31"/>
      <x:c r="I21" s="31"/>
      <x:c r="J21" s="31"/>
      <x:c r="K21" s="31"/>
      <x:c r="L21" s="31"/>
    </x:row>
    <x:row r="22">
      <x:c r="A22" s="31" t="n">
        <x:v>17</x:v>
      </x:c>
      <x:c r="B22" s="42" t="n">
        <x:v>0.7026961143823921</x:v>
      </x:c>
      <x:c r="C22" s="31" t="n">
        <x:v>31</x:v>
      </x:c>
      <x:c r="D22" s="31"/>
      <x:c r="E22" s="31"/>
      <x:c r="F22" s="31"/>
      <x:c r="G22" s="31"/>
      <x:c r="H22" s="31"/>
      <x:c r="I22" s="31"/>
      <x:c r="J22" s="31"/>
      <x:c r="K22" s="31"/>
      <x:c r="L22" s="31"/>
    </x:row>
    <x:row r="23">
      <x:c r="A23" s="31" t="n">
        <x:v>18</x:v>
      </x:c>
      <x:c r="B23" s="42" t="n">
        <x:v>0.687797736919496</x:v>
      </x:c>
      <x:c r="C23" s="31" t="n">
        <x:v>30</x:v>
      </x:c>
      <x:c r="D23" s="31"/>
      <x:c r="E23" s="31"/>
      <x:c r="F23" s="31"/>
      <x:c r="G23" s="31"/>
      <x:c r="H23" s="31"/>
      <x:c r="I23" s="31"/>
      <x:c r="J23" s="31"/>
      <x:c r="K23" s="31"/>
      <x:c r="L23" s="31"/>
    </x:row>
    <x:row r="24">
      <x:c r="A24" s="31" t="n">
        <x:v>19</x:v>
      </x:c>
      <x:c r="B24" s="42" t="n">
        <x:v>0.6746876711803849</x:v>
      </x:c>
      <x:c r="C24" s="31" t="n">
        <x:v>29</x:v>
      </x:c>
      <x:c r="D24" s="31"/>
      <x:c r="E24" s="31"/>
      <x:c r="F24" s="31"/>
      <x:c r="G24" s="31"/>
      <x:c r="H24" s="31"/>
      <x:c r="I24" s="31"/>
      <x:c r="J24" s="31"/>
      <x:c r="K24" s="31"/>
      <x:c r="L24" s="31"/>
    </x:row>
    <x:row r="25">
      <x:c r="A25" s="31" t="n">
        <x:v>20</x:v>
      </x:c>
      <x:c r="B25" s="42" t="n">
        <x:v>0.6645202654222826</x:v>
      </x:c>
      <x:c r="C25" s="31" t="n">
        <x:v>28</x:v>
      </x:c>
      <x:c r="D25" s="31"/>
      <x:c r="E25" s="31"/>
      <x:c r="F25" s="31"/>
      <x:c r="G25" s="31"/>
      <x:c r="H25" s="31"/>
      <x:c r="I25" s="31"/>
      <x:c r="J25" s="31"/>
      <x:c r="K25" s="31"/>
      <x:c r="L25" s="31"/>
    </x:row>
    <x:row r="26">
      <x:c r="A26" s="31" t="n">
        <x:v>21</x:v>
      </x:c>
      <x:c r="B26" s="42" t="n">
        <x:v>0.6464286349356984</x:v>
      </x:c>
      <x:c r="C26" s="31" t="n">
        <x:v>27</x:v>
      </x:c>
      <x:c r="D26" s="31"/>
      <x:c r="E26" s="31"/>
      <x:c r="F26" s="31"/>
      <x:c r="G26" s="31"/>
      <x:c r="H26" s="31"/>
      <x:c r="I26" s="31"/>
      <x:c r="J26" s="31"/>
      <x:c r="K26" s="31"/>
      <x:c r="L26" s="31"/>
    </x:row>
    <x:row r="27">
      <x:c r="A27" s="31" t="n">
        <x:v>22</x:v>
      </x:c>
      <x:c r="B27" s="42" t="n">
        <x:v>0.639741246164495</x:v>
      </x:c>
      <x:c r="C27" s="31" t="n">
        <x:v>26</x:v>
      </x:c>
      <x:c r="D27" s="31"/>
      <x:c r="E27" s="31"/>
      <x:c r="F27" s="31"/>
      <x:c r="G27" s="31"/>
      <x:c r="H27" s="31"/>
      <x:c r="I27" s="31"/>
      <x:c r="J27" s="31"/>
      <x:c r="K27" s="31"/>
      <x:c r="L27" s="31"/>
    </x:row>
    <x:row r="28">
      <x:c r="A28" s="31" t="n">
        <x:v>23</x:v>
      </x:c>
      <x:c r="B28" s="42" t="n">
        <x:v>0.6250354314047994</x:v>
      </x:c>
      <x:c r="C28" s="31" t="n">
        <x:v>25</x:v>
      </x:c>
      <x:c r="D28" s="31"/>
      <x:c r="E28" s="31"/>
      <x:c r="F28" s="31"/>
      <x:c r="G28" s="31"/>
      <x:c r="H28" s="31"/>
      <x:c r="I28" s="31"/>
      <x:c r="J28" s="31"/>
      <x:c r="K28" s="31"/>
      <x:c r="L28" s="31"/>
    </x:row>
    <x:row r="29">
      <x:c r="A29" s="31" t="n">
        <x:v>24</x:v>
      </x:c>
      <x:c r="B29" s="42" t="n">
        <x:v>0.6061854161323388</x:v>
      </x:c>
      <x:c r="C29" s="31" t="n">
        <x:v>24</x:v>
      </x:c>
      <x:c r="D29" s="31"/>
      <x:c r="E29" s="31"/>
      <x:c r="F29" s="31"/>
      <x:c r="G29" s="31"/>
      <x:c r="H29" s="31"/>
      <x:c r="I29" s="31"/>
      <x:c r="J29" s="31"/>
      <x:c r="K29" s="31"/>
      <x:c r="L29" s="31"/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4" customHeight="1">
      <x:c r="A1" s="24" t="str">
        <x:v>Revenue model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Monthly customer bridge, MRR, ARR, churn, growth, and ARPC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Month</x:v>
      </x:c>
      <x:c r="B4" s="27" t="str">
        <x:v>Starting customers</x:v>
      </x:c>
      <x:c r="C4" s="27" t="str">
        <x:v>New customers</x:v>
      </x:c>
      <x:c r="D4" s="27" t="str">
        <x:v>Churned customers</x:v>
      </x:c>
      <x:c r="E4" s="27" t="str">
        <x:v>Ending customers</x:v>
      </x:c>
      <x:c r="F4" s="27" t="str">
        <x:v>MRR</x:v>
      </x:c>
      <x:c r="G4" s="27" t="str">
        <x:v>ARR</x:v>
      </x:c>
      <x:c r="H4" s="27" t="str">
        <x:v>Revenue growth</x:v>
      </x:c>
      <x:c r="I4" s="27" t="str">
        <x:v>Gross churn</x:v>
      </x:c>
      <x:c r="J4" s="27" t="str">
        <x:v>ARPC</x:v>
      </x:c>
      <x:c r="K4" s="27" t="str">
        <x:v>Period</x:v>
      </x:c>
      <x:c r="L4" s="31"/>
    </x:row>
    <x:row r="5">
      <x:c r="A5" s="33" t="n">
        <x:v>44927</x:v>
      </x:c>
      <x:c r="B5" s="31" t="n">
        <x:f>SUMIFS(Subscriptions!$C$2:$C$145,Subscriptions!$A$2:$A$145,$A5)</x:f>
        <x:v>493</x:v>
      </x:c>
      <x:c r="C5" s="31" t="n">
        <x:f>SUMIFS(Subscriptions!$D$2:$D$145,Subscriptions!$A$2:$A$145,$A5)</x:f>
        <x:v>20</x:v>
      </x:c>
      <x:c r="D5" s="31" t="n">
        <x:f>SUMIFS(Subscriptions!$E$2:$E$145,Subscriptions!$A$2:$A$145,$A5)</x:f>
        <x:v>10</x:v>
      </x:c>
      <x:c r="E5" s="31" t="n">
        <x:f>SUMIFS(Subscriptions!$F$2:$F$145,Subscriptions!$A$2:$A$145,$A5)</x:f>
        <x:v>503</x:v>
      </x:c>
      <x:c r="F5" s="32" t="n">
        <x:f>SUMIFS(Subscriptions!$H$2:$H$145,Subscriptions!$A$2:$A$145,$A5)</x:f>
        <x:v>129227.37400000001</x:v>
      </x:c>
      <x:c r="G5" s="32" t="n">
        <x:f>F5*12</x:f>
        <x:v>1550728.4880000001</x:v>
      </x:c>
      <x:c r="H5" s="42" t="n">
        <x:f>0</x:f>
        <x:v>0</x:v>
      </x:c>
      <x:c r="I5" s="42" t="n">
        <x:f>IFERROR(D5/B5,0)</x:f>
        <x:v>0.02028397565922921</x:v>
      </x:c>
      <x:c r="J5" s="32" t="n">
        <x:f>IFERROR(F5/E5,0)</x:f>
        <x:v>256.91326838966205</x:v>
      </x:c>
      <x:c r="K5" s="31" t="str">
        <x:f>IF(A5&lt;DATE(2026,7,1),"Actual","Forecast")</x:f>
        <x:v>Actual</x:v>
      </x:c>
      <x:c r="L5" s="31"/>
    </x:row>
    <x:row r="6">
      <x:c r="A6" s="33" t="n">
        <x:v>44958</x:v>
      </x:c>
      <x:c r="B6" s="31" t="n">
        <x:f>SUMIFS(Subscriptions!$C$2:$C$145,Subscriptions!$A$2:$A$145,$A6)</x:f>
        <x:v>503</x:v>
      </x:c>
      <x:c r="C6" s="31" t="n">
        <x:f>SUMIFS(Subscriptions!$D$2:$D$145,Subscriptions!$A$2:$A$145,$A6)</x:f>
        <x:v>24</x:v>
      </x:c>
      <x:c r="D6" s="31" t="n">
        <x:f>SUMIFS(Subscriptions!$E$2:$E$145,Subscriptions!$A$2:$A$145,$A6)</x:f>
        <x:v>11</x:v>
      </x:c>
      <x:c r="E6" s="31" t="n">
        <x:f>SUMIFS(Subscriptions!$F$2:$F$145,Subscriptions!$A$2:$A$145,$A6)</x:f>
        <x:v>516</x:v>
      </x:c>
      <x:c r="F6" s="32" t="n">
        <x:f>SUMIFS(Subscriptions!$H$2:$H$145,Subscriptions!$A$2:$A$145,$A6)</x:f>
        <x:v>133218.292</x:v>
      </x:c>
      <x:c r="G6" s="32" t="n">
        <x:f>F6*12</x:f>
        <x:v>1598619.5039999997</x:v>
      </x:c>
      <x:c r="H6" s="42" t="n">
        <x:f>IFERROR(F6/F5-1,0)</x:f>
        <x:v>0.03088291494648776</x:v>
      </x:c>
      <x:c r="I6" s="42" t="n">
        <x:f>IFERROR(D6/B6,0)</x:f>
        <x:v>0.02186878727634195</x:v>
      </x:c>
      <x:c r="J6" s="32" t="n">
        <x:f>IFERROR(F6/E6,0)</x:f>
        <x:v>258.174984496124</x:v>
      </x:c>
      <x:c r="K6" s="31" t="str">
        <x:f>IF(A6&lt;DATE(2026,7,1),"Actual","Forecast")</x:f>
        <x:v>Actual</x:v>
      </x:c>
      <x:c r="L6" s="31"/>
    </x:row>
    <x:row r="7">
      <x:c r="A7" s="33" t="n">
        <x:v>44986</x:v>
      </x:c>
      <x:c r="B7" s="31" t="n">
        <x:f>SUMIFS(Subscriptions!$C$2:$C$145,Subscriptions!$A$2:$A$145,$A7)</x:f>
        <x:v>516</x:v>
      </x:c>
      <x:c r="C7" s="31" t="n">
        <x:f>SUMIFS(Subscriptions!$D$2:$D$145,Subscriptions!$A$2:$A$145,$A7)</x:f>
        <x:v>21</x:v>
      </x:c>
      <x:c r="D7" s="31" t="n">
        <x:f>SUMIFS(Subscriptions!$E$2:$E$145,Subscriptions!$A$2:$A$145,$A7)</x:f>
        <x:v>9</x:v>
      </x:c>
      <x:c r="E7" s="31" t="n">
        <x:f>SUMIFS(Subscriptions!$F$2:$F$145,Subscriptions!$A$2:$A$145,$A7)</x:f>
        <x:v>528</x:v>
      </x:c>
      <x:c r="F7" s="32" t="n">
        <x:f>SUMIFS(Subscriptions!$H$2:$H$145,Subscriptions!$A$2:$A$145,$A7)</x:f>
        <x:v>137364.398</x:v>
      </x:c>
      <x:c r="G7" s="32" t="n">
        <x:f>F7*12</x:f>
        <x:v>1648372.7759999998</x:v>
      </x:c>
      <x:c r="H7" s="42" t="n">
        <x:f>IFERROR(F7/F6-1,0)</x:f>
        <x:v>0.031122647931862035</x:v>
      </x:c>
      <x:c r="I7" s="42" t="n">
        <x:f>IFERROR(D7/B7,0)</x:f>
        <x:v>0.01744186046511628</x:v>
      </x:c>
      <x:c r="J7" s="32" t="n">
        <x:f>IFERROR(F7/E7,0)</x:f>
        <x:v>260.1598446969697</x:v>
      </x:c>
      <x:c r="K7" s="31" t="str">
        <x:f>IF(A7&lt;DATE(2026,7,1),"Actual","Forecast")</x:f>
        <x:v>Actual</x:v>
      </x:c>
      <x:c r="L7" s="31"/>
    </x:row>
    <x:row r="8">
      <x:c r="A8" s="33" t="n">
        <x:v>45017</x:v>
      </x:c>
      <x:c r="B8" s="31" t="n">
        <x:f>SUMIFS(Subscriptions!$C$2:$C$145,Subscriptions!$A$2:$A$145,$A8)</x:f>
        <x:v>528</x:v>
      </x:c>
      <x:c r="C8" s="31" t="n">
        <x:f>SUMIFS(Subscriptions!$D$2:$D$145,Subscriptions!$A$2:$A$145,$A8)</x:f>
        <x:v>24</x:v>
      </x:c>
      <x:c r="D8" s="31" t="n">
        <x:f>SUMIFS(Subscriptions!$E$2:$E$145,Subscriptions!$A$2:$A$145,$A8)</x:f>
        <x:v>10</x:v>
      </x:c>
      <x:c r="E8" s="31" t="n">
        <x:f>SUMIFS(Subscriptions!$F$2:$F$145,Subscriptions!$A$2:$A$145,$A8)</x:f>
        <x:v>542</x:v>
      </x:c>
      <x:c r="F8" s="32" t="n">
        <x:f>SUMIFS(Subscriptions!$H$2:$H$145,Subscriptions!$A$2:$A$145,$A8)</x:f>
        <x:v>141962.692</x:v>
      </x:c>
      <x:c r="G8" s="32" t="n">
        <x:f>F8*12</x:f>
        <x:v>1703552.304</x:v>
      </x:c>
      <x:c r="H8" s="42" t="n">
        <x:f>IFERROR(F8/F7-1,0)</x:f>
        <x:v>0.033475151254257485</x:v>
      </x:c>
      <x:c r="I8" s="42" t="n">
        <x:f>IFERROR(D8/B8,0)</x:f>
        <x:v>0.01893939393939394</x:v>
      </x:c>
      <x:c r="J8" s="32" t="n">
        <x:f>IFERROR(F8/E8,0)</x:f>
        <x:v>261.9237859778598</x:v>
      </x:c>
      <x:c r="K8" s="31" t="str">
        <x:f>IF(A8&lt;DATE(2026,7,1),"Actual","Forecast")</x:f>
        <x:v>Actual</x:v>
      </x:c>
      <x:c r="L8" s="31"/>
    </x:row>
    <x:row r="9">
      <x:c r="A9" s="33" t="n">
        <x:v>45047</x:v>
      </x:c>
      <x:c r="B9" s="31" t="n">
        <x:f>SUMIFS(Subscriptions!$C$2:$C$145,Subscriptions!$A$2:$A$145,$A9)</x:f>
        <x:v>542</x:v>
      </x:c>
      <x:c r="C9" s="31" t="n">
        <x:f>SUMIFS(Subscriptions!$D$2:$D$145,Subscriptions!$A$2:$A$145,$A9)</x:f>
        <x:v>26</x:v>
      </x:c>
      <x:c r="D9" s="31" t="n">
        <x:f>SUMIFS(Subscriptions!$E$2:$E$145,Subscriptions!$A$2:$A$145,$A9)</x:f>
        <x:v>11</x:v>
      </x:c>
      <x:c r="E9" s="31" t="n">
        <x:f>SUMIFS(Subscriptions!$F$2:$F$145,Subscriptions!$A$2:$A$145,$A9)</x:f>
        <x:v>557</x:v>
      </x:c>
      <x:c r="F9" s="32" t="n">
        <x:f>SUMIFS(Subscriptions!$H$2:$H$145,Subscriptions!$A$2:$A$145,$A9)</x:f>
        <x:v>146659.986</x:v>
      </x:c>
      <x:c r="G9" s="32" t="n">
        <x:f>F9*12</x:f>
        <x:v>1759919.832</x:v>
      </x:c>
      <x:c r="H9" s="42" t="n">
        <x:f>IFERROR(F9/F8-1,0)</x:f>
        <x:v>0.03308822856078275</x:v>
      </x:c>
      <x:c r="I9" s="42" t="n">
        <x:f>IFERROR(D9/B9,0)</x:f>
        <x:v>0.02029520295202952</x:v>
      </x:c>
      <x:c r="J9" s="32" t="n">
        <x:f>IFERROR(F9/E9,0)</x:f>
        <x:v>263.30338599640936</x:v>
      </x:c>
      <x:c r="K9" s="31" t="str">
        <x:f>IF(A9&lt;DATE(2026,7,1),"Actual","Forecast")</x:f>
        <x:v>Actual</x:v>
      </x:c>
      <x:c r="L9" s="31"/>
    </x:row>
    <x:row r="10">
      <x:c r="A10" s="33" t="n">
        <x:v>45078</x:v>
      </x:c>
      <x:c r="B10" s="31" t="n">
        <x:f>SUMIFS(Subscriptions!$C$2:$C$145,Subscriptions!$A$2:$A$145,$A10)</x:f>
        <x:v>557</x:v>
      </x:c>
      <x:c r="C10" s="31" t="n">
        <x:f>SUMIFS(Subscriptions!$D$2:$D$145,Subscriptions!$A$2:$A$145,$A10)</x:f>
        <x:v>21</x:v>
      </x:c>
      <x:c r="D10" s="31" t="n">
        <x:f>SUMIFS(Subscriptions!$E$2:$E$145,Subscriptions!$A$2:$A$145,$A10)</x:f>
        <x:v>11</x:v>
      </x:c>
      <x:c r="E10" s="31" t="n">
        <x:f>SUMIFS(Subscriptions!$F$2:$F$145,Subscriptions!$A$2:$A$145,$A10)</x:f>
        <x:v>567</x:v>
      </x:c>
      <x:c r="F10" s="32" t="n">
        <x:f>SUMIFS(Subscriptions!$H$2:$H$145,Subscriptions!$A$2:$A$145,$A10)</x:f>
        <x:v>150099.71600000001</x:v>
      </x:c>
      <x:c r="G10" s="32" t="n">
        <x:f>F10*12</x:f>
        <x:v>1801196.5920000002</x:v>
      </x:c>
      <x:c r="H10" s="42" t="n">
        <x:f>IFERROR(F10/F9-1,0)</x:f>
        <x:v>0.023453772864808542</x:v>
      </x:c>
      <x:c r="I10" s="42" t="n">
        <x:f>IFERROR(D10/B10,0)</x:f>
        <x:v>0.019748653500897665</x:v>
      </x:c>
      <x:c r="J10" s="32" t="n">
        <x:f>IFERROR(F10/E10,0)</x:f>
        <x:v>264.72613051146385</x:v>
      </x:c>
      <x:c r="K10" s="31" t="str">
        <x:f>IF(A10&lt;DATE(2026,7,1),"Actual","Forecast")</x:f>
        <x:v>Actual</x:v>
      </x:c>
      <x:c r="L10" s="31"/>
    </x:row>
    <x:row r="11">
      <x:c r="A11" s="33" t="n">
        <x:v>45108</x:v>
      </x:c>
      <x:c r="B11" s="31" t="n">
        <x:f>SUMIFS(Subscriptions!$C$2:$C$145,Subscriptions!$A$2:$A$145,$A11)</x:f>
        <x:v>567</x:v>
      </x:c>
      <x:c r="C11" s="31" t="n">
        <x:f>SUMIFS(Subscriptions!$D$2:$D$145,Subscriptions!$A$2:$A$145,$A11)</x:f>
        <x:v>26</x:v>
      </x:c>
      <x:c r="D11" s="31" t="n">
        <x:f>SUMIFS(Subscriptions!$E$2:$E$145,Subscriptions!$A$2:$A$145,$A11)</x:f>
        <x:v>10</x:v>
      </x:c>
      <x:c r="E11" s="31" t="n">
        <x:f>SUMIFS(Subscriptions!$F$2:$F$145,Subscriptions!$A$2:$A$145,$A11)</x:f>
        <x:v>583</x:v>
      </x:c>
      <x:c r="F11" s="32" t="n">
        <x:f>SUMIFS(Subscriptions!$H$2:$H$145,Subscriptions!$A$2:$A$145,$A11)</x:f>
        <x:v>155150.198</x:v>
      </x:c>
      <x:c r="G11" s="32" t="n">
        <x:f>F11*12</x:f>
        <x:v>1861802.3760000002</x:v>
      </x:c>
      <x:c r="H11" s="42" t="n">
        <x:f>IFERROR(F11/F10-1,0)</x:f>
        <x:v>0.03364751203126848</x:v>
      </x:c>
      <x:c r="I11" s="42" t="n">
        <x:f>IFERROR(D11/B11,0)</x:f>
        <x:v>0.01763668430335097</x:v>
      </x:c>
      <x:c r="J11" s="32" t="n">
        <x:f>IFERROR(F11/E11,0)</x:f>
        <x:v>266.1238387650086</x:v>
      </x:c>
      <x:c r="K11" s="31" t="str">
        <x:f>IF(A11&lt;DATE(2026,7,1),"Actual","Forecast")</x:f>
        <x:v>Actual</x:v>
      </x:c>
      <x:c r="L11" s="31"/>
    </x:row>
    <x:row r="12">
      <x:c r="A12" s="33" t="n">
        <x:v>45139</x:v>
      </x:c>
      <x:c r="B12" s="31" t="n">
        <x:f>SUMIFS(Subscriptions!$C$2:$C$145,Subscriptions!$A$2:$A$145,$A12)</x:f>
        <x:v>583</x:v>
      </x:c>
      <x:c r="C12" s="31" t="n">
        <x:f>SUMIFS(Subscriptions!$D$2:$D$145,Subscriptions!$A$2:$A$145,$A12)</x:f>
        <x:v>24</x:v>
      </x:c>
      <x:c r="D12" s="31" t="n">
        <x:f>SUMIFS(Subscriptions!$E$2:$E$145,Subscriptions!$A$2:$A$145,$A12)</x:f>
        <x:v>11</x:v>
      </x:c>
      <x:c r="E12" s="31" t="n">
        <x:f>SUMIFS(Subscriptions!$F$2:$F$145,Subscriptions!$A$2:$A$145,$A12)</x:f>
        <x:v>596</x:v>
      </x:c>
      <x:c r="F12" s="32" t="n">
        <x:f>SUMIFS(Subscriptions!$H$2:$H$145,Subscriptions!$A$2:$A$145,$A12)</x:f>
        <x:v>159395.304</x:v>
      </x:c>
      <x:c r="G12" s="32" t="n">
        <x:f>F12*12</x:f>
        <x:v>1912743.648</x:v>
      </x:c>
      <x:c r="H12" s="42" t="n">
        <x:f>IFERROR(F12/F11-1,0)</x:f>
        <x:v>0.027361267047818938</x:v>
      </x:c>
      <x:c r="I12" s="42" t="n">
        <x:f>IFERROR(D12/B12,0)</x:f>
        <x:v>0.018867924528301886</x:v>
      </x:c>
      <x:c r="J12" s="32" t="n">
        <x:f>IFERROR(F12/E12,0)</x:f>
        <x:v>267.4417852348993</x:v>
      </x:c>
      <x:c r="K12" s="31" t="str">
        <x:f>IF(A12&lt;DATE(2026,7,1),"Actual","Forecast")</x:f>
        <x:v>Actual</x:v>
      </x:c>
      <x:c r="L12" s="31"/>
    </x:row>
    <x:row r="13">
      <x:c r="A13" s="33" t="n">
        <x:v>45170</x:v>
      </x:c>
      <x:c r="B13" s="31" t="n">
        <x:f>SUMIFS(Subscriptions!$C$2:$C$145,Subscriptions!$A$2:$A$145,$A13)</x:f>
        <x:v>596</x:v>
      </x:c>
      <x:c r="C13" s="31" t="n">
        <x:f>SUMIFS(Subscriptions!$D$2:$D$145,Subscriptions!$A$2:$A$145,$A13)</x:f>
        <x:v>21</x:v>
      </x:c>
      <x:c r="D13" s="31" t="n">
        <x:f>SUMIFS(Subscriptions!$E$2:$E$145,Subscriptions!$A$2:$A$145,$A13)</x:f>
        <x:v>14</x:v>
      </x:c>
      <x:c r="E13" s="31" t="n">
        <x:f>SUMIFS(Subscriptions!$F$2:$F$145,Subscriptions!$A$2:$A$145,$A13)</x:f>
        <x:v>603</x:v>
      </x:c>
      <x:c r="F13" s="32" t="n">
        <x:f>SUMIFS(Subscriptions!$H$2:$H$145,Subscriptions!$A$2:$A$145,$A13)</x:f>
        <x:v>162538.03399999999</x:v>
      </x:c>
      <x:c r="G13" s="32" t="n">
        <x:f>F13*12</x:f>
        <x:v>1950456.4079999998</x:v>
      </x:c>
      <x:c r="H13" s="42" t="n">
        <x:f>IFERROR(F13/F12-1,0)</x:f>
        <x:v>0.019716578350388314</x:v>
      </x:c>
      <x:c r="I13" s="42" t="n">
        <x:f>IFERROR(D13/B13,0)</x:f>
        <x:v>0.02348993288590604</x:v>
      </x:c>
      <x:c r="J13" s="32" t="n">
        <x:f>IFERROR(F13/E13,0)</x:f>
        <x:v>269.54897844112764</x:v>
      </x:c>
      <x:c r="K13" s="31" t="str">
        <x:f>IF(A13&lt;DATE(2026,7,1),"Actual","Forecast")</x:f>
        <x:v>Actual</x:v>
      </x:c>
      <x:c r="L13" s="31"/>
    </x:row>
    <x:row r="14">
      <x:c r="A14" s="33" t="n">
        <x:v>45200</x:v>
      </x:c>
      <x:c r="B14" s="31" t="n">
        <x:f>SUMIFS(Subscriptions!$C$2:$C$145,Subscriptions!$A$2:$A$145,$A14)</x:f>
        <x:v>603</x:v>
      </x:c>
      <x:c r="C14" s="31" t="n">
        <x:f>SUMIFS(Subscriptions!$D$2:$D$145,Subscriptions!$A$2:$A$145,$A14)</x:f>
        <x:v>18</x:v>
      </x:c>
      <x:c r="D14" s="31" t="n">
        <x:f>SUMIFS(Subscriptions!$E$2:$E$145,Subscriptions!$A$2:$A$145,$A14)</x:f>
        <x:v>10</x:v>
      </x:c>
      <x:c r="E14" s="31" t="n">
        <x:f>SUMIFS(Subscriptions!$F$2:$F$145,Subscriptions!$A$2:$A$145,$A14)</x:f>
        <x:v>611</x:v>
      </x:c>
      <x:c r="F14" s="32" t="n">
        <x:f>SUMIFS(Subscriptions!$H$2:$H$145,Subscriptions!$A$2:$A$145,$A14)</x:f>
        <x:v>166033.952</x:v>
      </x:c>
      <x:c r="G14" s="32" t="n">
        <x:f>F14*12</x:f>
        <x:v>1992407.4239999999</x:v>
      </x:c>
      <x:c r="H14" s="42" t="n">
        <x:f>IFERROR(F14/F13-1,0)</x:f>
        <x:v>0.021508307403299787</x:v>
      </x:c>
      <x:c r="I14" s="42" t="n">
        <x:f>IFERROR(D14/B14,0)</x:f>
        <x:v>0.01658374792703151</x:v>
      </x:c>
      <x:c r="J14" s="32" t="n">
        <x:f>IFERROR(F14/E14,0)</x:f>
        <x:v>271.7413289689034</x:v>
      </x:c>
      <x:c r="K14" s="31" t="str">
        <x:f>IF(A14&lt;DATE(2026,7,1),"Actual","Forecast")</x:f>
        <x:v>Actual</x:v>
      </x:c>
      <x:c r="L14" s="31"/>
    </x:row>
    <x:row r="15">
      <x:c r="A15" s="33" t="n">
        <x:v>45231</x:v>
      </x:c>
      <x:c r="B15" s="31" t="n">
        <x:f>SUMIFS(Subscriptions!$C$2:$C$145,Subscriptions!$A$2:$A$145,$A15)</x:f>
        <x:v>611</x:v>
      </x:c>
      <x:c r="C15" s="31" t="n">
        <x:f>SUMIFS(Subscriptions!$D$2:$D$145,Subscriptions!$A$2:$A$145,$A15)</x:f>
        <x:v>25</x:v>
      </x:c>
      <x:c r="D15" s="31" t="n">
        <x:f>SUMIFS(Subscriptions!$E$2:$E$145,Subscriptions!$A$2:$A$145,$A15)</x:f>
        <x:v>13</x:v>
      </x:c>
      <x:c r="E15" s="31" t="n">
        <x:f>SUMIFS(Subscriptions!$F$2:$F$145,Subscriptions!$A$2:$A$145,$A15)</x:f>
        <x:v>623</x:v>
      </x:c>
      <x:c r="F15" s="32" t="n">
        <x:f>SUMIFS(Subscriptions!$H$2:$H$145,Subscriptions!$A$2:$A$145,$A15)</x:f>
        <x:v>170434.246</x:v>
      </x:c>
      <x:c r="G15" s="32" t="n">
        <x:f>F15*12</x:f>
        <x:v>2045210.952</x:v>
      </x:c>
      <x:c r="H15" s="42" t="n">
        <x:f>IFERROR(F15/F14-1,0)</x:f>
        <x:v>0.026502374646843352</x:v>
      </x:c>
      <x:c r="I15" s="42" t="n">
        <x:f>IFERROR(D15/B15,0)</x:f>
        <x:v>0.02127659574468085</x:v>
      </x:c>
      <x:c r="J15" s="32" t="n">
        <x:f>IFERROR(F15/E15,0)</x:f>
        <x:v>273.5702182985554</x:v>
      </x:c>
      <x:c r="K15" s="31" t="str">
        <x:f>IF(A15&lt;DATE(2026,7,1),"Actual","Forecast")</x:f>
        <x:v>Actual</x:v>
      </x:c>
      <x:c r="L15" s="31"/>
    </x:row>
    <x:row r="16">
      <x:c r="A16" s="33" t="n">
        <x:v>45261</x:v>
      </x:c>
      <x:c r="B16" s="31" t="n">
        <x:f>SUMIFS(Subscriptions!$C$2:$C$145,Subscriptions!$A$2:$A$145,$A16)</x:f>
        <x:v>623</x:v>
      </x:c>
      <x:c r="C16" s="31" t="n">
        <x:f>SUMIFS(Subscriptions!$D$2:$D$145,Subscriptions!$A$2:$A$145,$A16)</x:f>
        <x:v>26</x:v>
      </x:c>
      <x:c r="D16" s="31" t="n">
        <x:f>SUMIFS(Subscriptions!$E$2:$E$145,Subscriptions!$A$2:$A$145,$A16)</x:f>
        <x:v>11</x:v>
      </x:c>
      <x:c r="E16" s="31" t="n">
        <x:f>SUMIFS(Subscriptions!$F$2:$F$145,Subscriptions!$A$2:$A$145,$A16)</x:f>
        <x:v>638</x:v>
      </x:c>
      <x:c r="F16" s="32" t="n">
        <x:f>SUMIFS(Subscriptions!$H$2:$H$145,Subscriptions!$A$2:$A$145,$A16)</x:f>
        <x:v>175131.54</x:v>
      </x:c>
      <x:c r="G16" s="32" t="n">
        <x:f>F16*12</x:f>
        <x:v>2101578.48</x:v>
      </x:c>
      <x:c r="H16" s="42" t="n">
        <x:f>IFERROR(F16/F15-1,0)</x:f>
        <x:v>0.027560740345575763</x:v>
      </x:c>
      <x:c r="I16" s="42" t="n">
        <x:f>IFERROR(D16/B16,0)</x:f>
        <x:v>0.01765650080256822</x:v>
      </x:c>
      <x:c r="J16" s="32" t="n">
        <x:f>IFERROR(F16/E16,0)</x:f>
        <x:v>274.50084639498436</x:v>
      </x:c>
      <x:c r="K16" s="31" t="str">
        <x:f>IF(A16&lt;DATE(2026,7,1),"Actual","Forecast")</x:f>
        <x:v>Actual</x:v>
      </x:c>
      <x:c r="L16" s="31"/>
    </x:row>
    <x:row r="17">
      <x:c r="A17" s="33" t="n">
        <x:v>45292</x:v>
      </x:c>
      <x:c r="B17" s="31" t="n">
        <x:f>SUMIFS(Subscriptions!$C$2:$C$145,Subscriptions!$A$2:$A$145,$A17)</x:f>
        <x:v>638</x:v>
      </x:c>
      <x:c r="C17" s="31" t="n">
        <x:f>SUMIFS(Subscriptions!$D$2:$D$145,Subscriptions!$A$2:$A$145,$A17)</x:f>
        <x:v>26</x:v>
      </x:c>
      <x:c r="D17" s="31" t="n">
        <x:f>SUMIFS(Subscriptions!$E$2:$E$145,Subscriptions!$A$2:$A$145,$A17)</x:f>
        <x:v>14</x:v>
      </x:c>
      <x:c r="E17" s="31" t="n">
        <x:f>SUMIFS(Subscriptions!$F$2:$F$145,Subscriptions!$A$2:$A$145,$A17)</x:f>
        <x:v>650</x:v>
      </x:c>
      <x:c r="F17" s="32" t="n">
        <x:f>SUMIFS(Subscriptions!$H$2:$H$145,Subscriptions!$A$2:$A$145,$A17)</x:f>
        <x:v>185552.36361</x:v>
      </x:c>
      <x:c r="G17" s="32" t="n">
        <x:f>F17*12</x:f>
        <x:v>2226628.36332</x:v>
      </x:c>
      <x:c r="H17" s="42" t="n">
        <x:f>IFERROR(F17/F16-1,0)</x:f>
        <x:v>0.05950283775269716</x:v>
      </x:c>
      <x:c r="I17" s="42" t="n">
        <x:f>IFERROR(D17/B17,0)</x:f>
        <x:v>0.0219435736677116</x:v>
      </x:c>
      <x:c r="J17" s="32" t="n">
        <x:f>IFERROR(F17/E17,0)</x:f>
        <x:v>285.4651747846154</x:v>
      </x:c>
      <x:c r="K17" s="31" t="str">
        <x:f>IF(A17&lt;DATE(2026,7,1),"Actual","Forecast")</x:f>
        <x:v>Actual</x:v>
      </x:c>
      <x:c r="L17" s="31"/>
    </x:row>
    <x:row r="18">
      <x:c r="A18" s="33" t="n">
        <x:v>45323</x:v>
      </x:c>
      <x:c r="B18" s="31" t="n">
        <x:f>SUMIFS(Subscriptions!$C$2:$C$145,Subscriptions!$A$2:$A$145,$A18)</x:f>
        <x:v>650</x:v>
      </x:c>
      <x:c r="C18" s="31" t="n">
        <x:f>SUMIFS(Subscriptions!$D$2:$D$145,Subscriptions!$A$2:$A$145,$A18)</x:f>
        <x:v>27</x:v>
      </x:c>
      <x:c r="D18" s="31" t="n">
        <x:f>SUMIFS(Subscriptions!$E$2:$E$145,Subscriptions!$A$2:$A$145,$A18)</x:f>
        <x:v>13</x:v>
      </x:c>
      <x:c r="E18" s="31" t="n">
        <x:f>SUMIFS(Subscriptions!$F$2:$F$145,Subscriptions!$A$2:$A$145,$A18)</x:f>
        <x:v>664</x:v>
      </x:c>
      <x:c r="F18" s="32" t="n">
        <x:f>SUMIFS(Subscriptions!$H$2:$H$145,Subscriptions!$A$2:$A$145,$A18)</x:f>
        <x:v>190311.5979</x:v>
      </x:c>
      <x:c r="G18" s="32" t="n">
        <x:f>F18*12</x:f>
        <x:v>2283739.1748</x:v>
      </x:c>
      <x:c r="H18" s="42" t="n">
        <x:f>IFERROR(F18/F17-1,0)</x:f>
        <x:v>0.02564900924680802</x:v>
      </x:c>
      <x:c r="I18" s="42" t="n">
        <x:f>IFERROR(D18/B18,0)</x:f>
        <x:v>0.02</x:v>
      </x:c>
      <x:c r="J18" s="32" t="n">
        <x:f>IFERROR(F18/E18,0)</x:f>
        <x:v>286.61385225903615</x:v>
      </x:c>
      <x:c r="K18" s="31" t="str">
        <x:f>IF(A18&lt;DATE(2026,7,1),"Actual","Forecast")</x:f>
        <x:v>Actual</x:v>
      </x:c>
      <x:c r="L18" s="31"/>
    </x:row>
    <x:row r="19">
      <x:c r="A19" s="33" t="n">
        <x:v>45352</x:v>
      </x:c>
      <x:c r="B19" s="31" t="n">
        <x:f>SUMIFS(Subscriptions!$C$2:$C$145,Subscriptions!$A$2:$A$145,$A19)</x:f>
        <x:v>664</x:v>
      </x:c>
      <x:c r="C19" s="31" t="n">
        <x:f>SUMIFS(Subscriptions!$D$2:$D$145,Subscriptions!$A$2:$A$145,$A19)</x:f>
        <x:v>31</x:v>
      </x:c>
      <x:c r="D19" s="31" t="n">
        <x:f>SUMIFS(Subscriptions!$E$2:$E$145,Subscriptions!$A$2:$A$145,$A19)</x:f>
        <x:v>11</x:v>
      </x:c>
      <x:c r="E19" s="31" t="n">
        <x:f>SUMIFS(Subscriptions!$F$2:$F$145,Subscriptions!$A$2:$A$145,$A19)</x:f>
        <x:v>684</x:v>
      </x:c>
      <x:c r="F19" s="32" t="n">
        <x:f>SUMIFS(Subscriptions!$H$2:$H$145,Subscriptions!$A$2:$A$145,$A19)</x:f>
        <x:v>196211.79134999996</x:v>
      </x:c>
      <x:c r="G19" s="32" t="n">
        <x:f>F19*12</x:f>
        <x:v>2354541.4961999995</x:v>
      </x:c>
      <x:c r="H19" s="42" t="n">
        <x:f>IFERROR(F19/F18-1,0)</x:f>
        <x:v>0.031002805478519635</x:v>
      </x:c>
      <x:c r="I19" s="42" t="n">
        <x:f>IFERROR(D19/B19,0)</x:f>
        <x:v>0.016566265060240965</x:v>
      </x:c>
      <x:c r="J19" s="32" t="n">
        <x:f>IFERROR(F19/E19,0)</x:f>
        <x:v>286.8593440789473</x:v>
      </x:c>
      <x:c r="K19" s="31" t="str">
        <x:f>IF(A19&lt;DATE(2026,7,1),"Actual","Forecast")</x:f>
        <x:v>Actual</x:v>
      </x:c>
      <x:c r="L19" s="31"/>
    </x:row>
    <x:row r="20">
      <x:c r="A20" s="33" t="n">
        <x:v>45383</x:v>
      </x:c>
      <x:c r="B20" s="31" t="n">
        <x:f>SUMIFS(Subscriptions!$C$2:$C$145,Subscriptions!$A$2:$A$145,$A20)</x:f>
        <x:v>684</x:v>
      </x:c>
      <x:c r="C20" s="31" t="n">
        <x:f>SUMIFS(Subscriptions!$D$2:$D$145,Subscriptions!$A$2:$A$145,$A20)</x:f>
        <x:v>33</x:v>
      </x:c>
      <x:c r="D20" s="31" t="n">
        <x:f>SUMIFS(Subscriptions!$E$2:$E$145,Subscriptions!$A$2:$A$145,$A20)</x:f>
        <x:v>13</x:v>
      </x:c>
      <x:c r="E20" s="31" t="n">
        <x:f>SUMIFS(Subscriptions!$F$2:$F$145,Subscriptions!$A$2:$A$145,$A20)</x:f>
        <x:v>704</x:v>
      </x:c>
      <x:c r="F20" s="32" t="n">
        <x:f>SUMIFS(Subscriptions!$H$2:$H$145,Subscriptions!$A$2:$A$145,$A20)</x:f>
        <x:v>203332.03245</x:v>
      </x:c>
      <x:c r="G20" s="32" t="n">
        <x:f>F20*12</x:f>
        <x:v>2439984.3893999998</x:v>
      </x:c>
      <x:c r="H20" s="42" t="n">
        <x:f>IFERROR(F20/F19-1,0)</x:f>
        <x:v>0.03628854846597385</x:v>
      </x:c>
      <x:c r="I20" s="42" t="n">
        <x:f>IFERROR(D20/B20,0)</x:f>
        <x:v>0.019005847953216373</x:v>
      </x:c>
      <x:c r="J20" s="32" t="n">
        <x:f>IFERROR(F20/E20,0)</x:f>
        <x:v>288.82390973011366</x:v>
      </x:c>
      <x:c r="K20" s="31" t="str">
        <x:f>IF(A20&lt;DATE(2026,7,1),"Actual","Forecast")</x:f>
        <x:v>Actual</x:v>
      </x:c>
      <x:c r="L20" s="31"/>
    </x:row>
    <x:row r="21">
      <x:c r="A21" s="33" t="n">
        <x:v>45413</x:v>
      </x:c>
      <x:c r="B21" s="31" t="n">
        <x:f>SUMIFS(Subscriptions!$C$2:$C$145,Subscriptions!$A$2:$A$145,$A21)</x:f>
        <x:v>704</x:v>
      </x:c>
      <x:c r="C21" s="31" t="n">
        <x:f>SUMIFS(Subscriptions!$D$2:$D$145,Subscriptions!$A$2:$A$145,$A21)</x:f>
        <x:v>30</x:v>
      </x:c>
      <x:c r="D21" s="31" t="n">
        <x:f>SUMIFS(Subscriptions!$E$2:$E$145,Subscriptions!$A$2:$A$145,$A21)</x:f>
        <x:v>15</x:v>
      </x:c>
      <x:c r="E21" s="31" t="n">
        <x:f>SUMIFS(Subscriptions!$F$2:$F$145,Subscriptions!$A$2:$A$145,$A21)</x:f>
        <x:v>719</x:v>
      </x:c>
      <x:c r="F21" s="32" t="n">
        <x:f>SUMIFS(Subscriptions!$H$2:$H$145,Subscriptions!$A$2:$A$145,$A21)</x:f>
        <x:v>209676.86397</x:v>
      </x:c>
      <x:c r="G21" s="32" t="n">
        <x:f>F21*12</x:f>
        <x:v>2516122.36764</x:v>
      </x:c>
      <x:c r="H21" s="42" t="n">
        <x:f>IFERROR(F21/F20-1,0)</x:f>
        <x:v>0.03120428908101447</x:v>
      </x:c>
      <x:c r="I21" s="42" t="n">
        <x:f>IFERROR(D21/B21,0)</x:f>
        <x:v>0.02130681818181818</x:v>
      </x:c>
      <x:c r="J21" s="32" t="n">
        <x:f>IFERROR(F21/E21,0)</x:f>
        <x:v>291.62289842837276</x:v>
      </x:c>
      <x:c r="K21" s="31" t="str">
        <x:f>IF(A21&lt;DATE(2026,7,1),"Actual","Forecast")</x:f>
        <x:v>Actual</x:v>
      </x:c>
      <x:c r="L21" s="31"/>
    </x:row>
    <x:row r="22">
      <x:c r="A22" s="33" t="n">
        <x:v>45444</x:v>
      </x:c>
      <x:c r="B22" s="31" t="n">
        <x:f>SUMIFS(Subscriptions!$C$2:$C$145,Subscriptions!$A$2:$A$145,$A22)</x:f>
        <x:v>719</x:v>
      </x:c>
      <x:c r="C22" s="31" t="n">
        <x:f>SUMIFS(Subscriptions!$D$2:$D$145,Subscriptions!$A$2:$A$145,$A22)</x:f>
        <x:v>32</x:v>
      </x:c>
      <x:c r="D22" s="31" t="n">
        <x:f>SUMIFS(Subscriptions!$E$2:$E$145,Subscriptions!$A$2:$A$145,$A22)</x:f>
        <x:v>15</x:v>
      </x:c>
      <x:c r="E22" s="31" t="n">
        <x:f>SUMIFS(Subscriptions!$F$2:$F$145,Subscriptions!$A$2:$A$145,$A22)</x:f>
        <x:v>736</x:v>
      </x:c>
      <x:c r="F22" s="32" t="n">
        <x:f>SUMIFS(Subscriptions!$H$2:$H$145,Subscriptions!$A$2:$A$145,$A22)</x:f>
        <x:v>217015.87922999996</x:v>
      </x:c>
      <x:c r="G22" s="32" t="n">
        <x:f>F22*12</x:f>
        <x:v>2604190.5507599995</x:v>
      </x:c>
      <x:c r="H22" s="42" t="n">
        <x:f>IFERROR(F22/F21-1,0)</x:f>
        <x:v>0.035001550104498014</x:v>
      </x:c>
      <x:c r="I22" s="42" t="n">
        <x:f>IFERROR(D22/B22,0)</x:f>
        <x:v>0.02086230876216968</x:v>
      </x:c>
      <x:c r="J22" s="32" t="n">
        <x:f>IFERROR(F22/E22,0)</x:f>
        <x:v>294.85853156249993</x:v>
      </x:c>
      <x:c r="K22" s="31" t="str">
        <x:f>IF(A22&lt;DATE(2026,7,1),"Actual","Forecast")</x:f>
        <x:v>Actual</x:v>
      </x:c>
      <x:c r="L22" s="31"/>
    </x:row>
    <x:row r="23">
      <x:c r="A23" s="33" t="n">
        <x:v>45474</x:v>
      </x:c>
      <x:c r="B23" s="31" t="n">
        <x:f>SUMIFS(Subscriptions!$C$2:$C$145,Subscriptions!$A$2:$A$145,$A23)</x:f>
        <x:v>736</x:v>
      </x:c>
      <x:c r="C23" s="31" t="n">
        <x:f>SUMIFS(Subscriptions!$D$2:$D$145,Subscriptions!$A$2:$A$145,$A23)</x:f>
        <x:v>30</x:v>
      </x:c>
      <x:c r="D23" s="31" t="n">
        <x:f>SUMIFS(Subscriptions!$E$2:$E$145,Subscriptions!$A$2:$A$145,$A23)</x:f>
        <x:v>11</x:v>
      </x:c>
      <x:c r="E23" s="31" t="n">
        <x:f>SUMIFS(Subscriptions!$F$2:$F$145,Subscriptions!$A$2:$A$145,$A23)</x:f>
        <x:v>755</x:v>
      </x:c>
      <x:c r="F23" s="32" t="n">
        <x:f>SUMIFS(Subscriptions!$H$2:$H$145,Subscriptions!$A$2:$A$145,$A23)</x:f>
        <x:v>223770.57075</x:v>
      </x:c>
      <x:c r="G23" s="32" t="n">
        <x:f>F23*12</x:f>
        <x:v>2685246.8490000004</x:v>
      </x:c>
      <x:c r="H23" s="42" t="n">
        <x:f>IFERROR(F23/F22-1,0)</x:f>
        <x:v>0.031125333058422022</x:v>
      </x:c>
      <x:c r="I23" s="42" t="n">
        <x:f>IFERROR(D23/B23,0)</x:f>
        <x:v>0.014945652173913044</x:v>
      </x:c>
      <x:c r="J23" s="32" t="n">
        <x:f>IFERROR(F23/E23,0)</x:f>
        <x:v>296.38486192052983</x:v>
      </x:c>
      <x:c r="K23" s="31" t="str">
        <x:f>IF(A23&lt;DATE(2026,7,1),"Actual","Forecast")</x:f>
        <x:v>Actual</x:v>
      </x:c>
      <x:c r="L23" s="31"/>
    </x:row>
    <x:row r="24">
      <x:c r="A24" s="33" t="n">
        <x:v>45505</x:v>
      </x:c>
      <x:c r="B24" s="31" t="n">
        <x:f>SUMIFS(Subscriptions!$C$2:$C$145,Subscriptions!$A$2:$A$145,$A24)</x:f>
        <x:v>755</x:v>
      </x:c>
      <x:c r="C24" s="31" t="n">
        <x:f>SUMIFS(Subscriptions!$D$2:$D$145,Subscriptions!$A$2:$A$145,$A24)</x:f>
        <x:v>30</x:v>
      </x:c>
      <x:c r="D24" s="31" t="n">
        <x:f>SUMIFS(Subscriptions!$E$2:$E$145,Subscriptions!$A$2:$A$145,$A24)</x:f>
        <x:v>14</x:v>
      </x:c>
      <x:c r="E24" s="31" t="n">
        <x:f>SUMIFS(Subscriptions!$F$2:$F$145,Subscriptions!$A$2:$A$145,$A24)</x:f>
        <x:v>771</x:v>
      </x:c>
      <x:c r="F24" s="32" t="n">
        <x:f>SUMIFS(Subscriptions!$H$2:$H$145,Subscriptions!$A$2:$A$145,$A24)</x:f>
        <x:v>230480.95185</x:v>
      </x:c>
      <x:c r="G24" s="32" t="n">
        <x:f>F24*12</x:f>
        <x:v>2765771.4222</x:v>
      </x:c>
      <x:c r="H24" s="42" t="n">
        <x:f>IFERROR(F24/F23-1,0)</x:f>
        <x:v>0.02998777309057732</x:v>
      </x:c>
      <x:c r="I24" s="42" t="n">
        <x:f>IFERROR(D24/B24,0)</x:f>
        <x:v>0.018543046357615896</x:v>
      </x:c>
      <x:c r="J24" s="32" t="n">
        <x:f>IFERROR(F24/E24,0)</x:f>
        <x:v>298.93768073929965</x:v>
      </x:c>
      <x:c r="K24" s="31" t="str">
        <x:f>IF(A24&lt;DATE(2026,7,1),"Actual","Forecast")</x:f>
        <x:v>Actual</x:v>
      </x:c>
      <x:c r="L24" s="31"/>
    </x:row>
    <x:row r="25">
      <x:c r="A25" s="33" t="n">
        <x:v>45536</x:v>
      </x:c>
      <x:c r="B25" s="31" t="n">
        <x:f>SUMIFS(Subscriptions!$C$2:$C$145,Subscriptions!$A$2:$A$145,$A25)</x:f>
        <x:v>771</x:v>
      </x:c>
      <x:c r="C25" s="31" t="n">
        <x:f>SUMIFS(Subscriptions!$D$2:$D$145,Subscriptions!$A$2:$A$145,$A25)</x:f>
        <x:v>30</x:v>
      </x:c>
      <x:c r="D25" s="31" t="n">
        <x:f>SUMIFS(Subscriptions!$E$2:$E$145,Subscriptions!$A$2:$A$145,$A25)</x:f>
        <x:v>15</x:v>
      </x:c>
      <x:c r="E25" s="31" t="n">
        <x:f>SUMIFS(Subscriptions!$F$2:$F$145,Subscriptions!$A$2:$A$145,$A25)</x:f>
        <x:v>786</x:v>
      </x:c>
      <x:c r="F25" s="32" t="n">
        <x:f>SUMIFS(Subscriptions!$H$2:$H$145,Subscriptions!$A$2:$A$145,$A25)</x:f>
        <x:v>235868.8203</x:v>
      </x:c>
      <x:c r="G25" s="32" t="n">
        <x:f>F25*12</x:f>
        <x:v>2830425.8436</x:v>
      </x:c>
      <x:c r="H25" s="42" t="n">
        <x:f>IFERROR(F25/F24-1,0)</x:f>
        <x:v>0.023376632241203454</x:v>
      </x:c>
      <x:c r="I25" s="42" t="n">
        <x:f>IFERROR(D25/B25,0)</x:f>
        <x:v>0.019455252918287938</x:v>
      </x:c>
      <x:c r="J25" s="32" t="n">
        <x:f>IFERROR(F25/E25,0)</x:f>
        <x:v>300.0875576335878</x:v>
      </x:c>
      <x:c r="K25" s="31" t="str">
        <x:f>IF(A25&lt;DATE(2026,7,1),"Actual","Forecast")</x:f>
        <x:v>Actual</x:v>
      </x:c>
      <x:c r="L25" s="31"/>
    </x:row>
    <x:row r="26">
      <x:c r="A26" s="33" t="n">
        <x:v>45566</x:v>
      </x:c>
      <x:c r="B26" s="31" t="n">
        <x:f>SUMIFS(Subscriptions!$C$2:$C$145,Subscriptions!$A$2:$A$145,$A26)</x:f>
        <x:v>786</x:v>
      </x:c>
      <x:c r="C26" s="31" t="n">
        <x:f>SUMIFS(Subscriptions!$D$2:$D$145,Subscriptions!$A$2:$A$145,$A26)</x:f>
        <x:v>33</x:v>
      </x:c>
      <x:c r="D26" s="31" t="n">
        <x:f>SUMIFS(Subscriptions!$E$2:$E$145,Subscriptions!$A$2:$A$145,$A26)</x:f>
        <x:v>16</x:v>
      </x:c>
      <x:c r="E26" s="31" t="n">
        <x:f>SUMIFS(Subscriptions!$F$2:$F$145,Subscriptions!$A$2:$A$145,$A26)</x:f>
        <x:v>803</x:v>
      </x:c>
      <x:c r="F26" s="32" t="n">
        <x:f>SUMIFS(Subscriptions!$H$2:$H$145,Subscriptions!$A$2:$A$145,$A26)</x:f>
        <x:v>241461.61874999997</x:v>
      </x:c>
      <x:c r="G26" s="32" t="n">
        <x:f>F26*12</x:f>
        <x:v>2897539.425</x:v>
      </x:c>
      <x:c r="H26" s="42" t="n">
        <x:f>IFERROR(F26/F25-1,0)</x:f>
        <x:v>0.02371147845182131</x:v>
      </x:c>
      <x:c r="I26" s="42" t="n">
        <x:f>IFERROR(D26/B26,0)</x:f>
        <x:v>0.020356234096692113</x:v>
      </x:c>
      <x:c r="J26" s="32" t="n">
        <x:f>IFERROR(F26/E26,0)</x:f>
        <x:v>300.69940068493145</x:v>
      </x:c>
      <x:c r="K26" s="31" t="str">
        <x:f>IF(A26&lt;DATE(2026,7,1),"Actual","Forecast")</x:f>
        <x:v>Actual</x:v>
      </x:c>
      <x:c r="L26" s="31"/>
    </x:row>
    <x:row r="27">
      <x:c r="A27" s="33" t="n">
        <x:v>45597</x:v>
      </x:c>
      <x:c r="B27" s="31" t="n">
        <x:f>SUMIFS(Subscriptions!$C$2:$C$145,Subscriptions!$A$2:$A$145,$A27)</x:f>
        <x:v>803</x:v>
      </x:c>
      <x:c r="C27" s="31" t="n">
        <x:f>SUMIFS(Subscriptions!$D$2:$D$145,Subscriptions!$A$2:$A$145,$A27)</x:f>
        <x:v>32</x:v>
      </x:c>
      <x:c r="D27" s="31" t="n">
        <x:f>SUMIFS(Subscriptions!$E$2:$E$145,Subscriptions!$A$2:$A$145,$A27)</x:f>
        <x:v>16</x:v>
      </x:c>
      <x:c r="E27" s="31" t="n">
        <x:f>SUMIFS(Subscriptions!$F$2:$F$145,Subscriptions!$A$2:$A$145,$A27)</x:f>
        <x:v>819</x:v>
      </x:c>
      <x:c r="F27" s="32" t="n">
        <x:f>SUMIFS(Subscriptions!$H$2:$H$145,Subscriptions!$A$2:$A$145,$A27)</x:f>
        <x:v>246951.95219999997</x:v>
      </x:c>
      <x:c r="G27" s="32" t="n">
        <x:f>F27*12</x:f>
        <x:v>2963423.4263999998</x:v>
      </x:c>
      <x:c r="H27" s="42" t="n">
        <x:f>IFERROR(F27/F26-1,0)</x:f>
        <x:v>0.022737913704142354</x:v>
      </x:c>
      <x:c r="I27" s="42" t="n">
        <x:f>IFERROR(D27/B27,0)</x:f>
        <x:v>0.019925280199252802</x:v>
      </x:c>
      <x:c r="J27" s="32" t="n">
        <x:f>IFERROR(F27/E27,0)</x:f>
        <x:v>301.5286351648351</x:v>
      </x:c>
      <x:c r="K27" s="31" t="str">
        <x:f>IF(A27&lt;DATE(2026,7,1),"Actual","Forecast")</x:f>
        <x:v>Actual</x:v>
      </x:c>
      <x:c r="L27" s="31"/>
    </x:row>
    <x:row r="28">
      <x:c r="A28" s="33" t="n">
        <x:v>45627</x:v>
      </x:c>
      <x:c r="B28" s="31" t="n">
        <x:f>SUMIFS(Subscriptions!$C$2:$C$145,Subscriptions!$A$2:$A$145,$A28)</x:f>
        <x:v>819</x:v>
      </x:c>
      <x:c r="C28" s="31" t="n">
        <x:f>SUMIFS(Subscriptions!$D$2:$D$145,Subscriptions!$A$2:$A$145,$A28)</x:f>
        <x:v>32</x:v>
      </x:c>
      <x:c r="D28" s="31" t="n">
        <x:f>SUMIFS(Subscriptions!$E$2:$E$145,Subscriptions!$A$2:$A$145,$A28)</x:f>
        <x:v>16</x:v>
      </x:c>
      <x:c r="E28" s="31" t="n">
        <x:f>SUMIFS(Subscriptions!$F$2:$F$145,Subscriptions!$A$2:$A$145,$A28)</x:f>
        <x:v>835</x:v>
      </x:c>
      <x:c r="F28" s="32" t="n">
        <x:f>SUMIFS(Subscriptions!$H$2:$H$145,Subscriptions!$A$2:$A$145,$A28)</x:f>
        <x:v>252179.20106999995</x:v>
      </x:c>
      <x:c r="G28" s="32" t="n">
        <x:f>F28*12</x:f>
        <x:v>3026150.4128399994</x:v>
      </x:c>
      <x:c r="H28" s="42" t="n">
        <x:f>IFERROR(F28/F27-1,0)</x:f>
        <x:v>0.021167068425385738</x:v>
      </x:c>
      <x:c r="I28" s="42" t="n">
        <x:f>IFERROR(D28/B28,0)</x:f>
        <x:v>0.019536019536019536</x:v>
      </x:c>
      <x:c r="J28" s="32" t="n">
        <x:f>IFERROR(F28/E28,0)</x:f>
        <x:v>302.0110192455089</x:v>
      </x:c>
      <x:c r="K28" s="31" t="str">
        <x:f>IF(A28&lt;DATE(2026,7,1),"Actual","Forecast")</x:f>
        <x:v>Actual</x:v>
      </x:c>
      <x:c r="L28" s="31"/>
    </x:row>
    <x:row r="29">
      <x:c r="A29" s="33" t="n">
        <x:v>45658</x:v>
      </x:c>
      <x:c r="B29" s="31" t="n">
        <x:f>SUMIFS(Subscriptions!$C$2:$C$145,Subscriptions!$A$2:$A$145,$A29)</x:f>
        <x:v>835</x:v>
      </x:c>
      <x:c r="C29" s="31" t="n">
        <x:f>SUMIFS(Subscriptions!$D$2:$D$145,Subscriptions!$A$2:$A$145,$A29)</x:f>
        <x:v>34</x:v>
      </x:c>
      <x:c r="D29" s="31" t="n">
        <x:f>SUMIFS(Subscriptions!$E$2:$E$145,Subscriptions!$A$2:$A$145,$A29)</x:f>
        <x:v>15</x:v>
      </x:c>
      <x:c r="E29" s="31" t="n">
        <x:f>SUMIFS(Subscriptions!$F$2:$F$145,Subscriptions!$A$2:$A$145,$A29)</x:f>
        <x:v>854</x:v>
      </x:c>
      <x:c r="F29" s="32" t="n">
        <x:f>SUMIFS(Subscriptions!$H$2:$H$145,Subscriptions!$A$2:$A$145,$A29)</x:f>
        <x:v>268268.87137095</x:v>
      </x:c>
      <x:c r="G29" s="32" t="n">
        <x:f>F29*12</x:f>
        <x:v>3219226.4564514</x:v>
      </x:c>
      <x:c r="H29" s="42" t="n">
        <x:f>IFERROR(F29/F28-1,0)</x:f>
        <x:v>0.06380252706282419</x:v>
      </x:c>
      <x:c r="I29" s="42" t="n">
        <x:f>IFERROR(D29/B29,0)</x:f>
        <x:v>0.017964071856287425</x:v>
      </x:c>
      <x:c r="J29" s="32" t="n">
        <x:f>IFERROR(F29/E29,0)</x:f>
        <x:v>314.1321678816745</x:v>
      </x:c>
      <x:c r="K29" s="31" t="str">
        <x:f>IF(A29&lt;DATE(2026,7,1),"Actual","Forecast")</x:f>
        <x:v>Actual</x:v>
      </x:c>
      <x:c r="L29" s="31"/>
    </x:row>
    <x:row r="30">
      <x:c r="A30" s="33" t="n">
        <x:v>45689</x:v>
      </x:c>
      <x:c r="B30" s="31" t="n">
        <x:f>SUMIFS(Subscriptions!$C$2:$C$145,Subscriptions!$A$2:$A$145,$A30)</x:f>
        <x:v>854</x:v>
      </x:c>
      <x:c r="C30" s="31" t="n">
        <x:f>SUMIFS(Subscriptions!$D$2:$D$145,Subscriptions!$A$2:$A$145,$A30)</x:f>
        <x:v>38</x:v>
      </x:c>
      <x:c r="D30" s="31" t="n">
        <x:f>SUMIFS(Subscriptions!$E$2:$E$145,Subscriptions!$A$2:$A$145,$A30)</x:f>
        <x:v>19</x:v>
      </x:c>
      <x:c r="E30" s="31" t="n">
        <x:f>SUMIFS(Subscriptions!$F$2:$F$145,Subscriptions!$A$2:$A$145,$A30)</x:f>
        <x:v>873</x:v>
      </x:c>
      <x:c r="F30" s="32" t="n">
        <x:f>SUMIFS(Subscriptions!$H$2:$H$145,Subscriptions!$A$2:$A$145,$A30)</x:f>
        <x:v>276349.14725534996</x:v>
      </x:c>
      <x:c r="G30" s="32" t="n">
        <x:f>F30*12</x:f>
        <x:v>3316189.7670642</x:v>
      </x:c>
      <x:c r="H30" s="42" t="n">
        <x:f>IFERROR(F30/F29-1,0)</x:f>
        <x:v>0.030120065153690145</x:v>
      </x:c>
      <x:c r="I30" s="42" t="n">
        <x:f>IFERROR(D30/B30,0)</x:f>
        <x:v>0.02224824355971897</x:v>
      </x:c>
      <x:c r="J30" s="32" t="n">
        <x:f>IFERROR(F30/E30,0)</x:f>
        <x:v>316.55114233144326</x:v>
      </x:c>
      <x:c r="K30" s="31" t="str">
        <x:f>IF(A30&lt;DATE(2026,7,1),"Actual","Forecast")</x:f>
        <x:v>Actual</x:v>
      </x:c>
      <x:c r="L30" s="31"/>
    </x:row>
    <x:row r="31">
      <x:c r="A31" s="33" t="n">
        <x:v>45717</x:v>
      </x:c>
      <x:c r="B31" s="31" t="n">
        <x:f>SUMIFS(Subscriptions!$C$2:$C$145,Subscriptions!$A$2:$A$145,$A31)</x:f>
        <x:v>873</x:v>
      </x:c>
      <x:c r="C31" s="31" t="n">
        <x:f>SUMIFS(Subscriptions!$D$2:$D$145,Subscriptions!$A$2:$A$145,$A31)</x:f>
        <x:v>40</x:v>
      </x:c>
      <x:c r="D31" s="31" t="n">
        <x:f>SUMIFS(Subscriptions!$E$2:$E$145,Subscriptions!$A$2:$A$145,$A31)</x:f>
        <x:v>16</x:v>
      </x:c>
      <x:c r="E31" s="31" t="n">
        <x:f>SUMIFS(Subscriptions!$F$2:$F$145,Subscriptions!$A$2:$A$145,$A31)</x:f>
        <x:v>897</x:v>
      </x:c>
      <x:c r="F31" s="32" t="n">
        <x:f>SUMIFS(Subscriptions!$H$2:$H$145,Subscriptions!$A$2:$A$145,$A31)</x:f>
        <x:v>285231.97205504996</x:v>
      </x:c>
      <x:c r="G31" s="32" t="n">
        <x:f>F31*12</x:f>
        <x:v>3422783.6646605995</x:v>
      </x:c>
      <x:c r="H31" s="42" t="n">
        <x:f>IFERROR(F31/F30-1,0)</x:f>
        <x:v>0.03214348547090751</x:v>
      </x:c>
      <x:c r="I31" s="42" t="n">
        <x:f>IFERROR(D31/B31,0)</x:f>
        <x:v>0.018327605956471937</x:v>
      </x:c>
      <x:c r="J31" s="32" t="n">
        <x:f>IFERROR(F31/E31,0)</x:f>
        <x:v>317.98436126538456</x:v>
      </x:c>
      <x:c r="K31" s="31" t="str">
        <x:f>IF(A31&lt;DATE(2026,7,1),"Actual","Forecast")</x:f>
        <x:v>Actual</x:v>
      </x:c>
      <x:c r="L31" s="31"/>
    </x:row>
    <x:row r="32">
      <x:c r="A32" s="33" t="n">
        <x:v>45748</x:v>
      </x:c>
      <x:c r="B32" s="31" t="n">
        <x:f>SUMIFS(Subscriptions!$C$2:$C$145,Subscriptions!$A$2:$A$145,$A32)</x:f>
        <x:v>897</x:v>
      </x:c>
      <x:c r="C32" s="31" t="n">
        <x:f>SUMIFS(Subscriptions!$D$2:$D$145,Subscriptions!$A$2:$A$145,$A32)</x:f>
        <x:v>40</x:v>
      </x:c>
      <x:c r="D32" s="31" t="n">
        <x:f>SUMIFS(Subscriptions!$E$2:$E$145,Subscriptions!$A$2:$A$145,$A32)</x:f>
        <x:v>15</x:v>
      </x:c>
      <x:c r="E32" s="31" t="n">
        <x:f>SUMIFS(Subscriptions!$F$2:$F$145,Subscriptions!$A$2:$A$145,$A32)</x:f>
        <x:v>922</x:v>
      </x:c>
      <x:c r="F32" s="32" t="n">
        <x:f>SUMIFS(Subscriptions!$H$2:$H$145,Subscriptions!$A$2:$A$145,$A32)</x:f>
        <x:v>292685.80627169996</x:v>
      </x:c>
      <x:c r="G32" s="32" t="n">
        <x:f>F32*12</x:f>
        <x:v>3512229.6752603995</x:v>
      </x:c>
      <x:c r="H32" s="42" t="n">
        <x:f>IFERROR(F32/F31-1,0)</x:f>
        <x:v>0.026132534031673593</x:v>
      </x:c>
      <x:c r="I32" s="42" t="n">
        <x:f>IFERROR(D32/B32,0)</x:f>
        <x:v>0.016722408026755852</x:v>
      </x:c>
      <x:c r="J32" s="32" t="n">
        <x:f>IFERROR(F32/E32,0)</x:f>
        <x:v>317.4466445463123</x:v>
      </x:c>
      <x:c r="K32" s="31" t="str">
        <x:f>IF(A32&lt;DATE(2026,7,1),"Actual","Forecast")</x:f>
        <x:v>Actual</x:v>
      </x:c>
      <x:c r="L32" s="31"/>
    </x:row>
    <x:row r="33">
      <x:c r="A33" s="33" t="n">
        <x:v>45778</x:v>
      </x:c>
      <x:c r="B33" s="31" t="n">
        <x:f>SUMIFS(Subscriptions!$C$2:$C$145,Subscriptions!$A$2:$A$145,$A33)</x:f>
        <x:v>922</x:v>
      </x:c>
      <x:c r="C33" s="31" t="n">
        <x:f>SUMIFS(Subscriptions!$D$2:$D$145,Subscriptions!$A$2:$A$145,$A33)</x:f>
        <x:v>46</x:v>
      </x:c>
      <x:c r="D33" s="31" t="n">
        <x:f>SUMIFS(Subscriptions!$E$2:$E$145,Subscriptions!$A$2:$A$145,$A33)</x:f>
        <x:v>22</x:v>
      </x:c>
      <x:c r="E33" s="31" t="n">
        <x:f>SUMIFS(Subscriptions!$F$2:$F$145,Subscriptions!$A$2:$A$145,$A33)</x:f>
        <x:v>946</x:v>
      </x:c>
      <x:c r="F33" s="32" t="n">
        <x:f>SUMIFS(Subscriptions!$H$2:$H$145,Subscriptions!$A$2:$A$145,$A33)</x:f>
        <x:v>302385.50869229995</x:v>
      </x:c>
      <x:c r="G33" s="32" t="n">
        <x:f>F33*12</x:f>
        <x:v>3628626.1043075994</x:v>
      </x:c>
      <x:c r="H33" s="42" t="n">
        <x:f>IFERROR(F33/F32-1,0)</x:f>
        <x:v>0.03314032389939592</x:v>
      </x:c>
      <x:c r="I33" s="42" t="n">
        <x:f>IFERROR(D33/B33,0)</x:f>
        <x:v>0.02386117136659436</x:v>
      </x:c>
      <x:c r="J33" s="32" t="n">
        <x:f>IFERROR(F33/E33,0)</x:f>
        <x:v>319.6464151081395</x:v>
      </x:c>
      <x:c r="K33" s="31" t="str">
        <x:f>IF(A33&lt;DATE(2026,7,1),"Actual","Forecast")</x:f>
        <x:v>Actual</x:v>
      </x:c>
      <x:c r="L33" s="31"/>
    </x:row>
    <x:row r="34">
      <x:c r="A34" s="33" t="n">
        <x:v>45809</x:v>
      </x:c>
      <x:c r="B34" s="31" t="n">
        <x:f>SUMIFS(Subscriptions!$C$2:$C$145,Subscriptions!$A$2:$A$145,$A34)</x:f>
        <x:v>946</x:v>
      </x:c>
      <x:c r="C34" s="31" t="n">
        <x:f>SUMIFS(Subscriptions!$D$2:$D$145,Subscriptions!$A$2:$A$145,$A34)</x:f>
        <x:v>43</x:v>
      </x:c>
      <x:c r="D34" s="31" t="n">
        <x:f>SUMIFS(Subscriptions!$E$2:$E$145,Subscriptions!$A$2:$A$145,$A34)</x:f>
        <x:v>19</x:v>
      </x:c>
      <x:c r="E34" s="31" t="n">
        <x:f>SUMIFS(Subscriptions!$F$2:$F$145,Subscriptions!$A$2:$A$145,$A34)</x:f>
        <x:v>970</x:v>
      </x:c>
      <x:c r="F34" s="32" t="n">
        <x:f>SUMIFS(Subscriptions!$H$2:$H$145,Subscriptions!$A$2:$A$145,$A34)</x:f>
        <x:v>310550.16925484996</x:v>
      </x:c>
      <x:c r="G34" s="32" t="n">
        <x:f>F34*12</x:f>
        <x:v>3726602.0310581997</x:v>
      </x:c>
      <x:c r="H34" s="42" t="n">
        <x:f>IFERROR(F34/F33-1,0)</x:f>
        <x:v>0.02700083280398924</x:v>
      </x:c>
      <x:c r="I34" s="42" t="n">
        <x:f>IFERROR(D34/B34,0)</x:f>
        <x:v>0.0200845665961945</x:v>
      </x:c>
      <x:c r="J34" s="32" t="n">
        <x:f>IFERROR(F34/E34,0)</x:f>
        <x:v>320.1548136647938</x:v>
      </x:c>
      <x:c r="K34" s="31" t="str">
        <x:f>IF(A34&lt;DATE(2026,7,1),"Actual","Forecast")</x:f>
        <x:v>Actual</x:v>
      </x:c>
      <x:c r="L34" s="31"/>
    </x:row>
    <x:row r="35">
      <x:c r="A35" s="33" t="n">
        <x:v>45839</x:v>
      </x:c>
      <x:c r="B35" s="31" t="n">
        <x:f>SUMIFS(Subscriptions!$C$2:$C$145,Subscriptions!$A$2:$A$145,$A35)</x:f>
        <x:v>970</x:v>
      </x:c>
      <x:c r="C35" s="31" t="n">
        <x:f>SUMIFS(Subscriptions!$D$2:$D$145,Subscriptions!$A$2:$A$145,$A35)</x:f>
        <x:v>44</x:v>
      </x:c>
      <x:c r="D35" s="31" t="n">
        <x:f>SUMIFS(Subscriptions!$E$2:$E$145,Subscriptions!$A$2:$A$145,$A35)</x:f>
        <x:v>21</x:v>
      </x:c>
      <x:c r="E35" s="31" t="n">
        <x:f>SUMIFS(Subscriptions!$F$2:$F$145,Subscriptions!$A$2:$A$145,$A35)</x:f>
        <x:v>993</x:v>
      </x:c>
      <x:c r="F35" s="32" t="n">
        <x:f>SUMIFS(Subscriptions!$H$2:$H$145,Subscriptions!$A$2:$A$145,$A35)</x:f>
        <x:v>318881.0710826999</x:v>
      </x:c>
      <x:c r="G35" s="32" t="n">
        <x:f>F35*12</x:f>
        <x:v>3826572.852992399</x:v>
      </x:c>
      <x:c r="H35" s="42" t="n">
        <x:f>IFERROR(F35/F34-1,0)</x:f>
        <x:v>0.026826267227094247</x:v>
      </x:c>
      <x:c r="I35" s="42" t="n">
        <x:f>IFERROR(D35/B35,0)</x:f>
        <x:v>0.021649484536082474</x:v>
      </x:c>
      <x:c r="J35" s="32" t="n">
        <x:f>IFERROR(F35/E35,0)</x:f>
        <x:v>321.12897389999995</x:v>
      </x:c>
      <x:c r="K35" s="31" t="str">
        <x:f>IF(A35&lt;DATE(2026,7,1),"Actual","Forecast")</x:f>
        <x:v>Actual</x:v>
      </x:c>
      <x:c r="L35" s="31"/>
    </x:row>
    <x:row r="36">
      <x:c r="A36" s="33" t="n">
        <x:v>45870</x:v>
      </x:c>
      <x:c r="B36" s="31" t="n">
        <x:f>SUMIFS(Subscriptions!$C$2:$C$145,Subscriptions!$A$2:$A$145,$A36)</x:f>
        <x:v>993</x:v>
      </x:c>
      <x:c r="C36" s="31" t="n">
        <x:f>SUMIFS(Subscriptions!$D$2:$D$145,Subscriptions!$A$2:$A$145,$A36)</x:f>
        <x:v>39</x:v>
      </x:c>
      <x:c r="D36" s="31" t="n">
        <x:f>SUMIFS(Subscriptions!$E$2:$E$145,Subscriptions!$A$2:$A$145,$A36)</x:f>
        <x:v>17</x:v>
      </x:c>
      <x:c r="E36" s="31" t="n">
        <x:f>SUMIFS(Subscriptions!$F$2:$F$145,Subscriptions!$A$2:$A$145,$A36)</x:f>
        <x:v>1015</x:v>
      </x:c>
      <x:c r="F36" s="32" t="n">
        <x:f>SUMIFS(Subscriptions!$H$2:$H$145,Subscriptions!$A$2:$A$145,$A36)</x:f>
        <x:v>326734.9157115</x:v>
      </x:c>
      <x:c r="G36" s="32" t="n">
        <x:f>F36*12</x:f>
        <x:v>3920818.988538</x:v>
      </x:c>
      <x:c r="H36" s="42" t="n">
        <x:f>IFERROR(F36/F35-1,0)</x:f>
        <x:v>0.024629384874222282</x:v>
      </x:c>
      <x:c r="I36" s="42" t="n">
        <x:f>IFERROR(D36/B36,0)</x:f>
        <x:v>0.017119838872104734</x:v>
      </x:c>
      <x:c r="J36" s="32" t="n">
        <x:f>IFERROR(F36/E36,0)</x:f>
        <x:v>321.90632089802955</x:v>
      </x:c>
      <x:c r="K36" s="31" t="str">
        <x:f>IF(A36&lt;DATE(2026,7,1),"Actual","Forecast")</x:f>
        <x:v>Actual</x:v>
      </x:c>
      <x:c r="L36" s="31"/>
    </x:row>
    <x:row r="37">
      <x:c r="A37" s="33" t="n">
        <x:v>45901</x:v>
      </x:c>
      <x:c r="B37" s="31" t="n">
        <x:f>SUMIFS(Subscriptions!$C$2:$C$145,Subscriptions!$A$2:$A$145,$A37)</x:f>
        <x:v>1015</x:v>
      </x:c>
      <x:c r="C37" s="31" t="n">
        <x:f>SUMIFS(Subscriptions!$D$2:$D$145,Subscriptions!$A$2:$A$145,$A37)</x:f>
        <x:v>36</x:v>
      </x:c>
      <x:c r="D37" s="31" t="n">
        <x:f>SUMIFS(Subscriptions!$E$2:$E$145,Subscriptions!$A$2:$A$145,$A37)</x:f>
        <x:v>20</x:v>
      </x:c>
      <x:c r="E37" s="31" t="n">
        <x:f>SUMIFS(Subscriptions!$F$2:$F$145,Subscriptions!$A$2:$A$145,$A37)</x:f>
        <x:v>1031</x:v>
      </x:c>
      <x:c r="F37" s="32" t="n">
        <x:f>SUMIFS(Subscriptions!$H$2:$H$145,Subscriptions!$A$2:$A$145,$A37)</x:f>
        <x:v>332961.9959128499</x:v>
      </x:c>
      <x:c r="G37" s="32" t="n">
        <x:f>F37*12</x:f>
        <x:v>3995543.950954199</x:v>
      </x:c>
      <x:c r="H37" s="42" t="n">
        <x:f>IFERROR(F37/F36-1,0)</x:f>
        <x:v>0.019058508601046853</x:v>
      </x:c>
      <x:c r="I37" s="42" t="n">
        <x:f>IFERROR(D37/B37,0)</x:f>
        <x:v>0.019704433497536946</x:v>
      </x:c>
      <x:c r="J37" s="32" t="n">
        <x:f>IFERROR(F37/E37,0)</x:f>
        <x:v>322.95052949839953</x:v>
      </x:c>
      <x:c r="K37" s="31" t="str">
        <x:f>IF(A37&lt;DATE(2026,7,1),"Actual","Forecast")</x:f>
        <x:v>Actual</x:v>
      </x:c>
      <x:c r="L37" s="31"/>
    </x:row>
    <x:row r="38">
      <x:c r="A38" s="33" t="n">
        <x:v>45931</x:v>
      </x:c>
      <x:c r="B38" s="31" t="n">
        <x:f>SUMIFS(Subscriptions!$C$2:$C$145,Subscriptions!$A$2:$A$145,$A38)</x:f>
        <x:v>1031</x:v>
      </x:c>
      <x:c r="C38" s="31" t="n">
        <x:f>SUMIFS(Subscriptions!$D$2:$D$145,Subscriptions!$A$2:$A$145,$A38)</x:f>
        <x:v>42</x:v>
      </x:c>
      <x:c r="D38" s="31" t="n">
        <x:f>SUMIFS(Subscriptions!$E$2:$E$145,Subscriptions!$A$2:$A$145,$A38)</x:f>
        <x:v>22</x:v>
      </x:c>
      <x:c r="E38" s="31" t="n">
        <x:f>SUMIFS(Subscriptions!$F$2:$F$145,Subscriptions!$A$2:$A$145,$A38)</x:f>
        <x:v>1051</x:v>
      </x:c>
      <x:c r="F38" s="32" t="n">
        <x:f>SUMIFS(Subscriptions!$H$2:$H$145,Subscriptions!$A$2:$A$145,$A38)</x:f>
        <x:v>339885.57375449996</x:v>
      </x:c>
      <x:c r="G38" s="32" t="n">
        <x:f>F38*12</x:f>
        <x:v>4078626.8850539997</x:v>
      </x:c>
      <x:c r="H38" s="42" t="n">
        <x:f>IFERROR(F38/F37-1,0)</x:f>
        <x:v>0.02079389818248889</x:v>
      </x:c>
      <x:c r="I38" s="42" t="n">
        <x:f>IFERROR(D38/B38,0)</x:f>
        <x:v>0.02133850630455868</x:v>
      </x:c>
      <x:c r="J38" s="32" t="n">
        <x:f>IFERROR(F38/E38,0)</x:f>
        <x:v>323.39255352473833</x:v>
      </x:c>
      <x:c r="K38" s="31" t="str">
        <x:f>IF(A38&lt;DATE(2026,7,1),"Actual","Forecast")</x:f>
        <x:v>Actual</x:v>
      </x:c>
      <x:c r="L38" s="31"/>
    </x:row>
    <x:row r="39">
      <x:c r="A39" s="33" t="n">
        <x:v>45962</x:v>
      </x:c>
      <x:c r="B39" s="31" t="n">
        <x:f>SUMIFS(Subscriptions!$C$2:$C$145,Subscriptions!$A$2:$A$145,$A39)</x:f>
        <x:v>1051</x:v>
      </x:c>
      <x:c r="C39" s="31" t="n">
        <x:f>SUMIFS(Subscriptions!$D$2:$D$145,Subscriptions!$A$2:$A$145,$A39)</x:f>
        <x:v>41</x:v>
      </x:c>
      <x:c r="D39" s="31" t="n">
        <x:f>SUMIFS(Subscriptions!$E$2:$E$145,Subscriptions!$A$2:$A$145,$A39)</x:f>
        <x:v>18</x:v>
      </x:c>
      <x:c r="E39" s="31" t="n">
        <x:f>SUMIFS(Subscriptions!$F$2:$F$145,Subscriptions!$A$2:$A$145,$A39)</x:f>
        <x:v>1074</x:v>
      </x:c>
      <x:c r="F39" s="32" t="n">
        <x:f>SUMIFS(Subscriptions!$H$2:$H$145,Subscriptions!$A$2:$A$145,$A39)</x:f>
        <x:v>347127.30542114994</x:v>
      </x:c>
      <x:c r="G39" s="32" t="n">
        <x:f>F39*12</x:f>
        <x:v>4165527.6650537993</x:v>
      </x:c>
      <x:c r="H39" s="42" t="n">
        <x:f>IFERROR(F39/F38-1,0)</x:f>
        <x:v>0.02130638139964325</x:v>
      </x:c>
      <x:c r="I39" s="42" t="n">
        <x:f>IFERROR(D39/B39,0)</x:f>
        <x:v>0.017126546146527116</x:v>
      </x:c>
      <x:c r="J39" s="32" t="n">
        <x:f>IFERROR(F39/E39,0)</x:f>
        <x:v>323.2097815839385</x:v>
      </x:c>
      <x:c r="K39" s="31" t="str">
        <x:f>IF(A39&lt;DATE(2026,7,1),"Actual","Forecast")</x:f>
        <x:v>Actual</x:v>
      </x:c>
      <x:c r="L39" s="31"/>
    </x:row>
    <x:row r="40">
      <x:c r="A40" s="33" t="n">
        <x:v>45992</x:v>
      </x:c>
      <x:c r="B40" s="31" t="n">
        <x:f>SUMIFS(Subscriptions!$C$2:$C$145,Subscriptions!$A$2:$A$145,$A40)</x:f>
        <x:v>1074</x:v>
      </x:c>
      <x:c r="C40" s="31" t="n">
        <x:f>SUMIFS(Subscriptions!$D$2:$D$145,Subscriptions!$A$2:$A$145,$A40)</x:f>
        <x:v>39</x:v>
      </x:c>
      <x:c r="D40" s="31" t="n">
        <x:f>SUMIFS(Subscriptions!$E$2:$E$145,Subscriptions!$A$2:$A$145,$A40)</x:f>
        <x:v>25</x:v>
      </x:c>
      <x:c r="E40" s="31" t="n">
        <x:f>SUMIFS(Subscriptions!$F$2:$F$145,Subscriptions!$A$2:$A$145,$A40)</x:f>
        <x:v>1088</x:v>
      </x:c>
      <x:c r="F40" s="32" t="n">
        <x:f>SUMIFS(Subscriptions!$H$2:$H$145,Subscriptions!$A$2:$A$145,$A40)</x:f>
        <x:v>352597.6979919</x:v>
      </x:c>
      <x:c r="G40" s="32" t="n">
        <x:f>F40*12</x:f>
        <x:v>4231172.3759028</x:v>
      </x:c>
      <x:c r="H40" s="42" t="n">
        <x:f>IFERROR(F40/F39-1,0)</x:f>
        <x:v>0.015759038500624767</x:v>
      </x:c>
      <x:c r="I40" s="42" t="n">
        <x:f>IFERROR(D40/B40,0)</x:f>
        <x:v>0.023277467411545624</x:v>
      </x:c>
      <x:c r="J40" s="32" t="n">
        <x:f>IFERROR(F40/E40,0)</x:f>
        <x:v>324.0787665366728</x:v>
      </x:c>
      <x:c r="K40" s="31" t="str">
        <x:f>IF(A40&lt;DATE(2026,7,1),"Actual","Forecast")</x:f>
        <x:v>Actual</x:v>
      </x:c>
      <x:c r="L40" s="31"/>
    </x:row>
    <x:row r="41">
      <x:c r="A41" s="33" t="n">
        <x:v>46023</x:v>
      </x:c>
      <x:c r="B41" s="31" t="n">
        <x:f>SUMIFS(Subscriptions!$C$2:$C$145,Subscriptions!$A$2:$A$145,$A41)</x:f>
        <x:v>1088</x:v>
      </x:c>
      <x:c r="C41" s="31" t="n">
        <x:f>SUMIFS(Subscriptions!$D$2:$D$145,Subscriptions!$A$2:$A$145,$A41)</x:f>
        <x:v>47</x:v>
      </x:c>
      <x:c r="D41" s="31" t="n">
        <x:f>SUMIFS(Subscriptions!$E$2:$E$145,Subscriptions!$A$2:$A$145,$A41)</x:f>
        <x:v>17</x:v>
      </x:c>
      <x:c r="E41" s="31" t="n">
        <x:f>SUMIFS(Subscriptions!$F$2:$F$145,Subscriptions!$A$2:$A$145,$A41)</x:f>
        <x:v>1118</x:v>
      </x:c>
      <x:c r="F41" s="32" t="n">
        <x:f>SUMIFS(Subscriptions!$H$2:$H$145,Subscriptions!$A$2:$A$145,$A41)</x:f>
        <x:v>374047.61952160567</x:v>
      </x:c>
      <x:c r="G41" s="32" t="n">
        <x:f>F41*12</x:f>
        <x:v>4488571.4342592675</x:v>
      </x:c>
      <x:c r="H41" s="42" t="n">
        <x:f>IFERROR(F41/F40-1,0)</x:f>
        <x:v>0.060833980629670714</x:v>
      </x:c>
      <x:c r="I41" s="42" t="n">
        <x:f>IFERROR(D41/B41,0)</x:f>
        <x:v>0.015625</x:v>
      </x:c>
      <x:c r="J41" s="32" t="n">
        <x:f>IFERROR(F41/E41,0)</x:f>
        <x:v>334.56853266691024</x:v>
      </x:c>
      <x:c r="K41" s="31" t="str">
        <x:f>IF(A41&lt;DATE(2026,7,1),"Actual","Forecast")</x:f>
        <x:v>Actual</x:v>
      </x:c>
      <x:c r="L41" s="31"/>
    </x:row>
    <x:row r="42">
      <x:c r="A42" s="33" t="n">
        <x:v>46054</x:v>
      </x:c>
      <x:c r="B42" s="31" t="n">
        <x:f>SUMIFS(Subscriptions!$C$2:$C$145,Subscriptions!$A$2:$A$145,$A42)</x:f>
        <x:v>1118</x:v>
      </x:c>
      <x:c r="C42" s="31" t="n">
        <x:f>SUMIFS(Subscriptions!$D$2:$D$145,Subscriptions!$A$2:$A$145,$A42)</x:f>
        <x:v>55</x:v>
      </x:c>
      <x:c r="D42" s="31" t="n">
        <x:f>SUMIFS(Subscriptions!$E$2:$E$145,Subscriptions!$A$2:$A$145,$A42)</x:f>
        <x:v>20</x:v>
      </x:c>
      <x:c r="E42" s="31" t="n">
        <x:f>SUMIFS(Subscriptions!$F$2:$F$145,Subscriptions!$A$2:$A$145,$A42)</x:f>
        <x:v>1153</x:v>
      </x:c>
      <x:c r="F42" s="32" t="n">
        <x:f>SUMIFS(Subscriptions!$H$2:$H$145,Subscriptions!$A$2:$A$145,$A42)</x:f>
        <x:v>386139.67363043316</x:v>
      </x:c>
      <x:c r="G42" s="32" t="n">
        <x:f>F42*12</x:f>
        <x:v>4633676.083565198</x:v>
      </x:c>
      <x:c r="H42" s="42" t="n">
        <x:f>IFERROR(F42/F41-1,0)</x:f>
        <x:v>0.03232757937155917</x:v>
      </x:c>
      <x:c r="I42" s="42" t="n">
        <x:f>IFERROR(D42/B42,0)</x:f>
        <x:v>0.017889087656529516</x:v>
      </x:c>
      <x:c r="J42" s="32" t="n">
        <x:f>IFERROR(F42/E42,0)</x:f>
        <x:v>334.89997712960377</x:v>
      </x:c>
      <x:c r="K42" s="31" t="str">
        <x:f>IF(A42&lt;DATE(2026,7,1),"Actual","Forecast")</x:f>
        <x:v>Actual</x:v>
      </x:c>
      <x:c r="L42" s="31"/>
    </x:row>
    <x:row r="43">
      <x:c r="A43" s="33" t="n">
        <x:v>46082</x:v>
      </x:c>
      <x:c r="B43" s="31" t="n">
        <x:f>SUMIFS(Subscriptions!$C$2:$C$145,Subscriptions!$A$2:$A$145,$A43)</x:f>
        <x:v>1153</x:v>
      </x:c>
      <x:c r="C43" s="31" t="n">
        <x:f>SUMIFS(Subscriptions!$D$2:$D$145,Subscriptions!$A$2:$A$145,$A43)</x:f>
        <x:v>50</x:v>
      </x:c>
      <x:c r="D43" s="31" t="n">
        <x:f>SUMIFS(Subscriptions!$E$2:$E$145,Subscriptions!$A$2:$A$145,$A43)</x:f>
        <x:v>22</x:v>
      </x:c>
      <x:c r="E43" s="31" t="n">
        <x:f>SUMIFS(Subscriptions!$F$2:$F$145,Subscriptions!$A$2:$A$145,$A43)</x:f>
        <x:v>1181</x:v>
      </x:c>
      <x:c r="F43" s="32" t="n">
        <x:f>SUMIFS(Subscriptions!$H$2:$H$145,Subscriptions!$A$2:$A$145,$A43)</x:f>
        <x:v>397181.56347267516</x:v>
      </x:c>
      <x:c r="G43" s="32" t="n">
        <x:f>F43*12</x:f>
        <x:v>4766178.761672102</x:v>
      </x:c>
      <x:c r="H43" s="42" t="n">
        <x:f>IFERROR(F43/F42-1,0)</x:f>
        <x:v>0.02859558495615766</x:v>
      </x:c>
      <x:c r="I43" s="42" t="n">
        <x:f>IFERROR(D43/B43,0)</x:f>
        <x:v>0.019080659150043366</x:v>
      </x:c>
      <x:c r="J43" s="32" t="n">
        <x:f>IFERROR(F43/E43,0)</x:f>
        <x:v>336.3095372334252</x:v>
      </x:c>
      <x:c r="K43" s="31" t="str">
        <x:f>IF(A43&lt;DATE(2026,7,1),"Actual","Forecast")</x:f>
        <x:v>Actual</x:v>
      </x:c>
      <x:c r="L43" s="31"/>
    </x:row>
    <x:row r="44">
      <x:c r="A44" s="33" t="n">
        <x:v>46113</x:v>
      </x:c>
      <x:c r="B44" s="31" t="n">
        <x:f>SUMIFS(Subscriptions!$C$2:$C$145,Subscriptions!$A$2:$A$145,$A44)</x:f>
        <x:v>1181</x:v>
      </x:c>
      <x:c r="C44" s="31" t="n">
        <x:f>SUMIFS(Subscriptions!$D$2:$D$145,Subscriptions!$A$2:$A$145,$A44)</x:f>
        <x:v>59</x:v>
      </x:c>
      <x:c r="D44" s="31" t="n">
        <x:f>SUMIFS(Subscriptions!$E$2:$E$145,Subscriptions!$A$2:$A$145,$A44)</x:f>
        <x:v>21</x:v>
      </x:c>
      <x:c r="E44" s="31" t="n">
        <x:f>SUMIFS(Subscriptions!$F$2:$F$145,Subscriptions!$A$2:$A$145,$A44)</x:f>
        <x:v>1219</x:v>
      </x:c>
      <x:c r="F44" s="32" t="n">
        <x:f>SUMIFS(Subscriptions!$H$2:$H$145,Subscriptions!$A$2:$A$145,$A44)</x:f>
        <x:v>410448.3751280091</x:v>
      </x:c>
      <x:c r="G44" s="32" t="n">
        <x:f>F44*12</x:f>
        <x:v>4925380.5015361095</x:v>
      </x:c>
      <x:c r="H44" s="42" t="n">
        <x:f>IFERROR(F44/F43-1,0)</x:f>
        <x:v>0.0334023853960852</x:v>
      </x:c>
      <x:c r="I44" s="42" t="n">
        <x:f>IFERROR(D44/B44,0)</x:f>
        <x:v>0.017781541066892465</x:v>
      </x:c>
      <x:c r="J44" s="32" t="n">
        <x:f>IFERROR(F44/E44,0)</x:f>
        <x:v>336.70908542084425</x:v>
      </x:c>
      <x:c r="K44" s="31" t="str">
        <x:f>IF(A44&lt;DATE(2026,7,1),"Actual","Forecast")</x:f>
        <x:v>Actual</x:v>
      </x:c>
      <x:c r="L44" s="31"/>
    </x:row>
    <x:row r="45">
      <x:c r="A45" s="33" t="n">
        <x:v>46143</x:v>
      </x:c>
      <x:c r="B45" s="31" t="n">
        <x:f>SUMIFS(Subscriptions!$C$2:$C$145,Subscriptions!$A$2:$A$145,$A45)</x:f>
        <x:v>1219</x:v>
      </x:c>
      <x:c r="C45" s="31" t="n">
        <x:f>SUMIFS(Subscriptions!$D$2:$D$145,Subscriptions!$A$2:$A$145,$A45)</x:f>
        <x:v>53</x:v>
      </x:c>
      <x:c r="D45" s="31" t="n">
        <x:f>SUMIFS(Subscriptions!$E$2:$E$145,Subscriptions!$A$2:$A$145,$A45)</x:f>
        <x:v>24</x:v>
      </x:c>
      <x:c r="E45" s="31" t="n">
        <x:f>SUMIFS(Subscriptions!$F$2:$F$145,Subscriptions!$A$2:$A$145,$A45)</x:f>
        <x:v>1248</x:v>
      </x:c>
      <x:c r="F45" s="32" t="n">
        <x:f>SUMIFS(Subscriptions!$H$2:$H$145,Subscriptions!$A$2:$A$145,$A45)</x:f>
        <x:v>420574.9052752154</x:v>
      </x:c>
      <x:c r="G45" s="32" t="n">
        <x:f>F45*12</x:f>
        <x:v>5046898.863302585</x:v>
      </x:c>
      <x:c r="H45" s="42" t="n">
        <x:f>IFERROR(F45/F44-1,0)</x:f>
        <x:v>0.024671872909834303</x:v>
      </x:c>
      <x:c r="I45" s="42" t="n">
        <x:f>IFERROR(D45/B45,0)</x:f>
        <x:v>0.019688269073010665</x:v>
      </x:c>
      <x:c r="J45" s="32" t="n">
        <x:f>IFERROR(F45/E45,0)</x:f>
        <x:v>336.999122816679</x:v>
      </x:c>
      <x:c r="K45" s="31" t="str">
        <x:f>IF(A45&lt;DATE(2026,7,1),"Actual","Forecast")</x:f>
        <x:v>Actual</x:v>
      </x:c>
      <x:c r="L45" s="31"/>
    </x:row>
    <x:row r="46">
      <x:c r="A46" s="33" t="n">
        <x:v>46174</x:v>
      </x:c>
      <x:c r="B46" s="31" t="n">
        <x:f>SUMIFS(Subscriptions!$C$2:$C$145,Subscriptions!$A$2:$A$145,$A46)</x:f>
        <x:v>1248</x:v>
      </x:c>
      <x:c r="C46" s="31" t="n">
        <x:f>SUMIFS(Subscriptions!$D$2:$D$145,Subscriptions!$A$2:$A$145,$A46)</x:f>
        <x:v>56</x:v>
      </x:c>
      <x:c r="D46" s="31" t="n">
        <x:f>SUMIFS(Subscriptions!$E$2:$E$145,Subscriptions!$A$2:$A$145,$A46)</x:f>
        <x:v>25</x:v>
      </x:c>
      <x:c r="E46" s="31" t="n">
        <x:f>SUMIFS(Subscriptions!$F$2:$F$145,Subscriptions!$A$2:$A$145,$A46)</x:f>
        <x:v>1279</x:v>
      </x:c>
      <x:c r="F46" s="32" t="n">
        <x:f>SUMIFS(Subscriptions!$H$2:$H$145,Subscriptions!$A$2:$A$145,$A46)</x:f>
        <x:v>430357.31600325066</x:v>
      </x:c>
      <x:c r="G46" s="32" t="n">
        <x:f>F46*12</x:f>
        <x:v>5164287.792039008</x:v>
      </x:c>
      <x:c r="H46" s="42" t="n">
        <x:f>IFERROR(F46/F45-1,0)</x:f>
        <x:v>0.023259615838548076</x:v>
      </x:c>
      <x:c r="I46" s="42" t="n">
        <x:f>IFERROR(D46/B46,0)</x:f>
        <x:v>0.020032051282051284</x:v>
      </x:c>
      <x:c r="J46" s="32" t="n">
        <x:f>IFERROR(F46/E46,0)</x:f>
        <x:v>336.47952775860097</x:v>
      </x:c>
      <x:c r="K46" s="31" t="str">
        <x:f>IF(A46&lt;DATE(2026,7,1),"Actual","Forecast")</x:f>
        <x:v>Actual</x:v>
      </x:c>
      <x:c r="L46" s="31"/>
    </x:row>
    <x:row r="47">
      <x:c r="A47" s="33" t="n">
        <x:v>46204</x:v>
      </x:c>
      <x:c r="B47" s="31" t="n">
        <x:f>SUMIFS(Subscriptions!$C$2:$C$145,Subscriptions!$A$2:$A$145,$A47)</x:f>
        <x:v>1279</x:v>
      </x:c>
      <x:c r="C47" s="31" t="n">
        <x:f>SUMIFS(Subscriptions!$D$2:$D$145,Subscriptions!$A$2:$A$145,$A47)</x:f>
        <x:v>54</x:v>
      </x:c>
      <x:c r="D47" s="31" t="n">
        <x:f>SUMIFS(Subscriptions!$E$2:$E$145,Subscriptions!$A$2:$A$145,$A47)</x:f>
        <x:v>24</x:v>
      </x:c>
      <x:c r="E47" s="31" t="n">
        <x:f>SUMIFS(Subscriptions!$F$2:$F$145,Subscriptions!$A$2:$A$145,$A47)</x:f>
        <x:v>1309</x:v>
      </x:c>
      <x:c r="F47" s="32" t="n">
        <x:f>SUMIFS(Subscriptions!$H$2:$H$145,Subscriptions!$A$2:$A$145,$A47)</x:f>
        <x:v>440593.60922008194</x:v>
      </x:c>
      <x:c r="G47" s="32" t="n">
        <x:f>F47*12</x:f>
        <x:v>5287123.310640983</x:v>
      </x:c>
      <x:c r="H47" s="42" t="n">
        <x:f>IFERROR(F47/F46-1,0)</x:f>
        <x:v>0.023785568029599746</x:v>
      </x:c>
      <x:c r="I47" s="42" t="n">
        <x:f>IFERROR(D47/B47,0)</x:f>
        <x:v>0.018764659890539485</x:v>
      </x:c>
      <x:c r="J47" s="32" t="n">
        <x:f>IFERROR(F47/E47,0)</x:f>
        <x:v>336.58793676094876</x:v>
      </x:c>
      <x:c r="K47" s="31" t="str">
        <x:f>IF(A47&lt;DATE(2026,7,1),"Actual","Forecast")</x:f>
        <x:v>Forecast</x:v>
      </x:c>
      <x:c r="L47" s="31"/>
    </x:row>
    <x:row r="48">
      <x:c r="A48" s="33" t="n">
        <x:v>46235</x:v>
      </x:c>
      <x:c r="B48" s="31" t="n">
        <x:f>SUMIFS(Subscriptions!$C$2:$C$145,Subscriptions!$A$2:$A$145,$A48)</x:f>
        <x:v>1309</x:v>
      </x:c>
      <x:c r="C48" s="31" t="n">
        <x:f>SUMIFS(Subscriptions!$D$2:$D$145,Subscriptions!$A$2:$A$145,$A48)</x:f>
        <x:v>52</x:v>
      </x:c>
      <x:c r="D48" s="31" t="n">
        <x:f>SUMIFS(Subscriptions!$E$2:$E$145,Subscriptions!$A$2:$A$145,$A48)</x:f>
        <x:v>25</x:v>
      </x:c>
      <x:c r="E48" s="31" t="n">
        <x:f>SUMIFS(Subscriptions!$F$2:$F$145,Subscriptions!$A$2:$A$145,$A48)</x:f>
        <x:v>1336</x:v>
      </x:c>
      <x:c r="F48" s="32" t="n">
        <x:f>SUMIFS(Subscriptions!$H$2:$H$145,Subscriptions!$A$2:$A$145,$A48)</x:f>
        <x:v>449936.96766961715</x:v>
      </x:c>
      <x:c r="G48" s="32" t="n">
        <x:f>F48*12</x:f>
        <x:v>5399243.612035406</x:v>
      </x:c>
      <x:c r="H48" s="42" t="n">
        <x:f>IFERROR(F48/F47-1,0)</x:f>
        <x:v>0.021206295901736727</x:v>
      </x:c>
      <x:c r="I48" s="42" t="n">
        <x:f>IFERROR(D48/B48,0)</x:f>
        <x:v>0.019098548510313215</x:v>
      </x:c>
      <x:c r="J48" s="32" t="n">
        <x:f>IFERROR(F48/E48,0)</x:f>
        <x:v>336.7791674173781</x:v>
      </x:c>
      <x:c r="K48" s="31" t="str">
        <x:f>IF(A48&lt;DATE(2026,7,1),"Actual","Forecast")</x:f>
        <x:v>Forecast</x:v>
      </x:c>
      <x:c r="L48" s="31"/>
    </x:row>
    <x:row r="49">
      <x:c r="A49" s="33" t="n">
        <x:v>46266</x:v>
      </x:c>
      <x:c r="B49" s="31" t="n">
        <x:f>SUMIFS(Subscriptions!$C$2:$C$145,Subscriptions!$A$2:$A$145,$A49)</x:f>
        <x:v>1336</x:v>
      </x:c>
      <x:c r="C49" s="31" t="n">
        <x:f>SUMIFS(Subscriptions!$D$2:$D$145,Subscriptions!$A$2:$A$145,$A49)</x:f>
        <x:v>51</x:v>
      </x:c>
      <x:c r="D49" s="31" t="n">
        <x:f>SUMIFS(Subscriptions!$E$2:$E$145,Subscriptions!$A$2:$A$145,$A49)</x:f>
        <x:v>26</x:v>
      </x:c>
      <x:c r="E49" s="31" t="n">
        <x:f>SUMIFS(Subscriptions!$F$2:$F$145,Subscriptions!$A$2:$A$145,$A49)</x:f>
        <x:v>1361</x:v>
      </x:c>
      <x:c r="F49" s="32" t="n">
        <x:f>SUMIFS(Subscriptions!$H$2:$H$145,Subscriptions!$A$2:$A$145,$A49)</x:f>
        <x:v>459060.7999799024</x:v>
      </x:c>
      <x:c r="G49" s="32" t="n">
        <x:f>F49*12</x:f>
        <x:v>5508729.599758829</x:v>
      </x:c>
      <x:c r="H49" s="42" t="n">
        <x:f>IFERROR(F49/F48-1,0)</x:f>
        <x:v>0.020278023291886438</x:v>
      </x:c>
      <x:c r="I49" s="42" t="n">
        <x:f>IFERROR(D49/B49,0)</x:f>
        <x:v>0.019461077844311378</x:v>
      </x:c>
      <x:c r="J49" s="32" t="n">
        <x:f>IFERROR(F49/E49,0)</x:f>
        <x:v>337.29669359287465</x:v>
      </x:c>
      <x:c r="K49" s="31" t="str">
        <x:f>IF(A49&lt;DATE(2026,7,1),"Actual","Forecast")</x:f>
        <x:v>Forecast</x:v>
      </x:c>
      <x:c r="L49" s="31"/>
    </x:row>
    <x:row r="50">
      <x:c r="A50" s="33" t="n">
        <x:v>46296</x:v>
      </x:c>
      <x:c r="B50" s="31" t="n">
        <x:f>SUMIFS(Subscriptions!$C$2:$C$145,Subscriptions!$A$2:$A$145,$A50)</x:f>
        <x:v>1361</x:v>
      </x:c>
      <x:c r="C50" s="31" t="n">
        <x:f>SUMIFS(Subscriptions!$D$2:$D$145,Subscriptions!$A$2:$A$145,$A50)</x:f>
        <x:v>51</x:v>
      </x:c>
      <x:c r="D50" s="31" t="n">
        <x:f>SUMIFS(Subscriptions!$E$2:$E$145,Subscriptions!$A$2:$A$145,$A50)</x:f>
        <x:v>26</x:v>
      </x:c>
      <x:c r="E50" s="31" t="n">
        <x:f>SUMIFS(Subscriptions!$F$2:$F$145,Subscriptions!$A$2:$A$145,$A50)</x:f>
        <x:v>1386</x:v>
      </x:c>
      <x:c r="F50" s="32" t="n">
        <x:f>SUMIFS(Subscriptions!$H$2:$H$145,Subscriptions!$A$2:$A$145,$A50)</x:f>
        <x:v>468184.63229018764</x:v>
      </x:c>
      <x:c r="G50" s="32" t="n">
        <x:f>F50*12</x:f>
        <x:v>5618215.587482251</x:v>
      </x:c>
      <x:c r="H50" s="42" t="n">
        <x:f>IFERROR(F50/F49-1,0)</x:f>
        <x:v>0.01987499762707845</x:v>
      </x:c>
      <x:c r="I50" s="42" t="n">
        <x:f>IFERROR(D50/B50,0)</x:f>
        <x:v>0.019103600293901544</x:v>
      </x:c>
      <x:c r="J50" s="32" t="n">
        <x:f>IFERROR(F50/E50,0)</x:f>
        <x:v>337.79554999292037</x:v>
      </x:c>
      <x:c r="K50" s="31" t="str">
        <x:f>IF(A50&lt;DATE(2026,7,1),"Actual","Forecast")</x:f>
        <x:v>Forecast</x:v>
      </x:c>
      <x:c r="L50" s="31"/>
    </x:row>
    <x:row r="51">
      <x:c r="A51" s="33" t="n">
        <x:v>46327</x:v>
      </x:c>
      <x:c r="B51" s="31" t="n">
        <x:f>SUMIFS(Subscriptions!$C$2:$C$145,Subscriptions!$A$2:$A$145,$A51)</x:f>
        <x:v>1386</x:v>
      </x:c>
      <x:c r="C51" s="31" t="n">
        <x:f>SUMIFS(Subscriptions!$D$2:$D$145,Subscriptions!$A$2:$A$145,$A51)</x:f>
        <x:v>53</x:v>
      </x:c>
      <x:c r="D51" s="31" t="n">
        <x:f>SUMIFS(Subscriptions!$E$2:$E$145,Subscriptions!$A$2:$A$145,$A51)</x:f>
        <x:v>26</x:v>
      </x:c>
      <x:c r="E51" s="31" t="n">
        <x:f>SUMIFS(Subscriptions!$F$2:$F$145,Subscriptions!$A$2:$A$145,$A51)</x:f>
        <x:v>1413</x:v>
      </x:c>
      <x:c r="F51" s="32" t="n">
        <x:f>SUMIFS(Subscriptions!$H$2:$H$145,Subscriptions!$A$2:$A$145,$A51)</x:f>
        <x:v>477809.81351893337</x:v>
      </x:c>
      <x:c r="G51" s="32" t="n">
        <x:f>F51*12</x:f>
        <x:v>5733717.7622272</x:v>
      </x:c>
      <x:c r="H51" s="42" t="n">
        <x:f>IFERROR(F51/F50-1,0)</x:f>
        <x:v>0.02055851594628999</x:v>
      </x:c>
      <x:c r="I51" s="42" t="n">
        <x:f>IFERROR(D51/B51,0)</x:f>
        <x:v>0.01875901875901876</x:v>
      </x:c>
      <x:c r="J51" s="32" t="n">
        <x:f>IFERROR(F51/E51,0)</x:f>
        <x:v>338.15273426676106</x:v>
      </x:c>
      <x:c r="K51" s="31" t="str">
        <x:f>IF(A51&lt;DATE(2026,7,1),"Actual","Forecast")</x:f>
        <x:v>Forecast</x:v>
      </x:c>
      <x:c r="L51" s="31"/>
    </x:row>
    <x:row r="52">
      <x:c r="A52" s="33" t="n">
        <x:v>46357</x:v>
      </x:c>
      <x:c r="B52" s="31" t="n">
        <x:f>SUMIFS(Subscriptions!$C$2:$C$145,Subscriptions!$A$2:$A$145,$A52)</x:f>
        <x:v>1413</x:v>
      </x:c>
      <x:c r="C52" s="31" t="n">
        <x:f>SUMIFS(Subscriptions!$D$2:$D$145,Subscriptions!$A$2:$A$145,$A52)</x:f>
        <x:v>56</x:v>
      </x:c>
      <x:c r="D52" s="31" t="n">
        <x:f>SUMIFS(Subscriptions!$E$2:$E$145,Subscriptions!$A$2:$A$145,$A52)</x:f>
        <x:v>27</x:v>
      </x:c>
      <x:c r="E52" s="31" t="n">
        <x:f>SUMIFS(Subscriptions!$F$2:$F$145,Subscriptions!$A$2:$A$145,$A52)</x:f>
        <x:v>1442</x:v>
      </x:c>
      <x:c r="F52" s="32" t="n">
        <x:f>SUMIFS(Subscriptions!$H$2:$H$145,Subscriptions!$A$2:$A$145,$A52)</x:f>
        <x:v>487936.34366613964</x:v>
      </x:c>
      <x:c r="G52" s="32" t="n">
        <x:f>F52*12</x:f>
        <x:v>5855236.123993676</x:v>
      </x:c>
      <x:c r="H52" s="42" t="n">
        <x:f>IFERROR(F52/F51-1,0)</x:f>
        <x:v>0.021193642032228732</x:v>
      </x:c>
      <x:c r="I52" s="42" t="n">
        <x:f>IFERROR(D52/B52,0)</x:f>
        <x:v>0.01910828025477707</x:v>
      </x:c>
      <x:c r="J52" s="32" t="n">
        <x:f>IFERROR(F52/E52,0)</x:f>
        <x:v>338.37471821507603</x:v>
      </x:c>
      <x:c r="K52" s="31" t="str">
        <x:f>IF(A52&lt;DATE(2026,7,1),"Actual","Forecast")</x:f>
        <x:v>Forecast</x:v>
      </x:c>
      <x:c r="L52" s="31"/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34" customHeight="1">
      <x:c r="A1" s="24" t="str">
        <x:v>Expense model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Operating expenses by category and cost behavior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Month</x:v>
      </x:c>
      <x:c r="B4" s="27" t="str">
        <x:v>Category</x:v>
      </x:c>
      <x:c r="C4" s="27" t="str">
        <x:v>Cost type</x:v>
      </x:c>
      <x:c r="D4" s="27" t="str">
        <x:v>Budget</x:v>
      </x:c>
      <x:c r="E4" s="27" t="str">
        <x:v>Actual / Forecast</x:v>
      </x:c>
      <x:c r="F4" s="27" t="str">
        <x:v>Variance (F)</x:v>
      </x:c>
      <x:c r="G4" s="31"/>
      <x:c r="H4" s="31"/>
      <x:c r="I4" s="31"/>
      <x:c r="J4" s="31"/>
      <x:c r="K4" s="31"/>
      <x:c r="L4" s="31"/>
    </x:row>
    <x:row r="5">
      <x:c r="A5" s="33" t="n">
        <x:v>44927</x:v>
      </x:c>
      <x:c r="B5" s="31" t="str">
        <x:v>Marketing</x:v>
      </x:c>
      <x:c r="C5" s="31" t="str">
        <x:v>Variable</x:v>
      </x:c>
      <x:c r="D5" s="32" t="n">
        <x:v>90000</x:v>
      </x:c>
      <x:c r="E5" s="32" t="n">
        <x:v>96347.05</x:v>
      </x:c>
      <x:c r="F5" s="32" t="n">
        <x:f>D5-E5</x:f>
        <x:v>-6347.050000000003</x:v>
      </x:c>
      <x:c r="G5" s="31"/>
      <x:c r="H5" s="31"/>
      <x:c r="I5" s="31"/>
      <x:c r="J5" s="31"/>
      <x:c r="K5" s="31"/>
      <x:c r="L5" s="31"/>
    </x:row>
    <x:row r="6">
      <x:c r="A6" s="33" t="n">
        <x:v>44927</x:v>
      </x:c>
      <x:c r="B6" s="31" t="str">
        <x:v>Cloud &amp; API</x:v>
      </x:c>
      <x:c r="C6" s="31" t="str">
        <x:v>Variable</x:v>
      </x:c>
      <x:c r="D6" s="32" t="n">
        <x:v>14861.15</x:v>
      </x:c>
      <x:c r="E6" s="32" t="n">
        <x:v>17194.55</x:v>
      </x:c>
      <x:c r="F6" s="32" t="n">
        <x:f>D6-E6</x:f>
        <x:v>-2333.3999999999996</x:v>
      </x:c>
      <x:c r="G6" s="31"/>
      <x:c r="H6" s="31"/>
      <x:c r="I6" s="31"/>
      <x:c r="J6" s="31"/>
      <x:c r="K6" s="31"/>
      <x:c r="L6" s="31"/>
    </x:row>
    <x:row r="7">
      <x:c r="A7" s="33" t="n">
        <x:v>44927</x:v>
      </x:c>
      <x:c r="B7" s="31" t="str">
        <x:v>Software</x:v>
      </x:c>
      <x:c r="C7" s="31" t="str">
        <x:v>Fixed</x:v>
      </x:c>
      <x:c r="D7" s="32" t="n">
        <x:v>26000</x:v>
      </x:c>
      <x:c r="E7" s="32" t="n">
        <x:v>28176.08</x:v>
      </x:c>
      <x:c r="F7" s="32" t="n">
        <x:f>D7-E7</x:f>
        <x:v>-2176.0800000000017</x:v>
      </x:c>
      <x:c r="G7" s="31"/>
      <x:c r="H7" s="31"/>
      <x:c r="I7" s="31"/>
      <x:c r="J7" s="31"/>
      <x:c r="K7" s="31"/>
      <x:c r="L7" s="31"/>
    </x:row>
    <x:row r="8">
      <x:c r="A8" s="33" t="n">
        <x:v>44927</x:v>
      </x:c>
      <x:c r="B8" s="31" t="str">
        <x:v>Office &amp; Admin</x:v>
      </x:c>
      <x:c r="C8" s="31" t="str">
        <x:v>Fixed</x:v>
      </x:c>
      <x:c r="D8" s="32" t="n">
        <x:v>31000</x:v>
      </x:c>
      <x:c r="E8" s="32" t="n">
        <x:v>32335.15</x:v>
      </x:c>
      <x:c r="F8" s="32" t="n">
        <x:f>D8-E8</x:f>
        <x:v>-1335.1500000000015</x:v>
      </x:c>
      <x:c r="G8" s="31"/>
      <x:c r="H8" s="31"/>
      <x:c r="I8" s="31"/>
      <x:c r="J8" s="31"/>
      <x:c r="K8" s="31"/>
      <x:c r="L8" s="31"/>
    </x:row>
    <x:row r="9">
      <x:c r="A9" s="33" t="n">
        <x:v>44927</x:v>
      </x:c>
      <x:c r="B9" s="31" t="str">
        <x:v>Professional Services</x:v>
      </x:c>
      <x:c r="C9" s="31" t="str">
        <x:v>Fixed</x:v>
      </x:c>
      <x:c r="D9" s="32" t="n">
        <x:v>18000</x:v>
      </x:c>
      <x:c r="E9" s="32" t="n">
        <x:v>18341.94</x:v>
      </x:c>
      <x:c r="F9" s="32" t="n">
        <x:f>D9-E9</x:f>
        <x:v>-341.9399999999987</x:v>
      </x:c>
      <x:c r="G9" s="31"/>
      <x:c r="H9" s="31"/>
      <x:c r="I9" s="31"/>
      <x:c r="J9" s="31"/>
      <x:c r="K9" s="31"/>
      <x:c r="L9" s="31"/>
    </x:row>
    <x:row r="10">
      <x:c r="A10" s="33" t="n">
        <x:v>44958</x:v>
      </x:c>
      <x:c r="B10" s="31" t="str">
        <x:v>Marketing</x:v>
      </x:c>
      <x:c r="C10" s="31" t="str">
        <x:v>Variable</x:v>
      </x:c>
      <x:c r="D10" s="32" t="n">
        <x:v>91080</x:v>
      </x:c>
      <x:c r="E10" s="32" t="n">
        <x:v>92636.06</x:v>
      </x:c>
      <x:c r="F10" s="32" t="n">
        <x:f>D10-E10</x:f>
        <x:v>-1556.0599999999977</x:v>
      </x:c>
      <x:c r="G10" s="31"/>
      <x:c r="H10" s="31"/>
      <x:c r="I10" s="31"/>
      <x:c r="J10" s="31"/>
      <x:c r="K10" s="31"/>
      <x:c r="L10" s="31"/>
    </x:row>
    <x:row r="11">
      <x:c r="A11" s="33" t="n">
        <x:v>44958</x:v>
      </x:c>
      <x:c r="B11" s="31" t="str">
        <x:v>Cloud &amp; API</x:v>
      </x:c>
      <x:c r="C11" s="31" t="str">
        <x:v>Variable</x:v>
      </x:c>
      <x:c r="D11" s="32" t="n">
        <x:v>15320.1</x:v>
      </x:c>
      <x:c r="E11" s="32" t="n">
        <x:v>16912.23</x:v>
      </x:c>
      <x:c r="F11" s="32" t="n">
        <x:f>D11-E11</x:f>
        <x:v>-1592.1299999999992</x:v>
      </x:c>
      <x:c r="G11" s="31"/>
      <x:c r="H11" s="31"/>
      <x:c r="I11" s="31"/>
      <x:c r="J11" s="31"/>
      <x:c r="K11" s="31"/>
      <x:c r="L11" s="31"/>
    </x:row>
    <x:row r="12">
      <x:c r="A12" s="33" t="n">
        <x:v>44958</x:v>
      </x:c>
      <x:c r="B12" s="31" t="str">
        <x:v>Software</x:v>
      </x:c>
      <x:c r="C12" s="31" t="str">
        <x:v>Fixed</x:v>
      </x:c>
      <x:c r="D12" s="32" t="n">
        <x:v>26312</x:v>
      </x:c>
      <x:c r="E12" s="32" t="n">
        <x:v>27224.84</x:v>
      </x:c>
      <x:c r="F12" s="32" t="n">
        <x:f>D12-E12</x:f>
        <x:v>-912.8400000000001</x:v>
      </x:c>
      <x:c r="G12" s="31"/>
      <x:c r="H12" s="31"/>
      <x:c r="I12" s="31"/>
      <x:c r="J12" s="31"/>
      <x:c r="K12" s="31"/>
      <x:c r="L12" s="31"/>
    </x:row>
    <x:row r="13">
      <x:c r="A13" s="33" t="n">
        <x:v>44958</x:v>
      </x:c>
      <x:c r="B13" s="31" t="str">
        <x:v>Office &amp; Admin</x:v>
      </x:c>
      <x:c r="C13" s="31" t="str">
        <x:v>Fixed</x:v>
      </x:c>
      <x:c r="D13" s="32" t="n">
        <x:v>31372</x:v>
      </x:c>
      <x:c r="E13" s="32" t="n">
        <x:v>32886.64</x:v>
      </x:c>
      <x:c r="F13" s="32" t="n">
        <x:f>D13-E13</x:f>
        <x:v>-1514.6399999999994</x:v>
      </x:c>
      <x:c r="G13" s="31"/>
      <x:c r="H13" s="31"/>
      <x:c r="I13" s="31"/>
      <x:c r="J13" s="31"/>
      <x:c r="K13" s="31"/>
      <x:c r="L13" s="31"/>
    </x:row>
    <x:row r="14">
      <x:c r="A14" s="33" t="n">
        <x:v>44958</x:v>
      </x:c>
      <x:c r="B14" s="31" t="str">
        <x:v>Professional Services</x:v>
      </x:c>
      <x:c r="C14" s="31" t="str">
        <x:v>Fixed</x:v>
      </x:c>
      <x:c r="D14" s="32" t="n">
        <x:v>18216</x:v>
      </x:c>
      <x:c r="E14" s="32" t="n">
        <x:v>20069.62</x:v>
      </x:c>
      <x:c r="F14" s="32" t="n">
        <x:f>D14-E14</x:f>
        <x:v>-1853.619999999999</x:v>
      </x:c>
      <x:c r="G14" s="31"/>
      <x:c r="H14" s="31"/>
      <x:c r="I14" s="31"/>
      <x:c r="J14" s="31"/>
      <x:c r="K14" s="31"/>
      <x:c r="L14" s="31"/>
    </x:row>
    <x:row r="15">
      <x:c r="A15" s="33" t="n">
        <x:v>44986</x:v>
      </x:c>
      <x:c r="B15" s="31" t="str">
        <x:v>Marketing</x:v>
      </x:c>
      <x:c r="C15" s="31" t="str">
        <x:v>Variable</x:v>
      </x:c>
      <x:c r="D15" s="32" t="n">
        <x:v>92160</x:v>
      </x:c>
      <x:c r="E15" s="32" t="n">
        <x:v>107534.07</x:v>
      </x:c>
      <x:c r="F15" s="32" t="n">
        <x:f>D15-E15</x:f>
        <x:v>-15374.070000000007</x:v>
      </x:c>
      <x:c r="G15" s="31"/>
      <x:c r="H15" s="31"/>
      <x:c r="I15" s="31"/>
      <x:c r="J15" s="31"/>
      <x:c r="K15" s="31"/>
      <x:c r="L15" s="31"/>
    </x:row>
    <x:row r="16">
      <x:c r="A16" s="33" t="n">
        <x:v>44986</x:v>
      </x:c>
      <x:c r="B16" s="31" t="str">
        <x:v>Cloud &amp; API</x:v>
      </x:c>
      <x:c r="C16" s="31" t="str">
        <x:v>Variable</x:v>
      </x:c>
      <x:c r="D16" s="32" t="n">
        <x:v>15796.91</x:v>
      </x:c>
      <x:c r="E16" s="32" t="n">
        <x:v>17614.49</x:v>
      </x:c>
      <x:c r="F16" s="32" t="n">
        <x:f>D16-E16</x:f>
        <x:v>-1817.5800000000017</x:v>
      </x:c>
      <x:c r="G16" s="31"/>
      <x:c r="H16" s="31"/>
      <x:c r="I16" s="31"/>
      <x:c r="J16" s="31"/>
      <x:c r="K16" s="31"/>
      <x:c r="L16" s="31"/>
    </x:row>
    <x:row r="17">
      <x:c r="A17" s="33" t="n">
        <x:v>44986</x:v>
      </x:c>
      <x:c r="B17" s="31" t="str">
        <x:v>Software</x:v>
      </x:c>
      <x:c r="C17" s="31" t="str">
        <x:v>Fixed</x:v>
      </x:c>
      <x:c r="D17" s="32" t="n">
        <x:v>26624</x:v>
      </x:c>
      <x:c r="E17" s="32" t="n">
        <x:v>28086.27</x:v>
      </x:c>
      <x:c r="F17" s="32" t="n">
        <x:f>D17-E17</x:f>
        <x:v>-1462.2700000000004</x:v>
      </x:c>
      <x:c r="G17" s="31"/>
      <x:c r="H17" s="31"/>
      <x:c r="I17" s="31"/>
      <x:c r="J17" s="31"/>
      <x:c r="K17" s="31"/>
      <x:c r="L17" s="31"/>
    </x:row>
    <x:row r="18">
      <x:c r="A18" s="33" t="n">
        <x:v>44986</x:v>
      </x:c>
      <x:c r="B18" s="31" t="str">
        <x:v>Office &amp; Admin</x:v>
      </x:c>
      <x:c r="C18" s="31" t="str">
        <x:v>Fixed</x:v>
      </x:c>
      <x:c r="D18" s="32" t="n">
        <x:v>31744</x:v>
      </x:c>
      <x:c r="E18" s="32" t="n">
        <x:v>30473.09</x:v>
      </x:c>
      <x:c r="F18" s="32" t="n">
        <x:f>D18-E18</x:f>
        <x:v>1270.9099999999999</x:v>
      </x:c>
      <x:c r="G18" s="31"/>
      <x:c r="H18" s="31"/>
      <x:c r="I18" s="31"/>
      <x:c r="J18" s="31"/>
      <x:c r="K18" s="31"/>
      <x:c r="L18" s="31"/>
    </x:row>
    <x:row r="19">
      <x:c r="A19" s="33" t="n">
        <x:v>44986</x:v>
      </x:c>
      <x:c r="B19" s="31" t="str">
        <x:v>Professional Services</x:v>
      </x:c>
      <x:c r="C19" s="31" t="str">
        <x:v>Fixed</x:v>
      </x:c>
      <x:c r="D19" s="32" t="n">
        <x:v>18432</x:v>
      </x:c>
      <x:c r="E19" s="32" t="n">
        <x:v>18666.23</x:v>
      </x:c>
      <x:c r="F19" s="32" t="n">
        <x:f>D19-E19</x:f>
        <x:v>-234.22999999999956</x:v>
      </x:c>
      <x:c r="G19" s="31"/>
      <x:c r="H19" s="31"/>
      <x:c r="I19" s="31"/>
      <x:c r="J19" s="31"/>
      <x:c r="K19" s="31"/>
      <x:c r="L19" s="31"/>
    </x:row>
    <x:row r="20">
      <x:c r="A20" s="33" t="n">
        <x:v>45017</x:v>
      </x:c>
      <x:c r="B20" s="31" t="str">
        <x:v>Marketing</x:v>
      </x:c>
      <x:c r="C20" s="31" t="str">
        <x:v>Variable</x:v>
      </x:c>
      <x:c r="D20" s="32" t="n">
        <x:v>93240</x:v>
      </x:c>
      <x:c r="E20" s="32" t="n">
        <x:v>98850</x:v>
      </x:c>
      <x:c r="F20" s="32" t="n">
        <x:f>D20-E20</x:f>
        <x:v>-5610</x:v>
      </x:c>
      <x:c r="G20" s="31"/>
      <x:c r="H20" s="31"/>
      <x:c r="I20" s="31"/>
      <x:c r="J20" s="31"/>
      <x:c r="K20" s="31"/>
      <x:c r="L20" s="31"/>
    </x:row>
    <x:row r="21">
      <x:c r="A21" s="33" t="n">
        <x:v>45017</x:v>
      </x:c>
      <x:c r="B21" s="31" t="str">
        <x:v>Cloud &amp; API</x:v>
      </x:c>
      <x:c r="C21" s="31" t="str">
        <x:v>Variable</x:v>
      </x:c>
      <x:c r="D21" s="32" t="n">
        <x:v>16325.71</x:v>
      </x:c>
      <x:c r="E21" s="32" t="n">
        <x:v>16780.59</x:v>
      </x:c>
      <x:c r="F21" s="32" t="n">
        <x:f>D21-E21</x:f>
        <x:v>-454.880000000001</x:v>
      </x:c>
      <x:c r="G21" s="31"/>
      <x:c r="H21" s="31"/>
      <x:c r="I21" s="31"/>
      <x:c r="J21" s="31"/>
      <x:c r="K21" s="31"/>
      <x:c r="L21" s="31"/>
    </x:row>
    <x:row r="22">
      <x:c r="A22" s="33" t="n">
        <x:v>45017</x:v>
      </x:c>
      <x:c r="B22" s="31" t="str">
        <x:v>Software</x:v>
      </x:c>
      <x:c r="C22" s="31" t="str">
        <x:v>Fixed</x:v>
      </x:c>
      <x:c r="D22" s="32" t="n">
        <x:v>26936</x:v>
      </x:c>
      <x:c r="E22" s="32" t="n">
        <x:v>29314.91</x:v>
      </x:c>
      <x:c r="F22" s="32" t="n">
        <x:f>D22-E22</x:f>
        <x:v>-2378.91</x:v>
      </x:c>
      <x:c r="G22" s="31"/>
      <x:c r="H22" s="31"/>
      <x:c r="I22" s="31"/>
      <x:c r="J22" s="31"/>
      <x:c r="K22" s="31"/>
      <x:c r="L22" s="31"/>
    </x:row>
    <x:row r="23">
      <x:c r="A23" s="33" t="n">
        <x:v>45017</x:v>
      </x:c>
      <x:c r="B23" s="31" t="str">
        <x:v>Office &amp; Admin</x:v>
      </x:c>
      <x:c r="C23" s="31" t="str">
        <x:v>Fixed</x:v>
      </x:c>
      <x:c r="D23" s="32" t="n">
        <x:v>32116</x:v>
      </x:c>
      <x:c r="E23" s="32" t="n">
        <x:v>30343.99</x:v>
      </x:c>
      <x:c r="F23" s="32" t="n">
        <x:f>D23-E23</x:f>
        <x:v>1772.0099999999984</x:v>
      </x:c>
      <x:c r="G23" s="31"/>
      <x:c r="H23" s="31"/>
      <x:c r="I23" s="31"/>
      <x:c r="J23" s="31"/>
      <x:c r="K23" s="31"/>
      <x:c r="L23" s="31"/>
    </x:row>
    <x:row r="24">
      <x:c r="A24" s="33" t="n">
        <x:v>45017</x:v>
      </x:c>
      <x:c r="B24" s="31" t="str">
        <x:v>Professional Services</x:v>
      </x:c>
      <x:c r="C24" s="31" t="str">
        <x:v>Fixed</x:v>
      </x:c>
      <x:c r="D24" s="32" t="n">
        <x:v>18648</x:v>
      </x:c>
      <x:c r="E24" s="32" t="n">
        <x:v>20504.42</x:v>
      </x:c>
      <x:c r="F24" s="32" t="n">
        <x:f>D24-E24</x:f>
        <x:v>-1856.4199999999983</x:v>
      </x:c>
      <x:c r="G24" s="31"/>
      <x:c r="H24" s="31"/>
      <x:c r="I24" s="31"/>
      <x:c r="J24" s="31"/>
      <x:c r="K24" s="31"/>
      <x:c r="L24" s="31"/>
    </x:row>
    <x:row r="25">
      <x:c r="A25" s="33" t="n">
        <x:v>45047</x:v>
      </x:c>
      <x:c r="B25" s="31" t="str">
        <x:v>Marketing</x:v>
      </x:c>
      <x:c r="C25" s="31" t="str">
        <x:v>Variable</x:v>
      </x:c>
      <x:c r="D25" s="32" t="n">
        <x:v>94320</x:v>
      </x:c>
      <x:c r="E25" s="32" t="n">
        <x:v>99048.52</x:v>
      </x:c>
      <x:c r="F25" s="32" t="n">
        <x:f>D25-E25</x:f>
        <x:v>-4728.520000000004</x:v>
      </x:c>
      <x:c r="G25" s="31"/>
      <x:c r="H25" s="31"/>
      <x:c r="I25" s="31"/>
      <x:c r="J25" s="31"/>
      <x:c r="K25" s="31"/>
      <x:c r="L25" s="31"/>
    </x:row>
    <x:row r="26">
      <x:c r="A26" s="33" t="n">
        <x:v>45047</x:v>
      </x:c>
      <x:c r="B26" s="31" t="str">
        <x:v>Cloud &amp; API</x:v>
      </x:c>
      <x:c r="C26" s="31" t="str">
        <x:v>Variable</x:v>
      </x:c>
      <x:c r="D26" s="32" t="n">
        <x:v>16865.9</x:v>
      </x:c>
      <x:c r="E26" s="32" t="n">
        <x:v>19671.71</x:v>
      </x:c>
      <x:c r="F26" s="32" t="n">
        <x:f>D26-E26</x:f>
        <x:v>-2805.8099999999977</x:v>
      </x:c>
      <x:c r="G26" s="31"/>
      <x:c r="H26" s="31"/>
      <x:c r="I26" s="31"/>
      <x:c r="J26" s="31"/>
      <x:c r="K26" s="31"/>
      <x:c r="L26" s="31"/>
    </x:row>
    <x:row r="27">
      <x:c r="A27" s="33" t="n">
        <x:v>45047</x:v>
      </x:c>
      <x:c r="B27" s="31" t="str">
        <x:v>Software</x:v>
      </x:c>
      <x:c r="C27" s="31" t="str">
        <x:v>Fixed</x:v>
      </x:c>
      <x:c r="D27" s="32" t="n">
        <x:v>27248</x:v>
      </x:c>
      <x:c r="E27" s="32" t="n">
        <x:v>25481.25</x:v>
      </x:c>
      <x:c r="F27" s="32" t="n">
        <x:f>D27-E27</x:f>
        <x:v>1766.75</x:v>
      </x:c>
      <x:c r="G27" s="31"/>
      <x:c r="H27" s="31"/>
      <x:c r="I27" s="31"/>
      <x:c r="J27" s="31"/>
      <x:c r="K27" s="31"/>
      <x:c r="L27" s="31"/>
    </x:row>
    <x:row r="28">
      <x:c r="A28" s="33" t="n">
        <x:v>45047</x:v>
      </x:c>
      <x:c r="B28" s="31" t="str">
        <x:v>Office &amp; Admin</x:v>
      </x:c>
      <x:c r="C28" s="31" t="str">
        <x:v>Fixed</x:v>
      </x:c>
      <x:c r="D28" s="32" t="n">
        <x:v>32488</x:v>
      </x:c>
      <x:c r="E28" s="32" t="n">
        <x:v>29966.14</x:v>
      </x:c>
      <x:c r="F28" s="32" t="n">
        <x:f>D28-E28</x:f>
        <x:v>2521.8600000000006</x:v>
      </x:c>
      <x:c r="G28" s="31"/>
      <x:c r="H28" s="31"/>
      <x:c r="I28" s="31"/>
      <x:c r="J28" s="31"/>
      <x:c r="K28" s="31"/>
      <x:c r="L28" s="31"/>
    </x:row>
    <x:row r="29">
      <x:c r="A29" s="33" t="n">
        <x:v>45047</x:v>
      </x:c>
      <x:c r="B29" s="31" t="str">
        <x:v>Professional Services</x:v>
      </x:c>
      <x:c r="C29" s="31" t="str">
        <x:v>Fixed</x:v>
      </x:c>
      <x:c r="D29" s="32" t="n">
        <x:v>18864</x:v>
      </x:c>
      <x:c r="E29" s="32" t="n">
        <x:v>20256.03</x:v>
      </x:c>
      <x:c r="F29" s="32" t="n">
        <x:f>D29-E29</x:f>
        <x:v>-1392.0299999999988</x:v>
      </x:c>
      <x:c r="G29" s="31"/>
      <x:c r="H29" s="31"/>
      <x:c r="I29" s="31"/>
      <x:c r="J29" s="31"/>
      <x:c r="K29" s="31"/>
      <x:c r="L29" s="31"/>
    </x:row>
    <x:row r="30">
      <x:c r="A30" s="33" t="n">
        <x:v>45078</x:v>
      </x:c>
      <x:c r="B30" s="31" t="str">
        <x:v>Marketing</x:v>
      </x:c>
      <x:c r="C30" s="31" t="str">
        <x:v>Variable</x:v>
      </x:c>
      <x:c r="D30" s="32" t="n">
        <x:v>95400</x:v>
      </x:c>
      <x:c r="E30" s="32" t="n">
        <x:v>95038.31</x:v>
      </x:c>
      <x:c r="F30" s="32" t="n">
        <x:f>D30-E30</x:f>
        <x:v>361.6900000000023</x:v>
      </x:c>
      <x:c r="G30" s="31"/>
      <x:c r="H30" s="31"/>
      <x:c r="I30" s="31"/>
      <x:c r="J30" s="31"/>
      <x:c r="K30" s="31"/>
      <x:c r="L30" s="31"/>
    </x:row>
    <x:row r="31">
      <x:c r="A31" s="33" t="n">
        <x:v>45078</x:v>
      </x:c>
      <x:c r="B31" s="31" t="str">
        <x:v>Cloud &amp; API</x:v>
      </x:c>
      <x:c r="C31" s="31" t="str">
        <x:v>Variable</x:v>
      </x:c>
      <x:c r="D31" s="32" t="n">
        <x:v>17261.47</x:v>
      </x:c>
      <x:c r="E31" s="32" t="n">
        <x:v>19535.09</x:v>
      </x:c>
      <x:c r="F31" s="32" t="n">
        <x:f>D31-E31</x:f>
        <x:v>-2273.619999999999</x:v>
      </x:c>
      <x:c r="G31" s="31"/>
      <x:c r="H31" s="31"/>
      <x:c r="I31" s="31"/>
      <x:c r="J31" s="31"/>
      <x:c r="K31" s="31"/>
      <x:c r="L31" s="31"/>
    </x:row>
    <x:row r="32">
      <x:c r="A32" s="33" t="n">
        <x:v>45078</x:v>
      </x:c>
      <x:c r="B32" s="31" t="str">
        <x:v>Software</x:v>
      </x:c>
      <x:c r="C32" s="31" t="str">
        <x:v>Fixed</x:v>
      </x:c>
      <x:c r="D32" s="32" t="n">
        <x:v>27560</x:v>
      </x:c>
      <x:c r="E32" s="32" t="n">
        <x:v>29331.53</x:v>
      </x:c>
      <x:c r="F32" s="32" t="n">
        <x:f>D32-E32</x:f>
        <x:v>-1771.5299999999988</x:v>
      </x:c>
      <x:c r="G32" s="31"/>
      <x:c r="H32" s="31"/>
      <x:c r="I32" s="31"/>
      <x:c r="J32" s="31"/>
      <x:c r="K32" s="31"/>
      <x:c r="L32" s="31"/>
    </x:row>
    <x:row r="33">
      <x:c r="A33" s="33" t="n">
        <x:v>45078</x:v>
      </x:c>
      <x:c r="B33" s="31" t="str">
        <x:v>Office &amp; Admin</x:v>
      </x:c>
      <x:c r="C33" s="31" t="str">
        <x:v>Fixed</x:v>
      </x:c>
      <x:c r="D33" s="32" t="n">
        <x:v>32860</x:v>
      </x:c>
      <x:c r="E33" s="32" t="n">
        <x:v>34400.25</x:v>
      </x:c>
      <x:c r="F33" s="32" t="n">
        <x:f>D33-E33</x:f>
        <x:v>-1540.25</x:v>
      </x:c>
      <x:c r="G33" s="31"/>
      <x:c r="H33" s="31"/>
      <x:c r="I33" s="31"/>
      <x:c r="J33" s="31"/>
      <x:c r="K33" s="31"/>
      <x:c r="L33" s="31"/>
    </x:row>
    <x:row r="34">
      <x:c r="A34" s="33" t="n">
        <x:v>45078</x:v>
      </x:c>
      <x:c r="B34" s="31" t="str">
        <x:v>Professional Services</x:v>
      </x:c>
      <x:c r="C34" s="31" t="str">
        <x:v>Fixed</x:v>
      </x:c>
      <x:c r="D34" s="32" t="n">
        <x:v>19080</x:v>
      </x:c>
      <x:c r="E34" s="32" t="n">
        <x:v>19260.17</x:v>
      </x:c>
      <x:c r="F34" s="32" t="n">
        <x:f>D34-E34</x:f>
        <x:v>-180.16999999999825</x:v>
      </x:c>
      <x:c r="G34" s="31"/>
      <x:c r="H34" s="31"/>
      <x:c r="I34" s="31"/>
      <x:c r="J34" s="31"/>
      <x:c r="K34" s="31"/>
      <x:c r="L34" s="31"/>
    </x:row>
    <x:row r="35">
      <x:c r="A35" s="33" t="n">
        <x:v>45108</x:v>
      </x:c>
      <x:c r="B35" s="31" t="str">
        <x:v>Marketing</x:v>
      </x:c>
      <x:c r="C35" s="31" t="str">
        <x:v>Variable</x:v>
      </x:c>
      <x:c r="D35" s="32" t="n">
        <x:v>96480</x:v>
      </x:c>
      <x:c r="E35" s="32" t="n">
        <x:v>107423.37</x:v>
      </x:c>
      <x:c r="F35" s="32" t="n">
        <x:f>D35-E35</x:f>
        <x:v>-10943.369999999995</x:v>
      </x:c>
      <x:c r="G35" s="31"/>
      <x:c r="H35" s="31"/>
      <x:c r="I35" s="31"/>
      <x:c r="J35" s="31"/>
      <x:c r="K35" s="31"/>
      <x:c r="L35" s="31"/>
    </x:row>
    <x:row r="36">
      <x:c r="A36" s="33" t="n">
        <x:v>45108</x:v>
      </x:c>
      <x:c r="B36" s="31" t="str">
        <x:v>Cloud &amp; API</x:v>
      </x:c>
      <x:c r="C36" s="31" t="str">
        <x:v>Variable</x:v>
      </x:c>
      <x:c r="D36" s="32" t="n">
        <x:v>17842.27</x:v>
      </x:c>
      <x:c r="E36" s="32" t="n">
        <x:v>18116.76</x:v>
      </x:c>
      <x:c r="F36" s="32" t="n">
        <x:f>D36-E36</x:f>
        <x:v>-274.48999999999796</x:v>
      </x:c>
      <x:c r="G36" s="31"/>
      <x:c r="H36" s="31"/>
      <x:c r="I36" s="31"/>
      <x:c r="J36" s="31"/>
      <x:c r="K36" s="31"/>
      <x:c r="L36" s="31"/>
    </x:row>
    <x:row r="37">
      <x:c r="A37" s="33" t="n">
        <x:v>45108</x:v>
      </x:c>
      <x:c r="B37" s="31" t="str">
        <x:v>Software</x:v>
      </x:c>
      <x:c r="C37" s="31" t="str">
        <x:v>Fixed</x:v>
      </x:c>
      <x:c r="D37" s="32" t="n">
        <x:v>27872</x:v>
      </x:c>
      <x:c r="E37" s="32" t="n">
        <x:v>28425.62</x:v>
      </x:c>
      <x:c r="F37" s="32" t="n">
        <x:f>D37-E37</x:f>
        <x:v>-553.619999999999</x:v>
      </x:c>
      <x:c r="G37" s="31"/>
      <x:c r="H37" s="31"/>
      <x:c r="I37" s="31"/>
      <x:c r="J37" s="31"/>
      <x:c r="K37" s="31"/>
      <x:c r="L37" s="31"/>
    </x:row>
    <x:row r="38">
      <x:c r="A38" s="33" t="n">
        <x:v>45108</x:v>
      </x:c>
      <x:c r="B38" s="31" t="str">
        <x:v>Office &amp; Admin</x:v>
      </x:c>
      <x:c r="C38" s="31" t="str">
        <x:v>Fixed</x:v>
      </x:c>
      <x:c r="D38" s="32" t="n">
        <x:v>33232</x:v>
      </x:c>
      <x:c r="E38" s="32" t="n">
        <x:v>30572.28</x:v>
      </x:c>
      <x:c r="F38" s="32" t="n">
        <x:f>D38-E38</x:f>
        <x:v>2659.720000000001</x:v>
      </x:c>
      <x:c r="G38" s="31"/>
      <x:c r="H38" s="31"/>
      <x:c r="I38" s="31"/>
      <x:c r="J38" s="31"/>
      <x:c r="K38" s="31"/>
      <x:c r="L38" s="31"/>
    </x:row>
    <x:row r="39">
      <x:c r="A39" s="33" t="n">
        <x:v>45108</x:v>
      </x:c>
      <x:c r="B39" s="31" t="str">
        <x:v>Professional Services</x:v>
      </x:c>
      <x:c r="C39" s="31" t="str">
        <x:v>Fixed</x:v>
      </x:c>
      <x:c r="D39" s="32" t="n">
        <x:v>19296</x:v>
      </x:c>
      <x:c r="E39" s="32" t="n">
        <x:v>21768.91</x:v>
      </x:c>
      <x:c r="F39" s="32" t="n">
        <x:f>D39-E39</x:f>
        <x:v>-2472.91</x:v>
      </x:c>
      <x:c r="G39" s="31"/>
      <x:c r="H39" s="31"/>
      <x:c r="I39" s="31"/>
      <x:c r="J39" s="31"/>
      <x:c r="K39" s="31"/>
      <x:c r="L39" s="31"/>
    </x:row>
    <x:row r="40">
      <x:c r="A40" s="33" t="n">
        <x:v>45139</x:v>
      </x:c>
      <x:c r="B40" s="31" t="str">
        <x:v>Marketing</x:v>
      </x:c>
      <x:c r="C40" s="31" t="str">
        <x:v>Variable</x:v>
      </x:c>
      <x:c r="D40" s="32" t="n">
        <x:v>97560</x:v>
      </x:c>
      <x:c r="E40" s="32" t="n">
        <x:v>101334.49</x:v>
      </x:c>
      <x:c r="F40" s="32" t="n">
        <x:f>D40-E40</x:f>
        <x:v>-3774.4900000000052</x:v>
      </x:c>
      <x:c r="G40" s="31"/>
      <x:c r="H40" s="31"/>
      <x:c r="I40" s="31"/>
      <x:c r="J40" s="31"/>
      <x:c r="K40" s="31"/>
      <x:c r="L40" s="31"/>
    </x:row>
    <x:row r="41">
      <x:c r="A41" s="33" t="n">
        <x:v>45139</x:v>
      </x:c>
      <x:c r="B41" s="31" t="str">
        <x:v>Cloud &amp; API</x:v>
      </x:c>
      <x:c r="C41" s="31" t="str">
        <x:v>Variable</x:v>
      </x:c>
      <x:c r="D41" s="32" t="n">
        <x:v>18330.46</x:v>
      </x:c>
      <x:c r="E41" s="32" t="n">
        <x:v>19315.22</x:v>
      </x:c>
      <x:c r="F41" s="32" t="n">
        <x:f>D41-E41</x:f>
        <x:v>-984.760000000002</x:v>
      </x:c>
      <x:c r="G41" s="31"/>
      <x:c r="H41" s="31"/>
      <x:c r="I41" s="31"/>
      <x:c r="J41" s="31"/>
      <x:c r="K41" s="31"/>
      <x:c r="L41" s="31"/>
    </x:row>
    <x:row r="42">
      <x:c r="A42" s="33" t="n">
        <x:v>45139</x:v>
      </x:c>
      <x:c r="B42" s="31" t="str">
        <x:v>Software</x:v>
      </x:c>
      <x:c r="C42" s="31" t="str">
        <x:v>Fixed</x:v>
      </x:c>
      <x:c r="D42" s="32" t="n">
        <x:v>28184</x:v>
      </x:c>
      <x:c r="E42" s="32" t="n">
        <x:v>29077.65</x:v>
      </x:c>
      <x:c r="F42" s="32" t="n">
        <x:f>D42-E42</x:f>
        <x:v>-893.6500000000015</x:v>
      </x:c>
      <x:c r="G42" s="31"/>
      <x:c r="H42" s="31"/>
      <x:c r="I42" s="31"/>
      <x:c r="J42" s="31"/>
      <x:c r="K42" s="31"/>
      <x:c r="L42" s="31"/>
    </x:row>
    <x:row r="43">
      <x:c r="A43" s="33" t="n">
        <x:v>45139</x:v>
      </x:c>
      <x:c r="B43" s="31" t="str">
        <x:v>Office &amp; Admin</x:v>
      </x:c>
      <x:c r="C43" s="31" t="str">
        <x:v>Fixed</x:v>
      </x:c>
      <x:c r="D43" s="32" t="n">
        <x:v>33604</x:v>
      </x:c>
      <x:c r="E43" s="32" t="n">
        <x:v>33034.02</x:v>
      </x:c>
      <x:c r="F43" s="32" t="n">
        <x:f>D43-E43</x:f>
        <x:v>569.9800000000032</x:v>
      </x:c>
      <x:c r="G43" s="31"/>
      <x:c r="H43" s="31"/>
      <x:c r="I43" s="31"/>
      <x:c r="J43" s="31"/>
      <x:c r="K43" s="31"/>
      <x:c r="L43" s="31"/>
    </x:row>
    <x:row r="44">
      <x:c r="A44" s="33" t="n">
        <x:v>45139</x:v>
      </x:c>
      <x:c r="B44" s="31" t="str">
        <x:v>Professional Services</x:v>
      </x:c>
      <x:c r="C44" s="31" t="str">
        <x:v>Fixed</x:v>
      </x:c>
      <x:c r="D44" s="32" t="n">
        <x:v>19512</x:v>
      </x:c>
      <x:c r="E44" s="32" t="n">
        <x:v>20206.66</x:v>
      </x:c>
      <x:c r="F44" s="32" t="n">
        <x:f>D44-E44</x:f>
        <x:v>-694.6599999999999</x:v>
      </x:c>
      <x:c r="G44" s="31"/>
      <x:c r="H44" s="31"/>
      <x:c r="I44" s="31"/>
      <x:c r="J44" s="31"/>
      <x:c r="K44" s="31"/>
      <x:c r="L44" s="31"/>
    </x:row>
    <x:row r="45">
      <x:c r="A45" s="33" t="n">
        <x:v>45170</x:v>
      </x:c>
      <x:c r="B45" s="31" t="str">
        <x:v>Marketing</x:v>
      </x:c>
      <x:c r="C45" s="31" t="str">
        <x:v>Variable</x:v>
      </x:c>
      <x:c r="D45" s="32" t="n">
        <x:v>98640</x:v>
      </x:c>
      <x:c r="E45" s="32" t="n">
        <x:v>97894.12</x:v>
      </x:c>
      <x:c r="F45" s="32" t="n">
        <x:f>D45-E45</x:f>
        <x:v>745.8800000000047</x:v>
      </x:c>
      <x:c r="G45" s="31"/>
      <x:c r="H45" s="31"/>
      <x:c r="I45" s="31"/>
      <x:c r="J45" s="31"/>
      <x:c r="K45" s="31"/>
      <x:c r="L45" s="31"/>
    </x:row>
    <x:row r="46">
      <x:c r="A46" s="33" t="n">
        <x:v>45170</x:v>
      </x:c>
      <x:c r="B46" s="31" t="str">
        <x:v>Cloud &amp; API</x:v>
      </x:c>
      <x:c r="C46" s="31" t="str">
        <x:v>Variable</x:v>
      </x:c>
      <x:c r="D46" s="32" t="n">
        <x:v>18691.87</x:v>
      </x:c>
      <x:c r="E46" s="32" t="n">
        <x:v>21744.55</x:v>
      </x:c>
      <x:c r="F46" s="32" t="n">
        <x:f>D46-E46</x:f>
        <x:v>-3052.6800000000003</x:v>
      </x:c>
      <x:c r="G46" s="31"/>
      <x:c r="H46" s="31"/>
      <x:c r="I46" s="31"/>
      <x:c r="J46" s="31"/>
      <x:c r="K46" s="31"/>
      <x:c r="L46" s="31"/>
    </x:row>
    <x:row r="47">
      <x:c r="A47" s="33" t="n">
        <x:v>45170</x:v>
      </x:c>
      <x:c r="B47" s="31" t="str">
        <x:v>Software</x:v>
      </x:c>
      <x:c r="C47" s="31" t="str">
        <x:v>Fixed</x:v>
      </x:c>
      <x:c r="D47" s="32" t="n">
        <x:v>28496</x:v>
      </x:c>
      <x:c r="E47" s="32" t="n">
        <x:v>30369</x:v>
      </x:c>
      <x:c r="F47" s="32" t="n">
        <x:f>D47-E47</x:f>
        <x:v>-1873</x:v>
      </x:c>
      <x:c r="G47" s="31"/>
      <x:c r="H47" s="31"/>
      <x:c r="I47" s="31"/>
      <x:c r="J47" s="31"/>
      <x:c r="K47" s="31"/>
      <x:c r="L47" s="31"/>
    </x:row>
    <x:row r="48">
      <x:c r="A48" s="33" t="n">
        <x:v>45170</x:v>
      </x:c>
      <x:c r="B48" s="31" t="str">
        <x:v>Office &amp; Admin</x:v>
      </x:c>
      <x:c r="C48" s="31" t="str">
        <x:v>Fixed</x:v>
      </x:c>
      <x:c r="D48" s="32" t="n">
        <x:v>33976</x:v>
      </x:c>
      <x:c r="E48" s="32" t="n">
        <x:v>29557.76</x:v>
      </x:c>
      <x:c r="F48" s="32" t="n">
        <x:f>D48-E48</x:f>
        <x:v>4418.240000000002</x:v>
      </x:c>
      <x:c r="G48" s="31"/>
      <x:c r="H48" s="31"/>
      <x:c r="I48" s="31"/>
      <x:c r="J48" s="31"/>
      <x:c r="K48" s="31"/>
      <x:c r="L48" s="31"/>
    </x:row>
    <x:row r="49">
      <x:c r="A49" s="33" t="n">
        <x:v>45170</x:v>
      </x:c>
      <x:c r="B49" s="31" t="str">
        <x:v>Professional Services</x:v>
      </x:c>
      <x:c r="C49" s="31" t="str">
        <x:v>Fixed</x:v>
      </x:c>
      <x:c r="D49" s="32" t="n">
        <x:v>19728</x:v>
      </x:c>
      <x:c r="E49" s="32" t="n">
        <x:v>21500.44</x:v>
      </x:c>
      <x:c r="F49" s="32" t="n">
        <x:f>D49-E49</x:f>
        <x:v>-1772.4399999999987</x:v>
      </x:c>
      <x:c r="G49" s="31"/>
      <x:c r="H49" s="31"/>
      <x:c r="I49" s="31"/>
      <x:c r="J49" s="31"/>
      <x:c r="K49" s="31"/>
      <x:c r="L49" s="31"/>
    </x:row>
    <x:row r="50">
      <x:c r="A50" s="33" t="n">
        <x:v>45200</x:v>
      </x:c>
      <x:c r="B50" s="31" t="str">
        <x:v>Marketing</x:v>
      </x:c>
      <x:c r="C50" s="31" t="str">
        <x:v>Variable</x:v>
      </x:c>
      <x:c r="D50" s="32" t="n">
        <x:v>99720</x:v>
      </x:c>
      <x:c r="E50" s="32" t="n">
        <x:v>106306.54</x:v>
      </x:c>
      <x:c r="F50" s="32" t="n">
        <x:f>D50-E50</x:f>
        <x:v>-6586.539999999994</x:v>
      </x:c>
      <x:c r="G50" s="31"/>
      <x:c r="H50" s="31"/>
      <x:c r="I50" s="31"/>
      <x:c r="J50" s="31"/>
      <x:c r="K50" s="31"/>
      <x:c r="L50" s="31"/>
    </x:row>
    <x:row r="51">
      <x:c r="A51" s="33" t="n">
        <x:v>45200</x:v>
      </x:c>
      <x:c r="B51" s="31" t="str">
        <x:v>Cloud &amp; API</x:v>
      </x:c>
      <x:c r="C51" s="31" t="str">
        <x:v>Variable</x:v>
      </x:c>
      <x:c r="D51" s="32" t="n">
        <x:v>19093.9</x:v>
      </x:c>
      <x:c r="E51" s="32" t="n">
        <x:v>21202.65</x:v>
      </x:c>
      <x:c r="F51" s="32" t="n">
        <x:f>D51-E51</x:f>
        <x:v>-2108.75</x:v>
      </x:c>
      <x:c r="G51" s="31"/>
      <x:c r="H51" s="31"/>
      <x:c r="I51" s="31"/>
      <x:c r="J51" s="31"/>
      <x:c r="K51" s="31"/>
      <x:c r="L51" s="31"/>
    </x:row>
    <x:row r="52">
      <x:c r="A52" s="33" t="n">
        <x:v>45200</x:v>
      </x:c>
      <x:c r="B52" s="31" t="str">
        <x:v>Software</x:v>
      </x:c>
      <x:c r="C52" s="31" t="str">
        <x:v>Fixed</x:v>
      </x:c>
      <x:c r="D52" s="32" t="n">
        <x:v>28808</x:v>
      </x:c>
      <x:c r="E52" s="32" t="n">
        <x:v>30779.44</x:v>
      </x:c>
      <x:c r="F52" s="32" t="n">
        <x:f>D52-E52</x:f>
        <x:v>-1971.4399999999987</x:v>
      </x:c>
      <x:c r="G52" s="31"/>
      <x:c r="H52" s="31"/>
      <x:c r="I52" s="31"/>
      <x:c r="J52" s="31"/>
      <x:c r="K52" s="31"/>
      <x:c r="L52" s="31"/>
    </x:row>
    <x:row r="53">
      <x:c r="A53" s="33" t="n">
        <x:v>45200</x:v>
      </x:c>
      <x:c r="B53" s="31" t="str">
        <x:v>Office &amp; Admin</x:v>
      </x:c>
      <x:c r="C53" s="31" t="str">
        <x:v>Fixed</x:v>
      </x:c>
      <x:c r="D53" s="32" t="n">
        <x:v>34348</x:v>
      </x:c>
      <x:c r="E53" s="32" t="n">
        <x:v>32501.76</x:v>
      </x:c>
      <x:c r="F53" s="32" t="n">
        <x:f>D53-E53</x:f>
        <x:v>1846.2400000000016</x:v>
      </x:c>
      <x:c r="G53" s="31"/>
      <x:c r="H53" s="31"/>
      <x:c r="I53" s="31"/>
      <x:c r="J53" s="31"/>
      <x:c r="K53" s="31"/>
      <x:c r="L53" s="31"/>
    </x:row>
    <x:row r="54">
      <x:c r="A54" s="33" t="n">
        <x:v>45200</x:v>
      </x:c>
      <x:c r="B54" s="31" t="str">
        <x:v>Professional Services</x:v>
      </x:c>
      <x:c r="C54" s="31" t="str">
        <x:v>Fixed</x:v>
      </x:c>
      <x:c r="D54" s="32" t="n">
        <x:v>19944</x:v>
      </x:c>
      <x:c r="E54" s="32" t="n">
        <x:v>20812.89</x:v>
      </x:c>
      <x:c r="F54" s="32" t="n">
        <x:f>D54-E54</x:f>
        <x:v>-868.8899999999994</x:v>
      </x:c>
      <x:c r="G54" s="31"/>
      <x:c r="H54" s="31"/>
      <x:c r="I54" s="31"/>
      <x:c r="J54" s="31"/>
      <x:c r="K54" s="31"/>
      <x:c r="L54" s="31"/>
    </x:row>
    <x:row r="55">
      <x:c r="A55" s="33" t="n">
        <x:v>45231</x:v>
      </x:c>
      <x:c r="B55" s="31" t="str">
        <x:v>Marketing</x:v>
      </x:c>
      <x:c r="C55" s="31" t="str">
        <x:v>Variable</x:v>
      </x:c>
      <x:c r="D55" s="32" t="n">
        <x:v>100800</x:v>
      </x:c>
      <x:c r="E55" s="32" t="n">
        <x:v>107202.61</x:v>
      </x:c>
      <x:c r="F55" s="32" t="n">
        <x:f>D55-E55</x:f>
        <x:v>-6402.610000000001</x:v>
      </x:c>
      <x:c r="G55" s="31"/>
      <x:c r="H55" s="31"/>
      <x:c r="I55" s="31"/>
      <x:c r="J55" s="31"/>
      <x:c r="K55" s="31"/>
      <x:c r="L55" s="31"/>
    </x:row>
    <x:row r="56">
      <x:c r="A56" s="33" t="n">
        <x:v>45231</x:v>
      </x:c>
      <x:c r="B56" s="31" t="str">
        <x:v>Cloud &amp; API</x:v>
      </x:c>
      <x:c r="C56" s="31" t="str">
        <x:v>Variable</x:v>
      </x:c>
      <x:c r="D56" s="32" t="n">
        <x:v>19599.94</x:v>
      </x:c>
      <x:c r="E56" s="32" t="n">
        <x:v>22817.4</x:v>
      </x:c>
      <x:c r="F56" s="32" t="n">
        <x:f>D56-E56</x:f>
        <x:v>-3217.4600000000028</x:v>
      </x:c>
      <x:c r="G56" s="31"/>
      <x:c r="H56" s="31"/>
      <x:c r="I56" s="31"/>
      <x:c r="J56" s="31"/>
      <x:c r="K56" s="31"/>
      <x:c r="L56" s="31"/>
    </x:row>
    <x:row r="57">
      <x:c r="A57" s="33" t="n">
        <x:v>45231</x:v>
      </x:c>
      <x:c r="B57" s="31" t="str">
        <x:v>Software</x:v>
      </x:c>
      <x:c r="C57" s="31" t="str">
        <x:v>Fixed</x:v>
      </x:c>
      <x:c r="D57" s="32" t="n">
        <x:v>29120</x:v>
      </x:c>
      <x:c r="E57" s="32" t="n">
        <x:v>29177.48</x:v>
      </x:c>
      <x:c r="F57" s="32" t="n">
        <x:f>D57-E57</x:f>
        <x:v>-57.47999999999956</x:v>
      </x:c>
      <x:c r="G57" s="31"/>
      <x:c r="H57" s="31"/>
      <x:c r="I57" s="31"/>
      <x:c r="J57" s="31"/>
      <x:c r="K57" s="31"/>
      <x:c r="L57" s="31"/>
    </x:row>
    <x:row r="58">
      <x:c r="A58" s="33" t="n">
        <x:v>45231</x:v>
      </x:c>
      <x:c r="B58" s="31" t="str">
        <x:v>Office &amp; Admin</x:v>
      </x:c>
      <x:c r="C58" s="31" t="str">
        <x:v>Fixed</x:v>
      </x:c>
      <x:c r="D58" s="32" t="n">
        <x:v>34720</x:v>
      </x:c>
      <x:c r="E58" s="32" t="n">
        <x:v>35249.41</x:v>
      </x:c>
      <x:c r="F58" s="32" t="n">
        <x:f>D58-E58</x:f>
        <x:v>-529.4100000000035</x:v>
      </x:c>
      <x:c r="G58" s="31"/>
      <x:c r="H58" s="31"/>
      <x:c r="I58" s="31"/>
      <x:c r="J58" s="31"/>
      <x:c r="K58" s="31"/>
      <x:c r="L58" s="31"/>
    </x:row>
    <x:row r="59">
      <x:c r="A59" s="33" t="n">
        <x:v>45231</x:v>
      </x:c>
      <x:c r="B59" s="31" t="str">
        <x:v>Professional Services</x:v>
      </x:c>
      <x:c r="C59" s="31" t="str">
        <x:v>Fixed</x:v>
      </x:c>
      <x:c r="D59" s="32" t="n">
        <x:v>20160</x:v>
      </x:c>
      <x:c r="E59" s="32" t="n">
        <x:v>21006.99</x:v>
      </x:c>
      <x:c r="F59" s="32" t="n">
        <x:f>D59-E59</x:f>
        <x:v>-846.9900000000016</x:v>
      </x:c>
      <x:c r="G59" s="31"/>
      <x:c r="H59" s="31"/>
      <x:c r="I59" s="31"/>
      <x:c r="J59" s="31"/>
      <x:c r="K59" s="31"/>
      <x:c r="L59" s="31"/>
    </x:row>
    <x:row r="60">
      <x:c r="A60" s="33" t="n">
        <x:v>45261</x:v>
      </x:c>
      <x:c r="B60" s="31" t="str">
        <x:v>Marketing</x:v>
      </x:c>
      <x:c r="C60" s="31" t="str">
        <x:v>Variable</x:v>
      </x:c>
      <x:c r="D60" s="32" t="n">
        <x:v>101880</x:v>
      </x:c>
      <x:c r="E60" s="32" t="n">
        <x:v>111974.44</x:v>
      </x:c>
      <x:c r="F60" s="32" t="n">
        <x:f>D60-E60</x:f>
        <x:v>-10094.440000000002</x:v>
      </x:c>
      <x:c r="G60" s="31"/>
      <x:c r="H60" s="31"/>
      <x:c r="I60" s="31"/>
      <x:c r="J60" s="31"/>
      <x:c r="K60" s="31"/>
      <x:c r="L60" s="31"/>
    </x:row>
    <x:row r="61">
      <x:c r="A61" s="33" t="n">
        <x:v>45261</x:v>
      </x:c>
      <x:c r="B61" s="31" t="str">
        <x:v>Cloud &amp; API</x:v>
      </x:c>
      <x:c r="C61" s="31" t="str">
        <x:v>Variable</x:v>
      </x:c>
      <x:c r="D61" s="32" t="n">
        <x:v>20140.13</x:v>
      </x:c>
      <x:c r="E61" s="32" t="n">
        <x:v>21443.44</x:v>
      </x:c>
      <x:c r="F61" s="32" t="n">
        <x:f>D61-E61</x:f>
        <x:v>-1303.3099999999977</x:v>
      </x:c>
      <x:c r="G61" s="31"/>
      <x:c r="H61" s="31"/>
      <x:c r="I61" s="31"/>
      <x:c r="J61" s="31"/>
      <x:c r="K61" s="31"/>
      <x:c r="L61" s="31"/>
    </x:row>
    <x:row r="62">
      <x:c r="A62" s="33" t="n">
        <x:v>45261</x:v>
      </x:c>
      <x:c r="B62" s="31" t="str">
        <x:v>Software</x:v>
      </x:c>
      <x:c r="C62" s="31" t="str">
        <x:v>Fixed</x:v>
      </x:c>
      <x:c r="D62" s="32" t="n">
        <x:v>29432</x:v>
      </x:c>
      <x:c r="E62" s="32" t="n">
        <x:v>29800.71</x:v>
      </x:c>
      <x:c r="F62" s="32" t="n">
        <x:f>D62-E62</x:f>
        <x:v>-368.7099999999991</x:v>
      </x:c>
      <x:c r="G62" s="31"/>
      <x:c r="H62" s="31"/>
      <x:c r="I62" s="31"/>
      <x:c r="J62" s="31"/>
      <x:c r="K62" s="31"/>
      <x:c r="L62" s="31"/>
    </x:row>
    <x:row r="63">
      <x:c r="A63" s="33" t="n">
        <x:v>45261</x:v>
      </x:c>
      <x:c r="B63" s="31" t="str">
        <x:v>Office &amp; Admin</x:v>
      </x:c>
      <x:c r="C63" s="31" t="str">
        <x:v>Fixed</x:v>
      </x:c>
      <x:c r="D63" s="32" t="n">
        <x:v>35092</x:v>
      </x:c>
      <x:c r="E63" s="32" t="n">
        <x:v>33486.29</x:v>
      </x:c>
      <x:c r="F63" s="32" t="n">
        <x:f>D63-E63</x:f>
        <x:v>1605.7099999999991</x:v>
      </x:c>
      <x:c r="G63" s="31"/>
      <x:c r="H63" s="31"/>
      <x:c r="I63" s="31"/>
      <x:c r="J63" s="31"/>
      <x:c r="K63" s="31"/>
      <x:c r="L63" s="31"/>
    </x:row>
    <x:row r="64">
      <x:c r="A64" s="33" t="n">
        <x:v>45261</x:v>
      </x:c>
      <x:c r="B64" s="31" t="str">
        <x:v>Professional Services</x:v>
      </x:c>
      <x:c r="C64" s="31" t="str">
        <x:v>Fixed</x:v>
      </x:c>
      <x:c r="D64" s="32" t="n">
        <x:v>20376</x:v>
      </x:c>
      <x:c r="E64" s="32" t="n">
        <x:v>22215.51</x:v>
      </x:c>
      <x:c r="F64" s="32" t="n">
        <x:f>D64-E64</x:f>
        <x:v>-1839.5099999999984</x:v>
      </x:c>
      <x:c r="G64" s="31"/>
      <x:c r="H64" s="31"/>
      <x:c r="I64" s="31"/>
      <x:c r="J64" s="31"/>
      <x:c r="K64" s="31"/>
      <x:c r="L64" s="31"/>
    </x:row>
    <x:row r="65">
      <x:c r="A65" s="33" t="n">
        <x:v>45292</x:v>
      </x:c>
      <x:c r="B65" s="31" t="str">
        <x:v>Marketing</x:v>
      </x:c>
      <x:c r="C65" s="31" t="str">
        <x:v>Variable</x:v>
      </x:c>
      <x:c r="D65" s="32" t="n">
        <x:v>102960</x:v>
      </x:c>
      <x:c r="E65" s="32" t="n">
        <x:v>117178.44</x:v>
      </x:c>
      <x:c r="F65" s="32" t="n">
        <x:f>D65-E65</x:f>
        <x:v>-14218.440000000002</x:v>
      </x:c>
      <x:c r="G65" s="31"/>
      <x:c r="H65" s="31"/>
      <x:c r="I65" s="31"/>
      <x:c r="J65" s="31"/>
      <x:c r="K65" s="31"/>
      <x:c r="L65" s="31"/>
    </x:row>
    <x:row r="66">
      <x:c r="A66" s="33" t="n">
        <x:v>45292</x:v>
      </x:c>
      <x:c r="B66" s="31" t="str">
        <x:v>Cloud &amp; API</x:v>
      </x:c>
      <x:c r="C66" s="31" t="str">
        <x:v>Variable</x:v>
      </x:c>
      <x:c r="D66" s="32" t="n">
        <x:v>21338.52</x:v>
      </x:c>
      <x:c r="E66" s="32" t="n">
        <x:v>24211.13</x:v>
      </x:c>
      <x:c r="F66" s="32" t="n">
        <x:f>D66-E66</x:f>
        <x:v>-2872.6100000000006</x:v>
      </x:c>
      <x:c r="G66" s="31"/>
      <x:c r="H66" s="31"/>
      <x:c r="I66" s="31"/>
      <x:c r="J66" s="31"/>
      <x:c r="K66" s="31"/>
      <x:c r="L66" s="31"/>
    </x:row>
    <x:row r="67">
      <x:c r="A67" s="33" t="n">
        <x:v>45292</x:v>
      </x:c>
      <x:c r="B67" s="31" t="str">
        <x:v>Software</x:v>
      </x:c>
      <x:c r="C67" s="31" t="str">
        <x:v>Fixed</x:v>
      </x:c>
      <x:c r="D67" s="32" t="n">
        <x:v>29744</x:v>
      </x:c>
      <x:c r="E67" s="32" t="n">
        <x:v>29478.56</x:v>
      </x:c>
      <x:c r="F67" s="32" t="n">
        <x:f>D67-E67</x:f>
        <x:v>265.4399999999987</x:v>
      </x:c>
      <x:c r="G67" s="31"/>
      <x:c r="H67" s="31"/>
      <x:c r="I67" s="31"/>
      <x:c r="J67" s="31"/>
      <x:c r="K67" s="31"/>
      <x:c r="L67" s="31"/>
    </x:row>
    <x:row r="68">
      <x:c r="A68" s="33" t="n">
        <x:v>45292</x:v>
      </x:c>
      <x:c r="B68" s="31" t="str">
        <x:v>Office &amp; Admin</x:v>
      </x:c>
      <x:c r="C68" s="31" t="str">
        <x:v>Fixed</x:v>
      </x:c>
      <x:c r="D68" s="32" t="n">
        <x:v>35464</x:v>
      </x:c>
      <x:c r="E68" s="32" t="n">
        <x:v>34509.33</x:v>
      </x:c>
      <x:c r="F68" s="32" t="n">
        <x:f>D68-E68</x:f>
        <x:v>954.6699999999983</x:v>
      </x:c>
      <x:c r="G68" s="31"/>
      <x:c r="H68" s="31"/>
      <x:c r="I68" s="31"/>
      <x:c r="J68" s="31"/>
      <x:c r="K68" s="31"/>
      <x:c r="L68" s="31"/>
    </x:row>
    <x:row r="69">
      <x:c r="A69" s="33" t="n">
        <x:v>45292</x:v>
      </x:c>
      <x:c r="B69" s="31" t="str">
        <x:v>Professional Services</x:v>
      </x:c>
      <x:c r="C69" s="31" t="str">
        <x:v>Fixed</x:v>
      </x:c>
      <x:c r="D69" s="32" t="n">
        <x:v>20592</x:v>
      </x:c>
      <x:c r="E69" s="32" t="n">
        <x:v>21772.08</x:v>
      </x:c>
      <x:c r="F69" s="32" t="n">
        <x:f>D69-E69</x:f>
        <x:v>-1180.0800000000017</x:v>
      </x:c>
      <x:c r="G69" s="31"/>
      <x:c r="H69" s="31"/>
      <x:c r="I69" s="31"/>
      <x:c r="J69" s="31"/>
      <x:c r="K69" s="31"/>
      <x:c r="L69" s="31"/>
    </x:row>
    <x:row r="70">
      <x:c r="A70" s="33" t="n">
        <x:v>45323</x:v>
      </x:c>
      <x:c r="B70" s="31" t="str">
        <x:v>Marketing</x:v>
      </x:c>
      <x:c r="C70" s="31" t="str">
        <x:v>Variable</x:v>
      </x:c>
      <x:c r="D70" s="32" t="n">
        <x:v>104040</x:v>
      </x:c>
      <x:c r="E70" s="32" t="n">
        <x:v>115687.13</x:v>
      </x:c>
      <x:c r="F70" s="32" t="n">
        <x:f>D70-E70</x:f>
        <x:v>-11647.130000000005</x:v>
      </x:c>
      <x:c r="G70" s="31"/>
      <x:c r="H70" s="31"/>
      <x:c r="I70" s="31"/>
      <x:c r="J70" s="31"/>
      <x:c r="K70" s="31"/>
      <x:c r="L70" s="31"/>
    </x:row>
    <x:row r="71">
      <x:c r="A71" s="33" t="n">
        <x:v>45323</x:v>
      </x:c>
      <x:c r="B71" s="31" t="str">
        <x:v>Cloud &amp; API</x:v>
      </x:c>
      <x:c r="C71" s="31" t="str">
        <x:v>Variable</x:v>
      </x:c>
      <x:c r="D71" s="32" t="n">
        <x:v>21885.83</x:v>
      </x:c>
      <x:c r="E71" s="32" t="n">
        <x:v>25083.42</x:v>
      </x:c>
      <x:c r="F71" s="32" t="n">
        <x:f>D71-E71</x:f>
        <x:v>-3197.5899999999965</x:v>
      </x:c>
      <x:c r="G71" s="31"/>
      <x:c r="H71" s="31"/>
      <x:c r="I71" s="31"/>
      <x:c r="J71" s="31"/>
      <x:c r="K71" s="31"/>
      <x:c r="L71" s="31"/>
    </x:row>
    <x:row r="72">
      <x:c r="A72" s="33" t="n">
        <x:v>45323</x:v>
      </x:c>
      <x:c r="B72" s="31" t="str">
        <x:v>Software</x:v>
      </x:c>
      <x:c r="C72" s="31" t="str">
        <x:v>Fixed</x:v>
      </x:c>
      <x:c r="D72" s="32" t="n">
        <x:v>30056</x:v>
      </x:c>
      <x:c r="E72" s="32" t="n">
        <x:v>35630.59</x:v>
      </x:c>
      <x:c r="F72" s="32" t="n">
        <x:f>D72-E72</x:f>
        <x:v>-5574.5899999999965</x:v>
      </x:c>
      <x:c r="G72" s="31"/>
      <x:c r="H72" s="31"/>
      <x:c r="I72" s="31"/>
      <x:c r="J72" s="31"/>
      <x:c r="K72" s="31"/>
      <x:c r="L72" s="31"/>
    </x:row>
    <x:row r="73">
      <x:c r="A73" s="33" t="n">
        <x:v>45323</x:v>
      </x:c>
      <x:c r="B73" s="31" t="str">
        <x:v>Office &amp; Admin</x:v>
      </x:c>
      <x:c r="C73" s="31" t="str">
        <x:v>Fixed</x:v>
      </x:c>
      <x:c r="D73" s="32" t="n">
        <x:v>35836</x:v>
      </x:c>
      <x:c r="E73" s="32" t="n">
        <x:v>32960.49</x:v>
      </x:c>
      <x:c r="F73" s="32" t="n">
        <x:f>D73-E73</x:f>
        <x:v>2875.510000000002</x:v>
      </x:c>
      <x:c r="G73" s="31"/>
      <x:c r="H73" s="31"/>
      <x:c r="I73" s="31"/>
      <x:c r="J73" s="31"/>
      <x:c r="K73" s="31"/>
      <x:c r="L73" s="31"/>
    </x:row>
    <x:row r="74">
      <x:c r="A74" s="33" t="n">
        <x:v>45323</x:v>
      </x:c>
      <x:c r="B74" s="31" t="str">
        <x:v>Professional Services</x:v>
      </x:c>
      <x:c r="C74" s="31" t="str">
        <x:v>Fixed</x:v>
      </x:c>
      <x:c r="D74" s="32" t="n">
        <x:v>20808</x:v>
      </x:c>
      <x:c r="E74" s="32" t="n">
        <x:v>21901.11</x:v>
      </x:c>
      <x:c r="F74" s="32" t="n">
        <x:f>D74-E74</x:f>
        <x:v>-1093.1100000000006</x:v>
      </x:c>
      <x:c r="G74" s="31"/>
      <x:c r="H74" s="31"/>
      <x:c r="I74" s="31"/>
      <x:c r="J74" s="31"/>
      <x:c r="K74" s="31"/>
      <x:c r="L74" s="31"/>
    </x:row>
    <x:row r="75">
      <x:c r="A75" s="33" t="n">
        <x:v>45352</x:v>
      </x:c>
      <x:c r="B75" s="31" t="str">
        <x:v>Marketing</x:v>
      </x:c>
      <x:c r="C75" s="31" t="str">
        <x:v>Variable</x:v>
      </x:c>
      <x:c r="D75" s="32" t="n">
        <x:v>105120</x:v>
      </x:c>
      <x:c r="E75" s="32" t="n">
        <x:v>111183.55</x:v>
      </x:c>
      <x:c r="F75" s="32" t="n">
        <x:f>D75-E75</x:f>
        <x:v>-6063.550000000003</x:v>
      </x:c>
      <x:c r="G75" s="31"/>
      <x:c r="H75" s="31"/>
      <x:c r="I75" s="31"/>
      <x:c r="J75" s="31"/>
      <x:c r="K75" s="31"/>
      <x:c r="L75" s="31"/>
    </x:row>
    <x:row r="76">
      <x:c r="A76" s="33" t="n">
        <x:v>45352</x:v>
      </x:c>
      <x:c r="B76" s="31" t="str">
        <x:v>Cloud &amp; API</x:v>
      </x:c>
      <x:c r="C76" s="31" t="str">
        <x:v>Variable</x:v>
      </x:c>
      <x:c r="D76" s="32" t="n">
        <x:v>22564.36</x:v>
      </x:c>
      <x:c r="E76" s="32" t="n">
        <x:v>25529.23</x:v>
      </x:c>
      <x:c r="F76" s="32" t="n">
        <x:f>D76-E76</x:f>
        <x:v>-2964.869999999999</x:v>
      </x:c>
      <x:c r="G76" s="31"/>
      <x:c r="H76" s="31"/>
      <x:c r="I76" s="31"/>
      <x:c r="J76" s="31"/>
      <x:c r="K76" s="31"/>
      <x:c r="L76" s="31"/>
    </x:row>
    <x:row r="77">
      <x:c r="A77" s="33" t="n">
        <x:v>45352</x:v>
      </x:c>
      <x:c r="B77" s="31" t="str">
        <x:v>Software</x:v>
      </x:c>
      <x:c r="C77" s="31" t="str">
        <x:v>Fixed</x:v>
      </x:c>
      <x:c r="D77" s="32" t="n">
        <x:v>30368</x:v>
      </x:c>
      <x:c r="E77" s="32" t="n">
        <x:v>31894.31</x:v>
      </x:c>
      <x:c r="F77" s="32" t="n">
        <x:f>D77-E77</x:f>
        <x:v>-1526.3100000000013</x:v>
      </x:c>
      <x:c r="G77" s="31"/>
      <x:c r="H77" s="31"/>
      <x:c r="I77" s="31"/>
      <x:c r="J77" s="31"/>
      <x:c r="K77" s="31"/>
      <x:c r="L77" s="31"/>
    </x:row>
    <x:row r="78">
      <x:c r="A78" s="33" t="n">
        <x:v>45352</x:v>
      </x:c>
      <x:c r="B78" s="31" t="str">
        <x:v>Office &amp; Admin</x:v>
      </x:c>
      <x:c r="C78" s="31" t="str">
        <x:v>Fixed</x:v>
      </x:c>
      <x:c r="D78" s="32" t="n">
        <x:v>36208</x:v>
      </x:c>
      <x:c r="E78" s="32" t="n">
        <x:v>36907.12</x:v>
      </x:c>
      <x:c r="F78" s="32" t="n">
        <x:f>D78-E78</x:f>
        <x:v>-699.1200000000026</x:v>
      </x:c>
      <x:c r="G78" s="31"/>
      <x:c r="H78" s="31"/>
      <x:c r="I78" s="31"/>
      <x:c r="J78" s="31"/>
      <x:c r="K78" s="31"/>
      <x:c r="L78" s="31"/>
    </x:row>
    <x:row r="79">
      <x:c r="A79" s="33" t="n">
        <x:v>45352</x:v>
      </x:c>
      <x:c r="B79" s="31" t="str">
        <x:v>Professional Services</x:v>
      </x:c>
      <x:c r="C79" s="31" t="str">
        <x:v>Fixed</x:v>
      </x:c>
      <x:c r="D79" s="32" t="n">
        <x:v>21024</x:v>
      </x:c>
      <x:c r="E79" s="32" t="n">
        <x:v>20802.94</x:v>
      </x:c>
      <x:c r="F79" s="32" t="n">
        <x:f>D79-E79</x:f>
        <x:v>221.0600000000013</x:v>
      </x:c>
      <x:c r="G79" s="31"/>
      <x:c r="H79" s="31"/>
      <x:c r="I79" s="31"/>
      <x:c r="J79" s="31"/>
      <x:c r="K79" s="31"/>
      <x:c r="L79" s="31"/>
    </x:row>
    <x:row r="80">
      <x:c r="A80" s="33" t="n">
        <x:v>45383</x:v>
      </x:c>
      <x:c r="B80" s="31" t="str">
        <x:v>Marketing</x:v>
      </x:c>
      <x:c r="C80" s="31" t="str">
        <x:v>Variable</x:v>
      </x:c>
      <x:c r="D80" s="32" t="n">
        <x:v>106200</x:v>
      </x:c>
      <x:c r="E80" s="32" t="n">
        <x:v>115395.62</x:v>
      </x:c>
      <x:c r="F80" s="32" t="n">
        <x:f>D80-E80</x:f>
        <x:v>-9195.619999999995</x:v>
      </x:c>
      <x:c r="G80" s="31"/>
      <x:c r="H80" s="31"/>
      <x:c r="I80" s="31"/>
      <x:c r="J80" s="31"/>
      <x:c r="K80" s="31"/>
      <x:c r="L80" s="31"/>
    </x:row>
    <x:row r="81">
      <x:c r="A81" s="33" t="n">
        <x:v>45383</x:v>
      </x:c>
      <x:c r="B81" s="31" t="str">
        <x:v>Cloud &amp; API</x:v>
      </x:c>
      <x:c r="C81" s="31" t="str">
        <x:v>Variable</x:v>
      </x:c>
      <x:c r="D81" s="32" t="n">
        <x:v>23383.18</x:v>
      </x:c>
      <x:c r="E81" s="32" t="n">
        <x:v>26629.59</x:v>
      </x:c>
      <x:c r="F81" s="32" t="n">
        <x:f>D81-E81</x:f>
        <x:v>-3246.41</x:v>
      </x:c>
      <x:c r="G81" s="31"/>
      <x:c r="H81" s="31"/>
      <x:c r="I81" s="31"/>
      <x:c r="J81" s="31"/>
      <x:c r="K81" s="31"/>
      <x:c r="L81" s="31"/>
    </x:row>
    <x:row r="82">
      <x:c r="A82" s="33" t="n">
        <x:v>45383</x:v>
      </x:c>
      <x:c r="B82" s="31" t="str">
        <x:v>Software</x:v>
      </x:c>
      <x:c r="C82" s="31" t="str">
        <x:v>Fixed</x:v>
      </x:c>
      <x:c r="D82" s="32" t="n">
        <x:v>30680</x:v>
      </x:c>
      <x:c r="E82" s="32" t="n">
        <x:v>33051.06</x:v>
      </x:c>
      <x:c r="F82" s="32" t="n">
        <x:f>D82-E82</x:f>
        <x:v>-2371.0599999999977</x:v>
      </x:c>
      <x:c r="G82" s="31"/>
      <x:c r="H82" s="31"/>
      <x:c r="I82" s="31"/>
      <x:c r="J82" s="31"/>
      <x:c r="K82" s="31"/>
      <x:c r="L82" s="31"/>
    </x:row>
    <x:row r="83">
      <x:c r="A83" s="33" t="n">
        <x:v>45383</x:v>
      </x:c>
      <x:c r="B83" s="31" t="str">
        <x:v>Office &amp; Admin</x:v>
      </x:c>
      <x:c r="C83" s="31" t="str">
        <x:v>Fixed</x:v>
      </x:c>
      <x:c r="D83" s="32" t="n">
        <x:v>36580</x:v>
      </x:c>
      <x:c r="E83" s="32" t="n">
        <x:v>34408.65</x:v>
      </x:c>
      <x:c r="F83" s="32" t="n">
        <x:f>D83-E83</x:f>
        <x:v>2171.3499999999985</x:v>
      </x:c>
      <x:c r="G83" s="31"/>
      <x:c r="H83" s="31"/>
      <x:c r="I83" s="31"/>
      <x:c r="J83" s="31"/>
      <x:c r="K83" s="31"/>
      <x:c r="L83" s="31"/>
    </x:row>
    <x:row r="84">
      <x:c r="A84" s="33" t="n">
        <x:v>45383</x:v>
      </x:c>
      <x:c r="B84" s="31" t="str">
        <x:v>Professional Services</x:v>
      </x:c>
      <x:c r="C84" s="31" t="str">
        <x:v>Fixed</x:v>
      </x:c>
      <x:c r="D84" s="32" t="n">
        <x:v>21240</x:v>
      </x:c>
      <x:c r="E84" s="32" t="n">
        <x:v>22580.65</x:v>
      </x:c>
      <x:c r="F84" s="32" t="n">
        <x:f>D84-E84</x:f>
        <x:v>-1340.6500000000015</x:v>
      </x:c>
      <x:c r="G84" s="31"/>
      <x:c r="H84" s="31"/>
      <x:c r="I84" s="31"/>
      <x:c r="J84" s="31"/>
      <x:c r="K84" s="31"/>
      <x:c r="L84" s="31"/>
    </x:row>
    <x:row r="85">
      <x:c r="A85" s="33" t="n">
        <x:v>45413</x:v>
      </x:c>
      <x:c r="B85" s="31" t="str">
        <x:v>Marketing</x:v>
      </x:c>
      <x:c r="C85" s="31" t="str">
        <x:v>Variable</x:v>
      </x:c>
      <x:c r="D85" s="32" t="n">
        <x:v>107280</x:v>
      </x:c>
      <x:c r="E85" s="32" t="n">
        <x:v>113555.24</x:v>
      </x:c>
      <x:c r="F85" s="32" t="n">
        <x:f>D85-E85</x:f>
        <x:v>-6275.240000000005</x:v>
      </x:c>
      <x:c r="G85" s="31"/>
      <x:c r="H85" s="31"/>
      <x:c r="I85" s="31"/>
      <x:c r="J85" s="31"/>
      <x:c r="K85" s="31"/>
      <x:c r="L85" s="31"/>
    </x:row>
    <x:row r="86">
      <x:c r="A86" s="33" t="n">
        <x:v>45413</x:v>
      </x:c>
      <x:c r="B86" s="31" t="str">
        <x:v>Cloud &amp; API</x:v>
      </x:c>
      <x:c r="C86" s="31" t="str">
        <x:v>Variable</x:v>
      </x:c>
      <x:c r="D86" s="32" t="n">
        <x:v>24112.84</x:v>
      </x:c>
      <x:c r="E86" s="32" t="n">
        <x:v>27367.87</x:v>
      </x:c>
      <x:c r="F86" s="32" t="n">
        <x:f>D86-E86</x:f>
        <x:v>-3255.029999999999</x:v>
      </x:c>
      <x:c r="G86" s="31"/>
      <x:c r="H86" s="31"/>
      <x:c r="I86" s="31"/>
      <x:c r="J86" s="31"/>
      <x:c r="K86" s="31"/>
      <x:c r="L86" s="31"/>
    </x:row>
    <x:row r="87">
      <x:c r="A87" s="33" t="n">
        <x:v>45413</x:v>
      </x:c>
      <x:c r="B87" s="31" t="str">
        <x:v>Software</x:v>
      </x:c>
      <x:c r="C87" s="31" t="str">
        <x:v>Fixed</x:v>
      </x:c>
      <x:c r="D87" s="32" t="n">
        <x:v>30992</x:v>
      </x:c>
      <x:c r="E87" s="32" t="n">
        <x:v>32646.82</x:v>
      </x:c>
      <x:c r="F87" s="32" t="n">
        <x:f>D87-E87</x:f>
        <x:v>-1654.8199999999997</x:v>
      </x:c>
      <x:c r="G87" s="31"/>
      <x:c r="H87" s="31"/>
      <x:c r="I87" s="31"/>
      <x:c r="J87" s="31"/>
      <x:c r="K87" s="31"/>
      <x:c r="L87" s="31"/>
    </x:row>
    <x:row r="88">
      <x:c r="A88" s="33" t="n">
        <x:v>45413</x:v>
      </x:c>
      <x:c r="B88" s="31" t="str">
        <x:v>Office &amp; Admin</x:v>
      </x:c>
      <x:c r="C88" s="31" t="str">
        <x:v>Fixed</x:v>
      </x:c>
      <x:c r="D88" s="32" t="n">
        <x:v>36952</x:v>
      </x:c>
      <x:c r="E88" s="32" t="n">
        <x:v>35362.22</x:v>
      </x:c>
      <x:c r="F88" s="32" t="n">
        <x:f>D88-E88</x:f>
        <x:v>1589.7799999999988</x:v>
      </x:c>
      <x:c r="G88" s="31"/>
      <x:c r="H88" s="31"/>
      <x:c r="I88" s="31"/>
      <x:c r="J88" s="31"/>
      <x:c r="K88" s="31"/>
      <x:c r="L88" s="31"/>
    </x:row>
    <x:row r="89">
      <x:c r="A89" s="33" t="n">
        <x:v>45413</x:v>
      </x:c>
      <x:c r="B89" s="31" t="str">
        <x:v>Professional Services</x:v>
      </x:c>
      <x:c r="C89" s="31" t="str">
        <x:v>Fixed</x:v>
      </x:c>
      <x:c r="D89" s="32" t="n">
        <x:v>21456</x:v>
      </x:c>
      <x:c r="E89" s="32" t="n">
        <x:v>24006.33</x:v>
      </x:c>
      <x:c r="F89" s="32" t="n">
        <x:f>D89-E89</x:f>
        <x:v>-2550.3300000000017</x:v>
      </x:c>
      <x:c r="G89" s="31"/>
      <x:c r="H89" s="31"/>
      <x:c r="I89" s="31"/>
      <x:c r="J89" s="31"/>
      <x:c r="K89" s="31"/>
      <x:c r="L89" s="31"/>
    </x:row>
    <x:row r="90">
      <x:c r="A90" s="33" t="n">
        <x:v>45444</x:v>
      </x:c>
      <x:c r="B90" s="31" t="str">
        <x:v>Marketing</x:v>
      </x:c>
      <x:c r="C90" s="31" t="str">
        <x:v>Variable</x:v>
      </x:c>
      <x:c r="D90" s="32" t="n">
        <x:v>108360</x:v>
      </x:c>
      <x:c r="E90" s="32" t="n">
        <x:v>114467.79</x:v>
      </x:c>
      <x:c r="F90" s="32" t="n">
        <x:f>D90-E90</x:f>
        <x:v>-6107.789999999994</x:v>
      </x:c>
      <x:c r="G90" s="31"/>
      <x:c r="H90" s="31"/>
      <x:c r="I90" s="31"/>
      <x:c r="J90" s="31"/>
      <x:c r="K90" s="31"/>
      <x:c r="L90" s="31"/>
    </x:row>
    <x:row r="91">
      <x:c r="A91" s="33" t="n">
        <x:v>45444</x:v>
      </x:c>
      <x:c r="B91" s="31" t="str">
        <x:v>Cloud &amp; API</x:v>
      </x:c>
      <x:c r="C91" s="31" t="str">
        <x:v>Variable</x:v>
      </x:c>
      <x:c r="D91" s="32" t="n">
        <x:v>24956.83</x:v>
      </x:c>
      <x:c r="E91" s="32" t="n">
        <x:v>26997.57</x:v>
      </x:c>
      <x:c r="F91" s="32" t="n">
        <x:f>D91-E91</x:f>
        <x:v>-2040.739999999998</x:v>
      </x:c>
      <x:c r="G91" s="31"/>
      <x:c r="H91" s="31"/>
      <x:c r="I91" s="31"/>
      <x:c r="J91" s="31"/>
      <x:c r="K91" s="31"/>
      <x:c r="L91" s="31"/>
    </x:row>
    <x:row r="92">
      <x:c r="A92" s="33" t="n">
        <x:v>45444</x:v>
      </x:c>
      <x:c r="B92" s="31" t="str">
        <x:v>Software</x:v>
      </x:c>
      <x:c r="C92" s="31" t="str">
        <x:v>Fixed</x:v>
      </x:c>
      <x:c r="D92" s="32" t="n">
        <x:v>31304</x:v>
      </x:c>
      <x:c r="E92" s="32" t="n">
        <x:v>29897.93</x:v>
      </x:c>
      <x:c r="F92" s="32" t="n">
        <x:f>D92-E92</x:f>
        <x:v>1406.0699999999997</x:v>
      </x:c>
      <x:c r="G92" s="31"/>
      <x:c r="H92" s="31"/>
      <x:c r="I92" s="31"/>
      <x:c r="J92" s="31"/>
      <x:c r="K92" s="31"/>
      <x:c r="L92" s="31"/>
    </x:row>
    <x:row r="93">
      <x:c r="A93" s="33" t="n">
        <x:v>45444</x:v>
      </x:c>
      <x:c r="B93" s="31" t="str">
        <x:v>Office &amp; Admin</x:v>
      </x:c>
      <x:c r="C93" s="31" t="str">
        <x:v>Fixed</x:v>
      </x:c>
      <x:c r="D93" s="32" t="n">
        <x:v>37324</x:v>
      </x:c>
      <x:c r="E93" s="32" t="n">
        <x:v>36633.95</x:v>
      </x:c>
      <x:c r="F93" s="32" t="n">
        <x:f>D93-E93</x:f>
        <x:v>690.0500000000029</x:v>
      </x:c>
      <x:c r="G93" s="31"/>
      <x:c r="H93" s="31"/>
      <x:c r="I93" s="31"/>
      <x:c r="J93" s="31"/>
      <x:c r="K93" s="31"/>
      <x:c r="L93" s="31"/>
    </x:row>
    <x:row r="94">
      <x:c r="A94" s="33" t="n">
        <x:v>45444</x:v>
      </x:c>
      <x:c r="B94" s="31" t="str">
        <x:v>Professional Services</x:v>
      </x:c>
      <x:c r="C94" s="31" t="str">
        <x:v>Fixed</x:v>
      </x:c>
      <x:c r="D94" s="32" t="n">
        <x:v>21672</x:v>
      </x:c>
      <x:c r="E94" s="32" t="n">
        <x:v>21817.45</x:v>
      </x:c>
      <x:c r="F94" s="32" t="n">
        <x:f>D94-E94</x:f>
        <x:v>-145.45000000000073</x:v>
      </x:c>
      <x:c r="G94" s="31"/>
      <x:c r="H94" s="31"/>
      <x:c r="I94" s="31"/>
      <x:c r="J94" s="31"/>
      <x:c r="K94" s="31"/>
      <x:c r="L94" s="31"/>
    </x:row>
    <x:row r="95">
      <x:c r="A95" s="33" t="n">
        <x:v>45474</x:v>
      </x:c>
      <x:c r="B95" s="31" t="str">
        <x:v>Marketing</x:v>
      </x:c>
      <x:c r="C95" s="31" t="str">
        <x:v>Variable</x:v>
      </x:c>
      <x:c r="D95" s="32" t="n">
        <x:v>109440</x:v>
      </x:c>
      <x:c r="E95" s="32" t="n">
        <x:v>120336.77</x:v>
      </x:c>
      <x:c r="F95" s="32" t="n">
        <x:f>D95-E95</x:f>
        <x:v>-10896.770000000004</x:v>
      </x:c>
      <x:c r="G95" s="31"/>
      <x:c r="H95" s="31"/>
      <x:c r="I95" s="31"/>
      <x:c r="J95" s="31"/>
      <x:c r="K95" s="31"/>
      <x:c r="L95" s="31"/>
    </x:row>
    <x:row r="96">
      <x:c r="A96" s="33" t="n">
        <x:v>45474</x:v>
      </x:c>
      <x:c r="B96" s="31" t="str">
        <x:v>Cloud &amp; API</x:v>
      </x:c>
      <x:c r="C96" s="31" t="str">
        <x:v>Variable</x:v>
      </x:c>
      <x:c r="D96" s="32" t="n">
        <x:v>25733.62</x:v>
      </x:c>
      <x:c r="E96" s="32" t="n">
        <x:v>27873.47</x:v>
      </x:c>
      <x:c r="F96" s="32" t="n">
        <x:f>D96-E96</x:f>
        <x:v>-2139.850000000002</x:v>
      </x:c>
      <x:c r="G96" s="31"/>
      <x:c r="H96" s="31"/>
      <x:c r="I96" s="31"/>
      <x:c r="J96" s="31"/>
      <x:c r="K96" s="31"/>
      <x:c r="L96" s="31"/>
    </x:row>
    <x:row r="97">
      <x:c r="A97" s="33" t="n">
        <x:v>45474</x:v>
      </x:c>
      <x:c r="B97" s="31" t="str">
        <x:v>Software</x:v>
      </x:c>
      <x:c r="C97" s="31" t="str">
        <x:v>Fixed</x:v>
      </x:c>
      <x:c r="D97" s="32" t="n">
        <x:v>31616</x:v>
      </x:c>
      <x:c r="E97" s="32" t="n">
        <x:v>33592.99</x:v>
      </x:c>
      <x:c r="F97" s="32" t="n">
        <x:f>D97-E97</x:f>
        <x:v>-1976.989999999998</x:v>
      </x:c>
      <x:c r="G97" s="31"/>
      <x:c r="H97" s="31"/>
      <x:c r="I97" s="31"/>
      <x:c r="J97" s="31"/>
      <x:c r="K97" s="31"/>
      <x:c r="L97" s="31"/>
    </x:row>
    <x:row r="98">
      <x:c r="A98" s="33" t="n">
        <x:v>45474</x:v>
      </x:c>
      <x:c r="B98" s="31" t="str">
        <x:v>Office &amp; Admin</x:v>
      </x:c>
      <x:c r="C98" s="31" t="str">
        <x:v>Fixed</x:v>
      </x:c>
      <x:c r="D98" s="32" t="n">
        <x:v>37696</x:v>
      </x:c>
      <x:c r="E98" s="32" t="n">
        <x:v>36724.98</x:v>
      </x:c>
      <x:c r="F98" s="32" t="n">
        <x:f>D98-E98</x:f>
        <x:v>971.0199999999968</x:v>
      </x:c>
      <x:c r="G98" s="31"/>
      <x:c r="H98" s="31"/>
      <x:c r="I98" s="31"/>
      <x:c r="J98" s="31"/>
      <x:c r="K98" s="31"/>
      <x:c r="L98" s="31"/>
    </x:row>
    <x:row r="99">
      <x:c r="A99" s="33" t="n">
        <x:v>45474</x:v>
      </x:c>
      <x:c r="B99" s="31" t="str">
        <x:v>Professional Services</x:v>
      </x:c>
      <x:c r="C99" s="31" t="str">
        <x:v>Fixed</x:v>
      </x:c>
      <x:c r="D99" s="32" t="n">
        <x:v>21888</x:v>
      </x:c>
      <x:c r="E99" s="32" t="n">
        <x:v>21420.89</x:v>
      </x:c>
      <x:c r="F99" s="32" t="n">
        <x:f>D99-E99</x:f>
        <x:v>467.1100000000006</x:v>
      </x:c>
      <x:c r="G99" s="31"/>
      <x:c r="H99" s="31"/>
      <x:c r="I99" s="31"/>
      <x:c r="J99" s="31"/>
      <x:c r="K99" s="31"/>
      <x:c r="L99" s="31"/>
    </x:row>
    <x:row r="100">
      <x:c r="A100" s="33" t="n">
        <x:v>45505</x:v>
      </x:c>
      <x:c r="B100" s="31" t="str">
        <x:v>Marketing</x:v>
      </x:c>
      <x:c r="C100" s="31" t="str">
        <x:v>Variable</x:v>
      </x:c>
      <x:c r="D100" s="32" t="n">
        <x:v>110520</x:v>
      </x:c>
      <x:c r="E100" s="32" t="n">
        <x:v>112899.36</x:v>
      </x:c>
      <x:c r="F100" s="32" t="n">
        <x:f>D100-E100</x:f>
        <x:v>-2379.3600000000006</x:v>
      </x:c>
      <x:c r="G100" s="31"/>
      <x:c r="H100" s="31"/>
      <x:c r="I100" s="31"/>
      <x:c r="J100" s="31"/>
      <x:c r="K100" s="31"/>
      <x:c r="L100" s="31"/>
    </x:row>
    <x:row r="101">
      <x:c r="A101" s="33" t="n">
        <x:v>45505</x:v>
      </x:c>
      <x:c r="B101" s="31" t="str">
        <x:v>Cloud &amp; API</x:v>
      </x:c>
      <x:c r="C101" s="31" t="str">
        <x:v>Variable</x:v>
      </x:c>
      <x:c r="D101" s="32" t="n">
        <x:v>26505.31</x:v>
      </x:c>
      <x:c r="E101" s="32" t="n">
        <x:v>29117.21</x:v>
      </x:c>
      <x:c r="F101" s="32" t="n">
        <x:f>D101-E101</x:f>
        <x:v>-2611.899999999998</x:v>
      </x:c>
      <x:c r="G101" s="31"/>
      <x:c r="H101" s="31"/>
      <x:c r="I101" s="31"/>
      <x:c r="J101" s="31"/>
      <x:c r="K101" s="31"/>
      <x:c r="L101" s="31"/>
    </x:row>
    <x:row r="102">
      <x:c r="A102" s="33" t="n">
        <x:v>45505</x:v>
      </x:c>
      <x:c r="B102" s="31" t="str">
        <x:v>Software</x:v>
      </x:c>
      <x:c r="C102" s="31" t="str">
        <x:v>Fixed</x:v>
      </x:c>
      <x:c r="D102" s="32" t="n">
        <x:v>31928</x:v>
      </x:c>
      <x:c r="E102" s="32" t="n">
        <x:v>36715.75</x:v>
      </x:c>
      <x:c r="F102" s="32" t="n">
        <x:f>D102-E102</x:f>
        <x:v>-4787.75</x:v>
      </x:c>
      <x:c r="G102" s="31"/>
      <x:c r="H102" s="31"/>
      <x:c r="I102" s="31"/>
      <x:c r="J102" s="31"/>
      <x:c r="K102" s="31"/>
      <x:c r="L102" s="31"/>
    </x:row>
    <x:row r="103">
      <x:c r="A103" s="33" t="n">
        <x:v>45505</x:v>
      </x:c>
      <x:c r="B103" s="31" t="str">
        <x:v>Office &amp; Admin</x:v>
      </x:c>
      <x:c r="C103" s="31" t="str">
        <x:v>Fixed</x:v>
      </x:c>
      <x:c r="D103" s="32" t="n">
        <x:v>38068</x:v>
      </x:c>
      <x:c r="E103" s="32" t="n">
        <x:v>38148.97</x:v>
      </x:c>
      <x:c r="F103" s="32" t="n">
        <x:f>D103-E103</x:f>
        <x:v>-80.97000000000116</x:v>
      </x:c>
      <x:c r="G103" s="31"/>
      <x:c r="H103" s="31"/>
      <x:c r="I103" s="31"/>
      <x:c r="J103" s="31"/>
      <x:c r="K103" s="31"/>
      <x:c r="L103" s="31"/>
    </x:row>
    <x:row r="104">
      <x:c r="A104" s="33" t="n">
        <x:v>45505</x:v>
      </x:c>
      <x:c r="B104" s="31" t="str">
        <x:v>Professional Services</x:v>
      </x:c>
      <x:c r="C104" s="31" t="str">
        <x:v>Fixed</x:v>
      </x:c>
      <x:c r="D104" s="32" t="n">
        <x:v>22104</x:v>
      </x:c>
      <x:c r="E104" s="32" t="n">
        <x:v>24528.7</x:v>
      </x:c>
      <x:c r="F104" s="32" t="n">
        <x:f>D104-E104</x:f>
        <x:v>-2424.7000000000007</x:v>
      </x:c>
      <x:c r="G104" s="31"/>
      <x:c r="H104" s="31"/>
      <x:c r="I104" s="31"/>
      <x:c r="J104" s="31"/>
      <x:c r="K104" s="31"/>
      <x:c r="L104" s="31"/>
    </x:row>
    <x:row r="105">
      <x:c r="A105" s="33" t="n">
        <x:v>45536</x:v>
      </x:c>
      <x:c r="B105" s="31" t="str">
        <x:v>Marketing</x:v>
      </x:c>
      <x:c r="C105" s="31" t="str">
        <x:v>Variable</x:v>
      </x:c>
      <x:c r="D105" s="32" t="n">
        <x:v>111600</x:v>
      </x:c>
      <x:c r="E105" s="32" t="n">
        <x:v>114619.29</x:v>
      </x:c>
      <x:c r="F105" s="32" t="n">
        <x:f>D105-E105</x:f>
        <x:v>-3019.2899999999936</x:v>
      </x:c>
      <x:c r="G105" s="31"/>
      <x:c r="H105" s="31"/>
      <x:c r="I105" s="31"/>
      <x:c r="J105" s="31"/>
      <x:c r="K105" s="31"/>
      <x:c r="L105" s="31"/>
    </x:row>
    <x:row r="106">
      <x:c r="A106" s="33" t="n">
        <x:v>45536</x:v>
      </x:c>
      <x:c r="B106" s="31" t="str">
        <x:v>Cloud &amp; API</x:v>
      </x:c>
      <x:c r="C106" s="31" t="str">
        <x:v>Variable</x:v>
      </x:c>
      <x:c r="D106" s="32" t="n">
        <x:v>27124.91</x:v>
      </x:c>
      <x:c r="E106" s="32" t="n">
        <x:v>30633.18</x:v>
      </x:c>
      <x:c r="F106" s="32" t="n">
        <x:f>D106-E106</x:f>
        <x:v>-3508.2700000000004</x:v>
      </x:c>
      <x:c r="G106" s="31"/>
      <x:c r="H106" s="31"/>
      <x:c r="I106" s="31"/>
      <x:c r="J106" s="31"/>
      <x:c r="K106" s="31"/>
      <x:c r="L106" s="31"/>
    </x:row>
    <x:row r="107">
      <x:c r="A107" s="33" t="n">
        <x:v>45536</x:v>
      </x:c>
      <x:c r="B107" s="31" t="str">
        <x:v>Software</x:v>
      </x:c>
      <x:c r="C107" s="31" t="str">
        <x:v>Fixed</x:v>
      </x:c>
      <x:c r="D107" s="32" t="n">
        <x:v>32240</x:v>
      </x:c>
      <x:c r="E107" s="32" t="n">
        <x:v>33136.15</x:v>
      </x:c>
      <x:c r="F107" s="32" t="n">
        <x:f>D107-E107</x:f>
        <x:v>-896.1500000000015</x:v>
      </x:c>
      <x:c r="G107" s="31"/>
      <x:c r="H107" s="31"/>
      <x:c r="I107" s="31"/>
      <x:c r="J107" s="31"/>
      <x:c r="K107" s="31"/>
      <x:c r="L107" s="31"/>
    </x:row>
    <x:row r="108">
      <x:c r="A108" s="33" t="n">
        <x:v>45536</x:v>
      </x:c>
      <x:c r="B108" s="31" t="str">
        <x:v>Office &amp; Admin</x:v>
      </x:c>
      <x:c r="C108" s="31" t="str">
        <x:v>Fixed</x:v>
      </x:c>
      <x:c r="D108" s="32" t="n">
        <x:v>38440</x:v>
      </x:c>
      <x:c r="E108" s="32" t="n">
        <x:v>37286.25</x:v>
      </x:c>
      <x:c r="F108" s="32" t="n">
        <x:f>D108-E108</x:f>
        <x:v>1153.75</x:v>
      </x:c>
      <x:c r="G108" s="31"/>
      <x:c r="H108" s="31"/>
      <x:c r="I108" s="31"/>
      <x:c r="J108" s="31"/>
      <x:c r="K108" s="31"/>
      <x:c r="L108" s="31"/>
    </x:row>
    <x:row r="109">
      <x:c r="A109" s="33" t="n">
        <x:v>45536</x:v>
      </x:c>
      <x:c r="B109" s="31" t="str">
        <x:v>Professional Services</x:v>
      </x:c>
      <x:c r="C109" s="31" t="str">
        <x:v>Fixed</x:v>
      </x:c>
      <x:c r="D109" s="32" t="n">
        <x:v>22320</x:v>
      </x:c>
      <x:c r="E109" s="32" t="n">
        <x:v>23166.92</x:v>
      </x:c>
      <x:c r="F109" s="32" t="n">
        <x:f>D109-E109</x:f>
        <x:v>-846.9199999999983</x:v>
      </x:c>
      <x:c r="G109" s="31"/>
      <x:c r="H109" s="31"/>
      <x:c r="I109" s="31"/>
      <x:c r="J109" s="31"/>
      <x:c r="K109" s="31"/>
      <x:c r="L109" s="31"/>
    </x:row>
    <x:row r="110">
      <x:c r="A110" s="33" t="n">
        <x:v>45566</x:v>
      </x:c>
      <x:c r="B110" s="31" t="str">
        <x:v>Marketing</x:v>
      </x:c>
      <x:c r="C110" s="31" t="str">
        <x:v>Variable</x:v>
      </x:c>
      <x:c r="D110" s="32" t="n">
        <x:v>112680</x:v>
      </x:c>
      <x:c r="E110" s="32" t="n">
        <x:v>118345.03</x:v>
      </x:c>
      <x:c r="F110" s="32" t="n">
        <x:f>D110-E110</x:f>
        <x:v>-5665.029999999999</x:v>
      </x:c>
      <x:c r="G110" s="31"/>
      <x:c r="H110" s="31"/>
      <x:c r="I110" s="31"/>
      <x:c r="J110" s="31"/>
      <x:c r="K110" s="31"/>
      <x:c r="L110" s="31"/>
    </x:row>
    <x:row r="111">
      <x:c r="A111" s="33" t="n">
        <x:v>45566</x:v>
      </x:c>
      <x:c r="B111" s="31" t="str">
        <x:v>Cloud &amp; API</x:v>
      </x:c>
      <x:c r="C111" s="31" t="str">
        <x:v>Variable</x:v>
      </x:c>
      <x:c r="D111" s="32" t="n">
        <x:v>27768.09</x:v>
      </x:c>
      <x:c r="E111" s="32" t="n">
        <x:v>32489.96</x:v>
      </x:c>
      <x:c r="F111" s="32" t="n">
        <x:f>D111-E111</x:f>
        <x:v>-4721.869999999999</x:v>
      </x:c>
      <x:c r="G111" s="31"/>
      <x:c r="H111" s="31"/>
      <x:c r="I111" s="31"/>
      <x:c r="J111" s="31"/>
      <x:c r="K111" s="31"/>
      <x:c r="L111" s="31"/>
    </x:row>
    <x:row r="112">
      <x:c r="A112" s="33" t="n">
        <x:v>45566</x:v>
      </x:c>
      <x:c r="B112" s="31" t="str">
        <x:v>Software</x:v>
      </x:c>
      <x:c r="C112" s="31" t="str">
        <x:v>Fixed</x:v>
      </x:c>
      <x:c r="D112" s="32" t="n">
        <x:v>32552</x:v>
      </x:c>
      <x:c r="E112" s="32" t="n">
        <x:v>35887.37</x:v>
      </x:c>
      <x:c r="F112" s="32" t="n">
        <x:f>D112-E112</x:f>
        <x:v>-3335.3700000000026</x:v>
      </x:c>
      <x:c r="G112" s="31"/>
      <x:c r="H112" s="31"/>
      <x:c r="I112" s="31"/>
      <x:c r="J112" s="31"/>
      <x:c r="K112" s="31"/>
      <x:c r="L112" s="31"/>
    </x:row>
    <x:row r="113">
      <x:c r="A113" s="33" t="n">
        <x:v>45566</x:v>
      </x:c>
      <x:c r="B113" s="31" t="str">
        <x:v>Office &amp; Admin</x:v>
      </x:c>
      <x:c r="C113" s="31" t="str">
        <x:v>Fixed</x:v>
      </x:c>
      <x:c r="D113" s="32" t="n">
        <x:v>38812</x:v>
      </x:c>
      <x:c r="E113" s="32" t="n">
        <x:v>40216.86</x:v>
      </x:c>
      <x:c r="F113" s="32" t="n">
        <x:f>D113-E113</x:f>
        <x:v>-1404.8600000000006</x:v>
      </x:c>
      <x:c r="G113" s="31"/>
      <x:c r="H113" s="31"/>
      <x:c r="I113" s="31"/>
      <x:c r="J113" s="31"/>
      <x:c r="K113" s="31"/>
      <x:c r="L113" s="31"/>
    </x:row>
    <x:row r="114">
      <x:c r="A114" s="33" t="n">
        <x:v>45566</x:v>
      </x:c>
      <x:c r="B114" s="31" t="str">
        <x:v>Professional Services</x:v>
      </x:c>
      <x:c r="C114" s="31" t="str">
        <x:v>Fixed</x:v>
      </x:c>
      <x:c r="D114" s="32" t="n">
        <x:v>22536</x:v>
      </x:c>
      <x:c r="E114" s="32" t="n">
        <x:v>23382.61</x:v>
      </x:c>
      <x:c r="F114" s="32" t="n">
        <x:f>D114-E114</x:f>
        <x:v>-846.6100000000006</x:v>
      </x:c>
      <x:c r="G114" s="31"/>
      <x:c r="H114" s="31"/>
      <x:c r="I114" s="31"/>
      <x:c r="J114" s="31"/>
      <x:c r="K114" s="31"/>
      <x:c r="L114" s="31"/>
    </x:row>
    <x:row r="115">
      <x:c r="A115" s="33" t="n">
        <x:v>45597</x:v>
      </x:c>
      <x:c r="B115" s="31" t="str">
        <x:v>Marketing</x:v>
      </x:c>
      <x:c r="C115" s="31" t="str">
        <x:v>Variable</x:v>
      </x:c>
      <x:c r="D115" s="32" t="n">
        <x:v>113760</x:v>
      </x:c>
      <x:c r="E115" s="32" t="n">
        <x:v>124095.23</x:v>
      </x:c>
      <x:c r="F115" s="32" t="n">
        <x:f>D115-E115</x:f>
        <x:v>-10335.229999999996</x:v>
      </x:c>
      <x:c r="G115" s="31"/>
      <x:c r="H115" s="31"/>
      <x:c r="I115" s="31"/>
      <x:c r="J115" s="31"/>
      <x:c r="K115" s="31"/>
      <x:c r="L115" s="31"/>
    </x:row>
    <x:row r="116">
      <x:c r="A116" s="33" t="n">
        <x:v>45597</x:v>
      </x:c>
      <x:c r="B116" s="31" t="str">
        <x:v>Cloud &amp; API</x:v>
      </x:c>
      <x:c r="C116" s="31" t="str">
        <x:v>Variable</x:v>
      </x:c>
      <x:c r="D116" s="32" t="n">
        <x:v>28399.47</x:v>
      </x:c>
      <x:c r="E116" s="32" t="n">
        <x:v>30413.87</x:v>
      </x:c>
      <x:c r="F116" s="32" t="n">
        <x:f>D116-E116</x:f>
        <x:v>-2014.3999999999978</x:v>
      </x:c>
      <x:c r="G116" s="31"/>
      <x:c r="H116" s="31"/>
      <x:c r="I116" s="31"/>
      <x:c r="J116" s="31"/>
      <x:c r="K116" s="31"/>
      <x:c r="L116" s="31"/>
    </x:row>
    <x:row r="117">
      <x:c r="A117" s="33" t="n">
        <x:v>45597</x:v>
      </x:c>
      <x:c r="B117" s="31" t="str">
        <x:v>Software</x:v>
      </x:c>
      <x:c r="C117" s="31" t="str">
        <x:v>Fixed</x:v>
      </x:c>
      <x:c r="D117" s="32" t="n">
        <x:v>32864</x:v>
      </x:c>
      <x:c r="E117" s="32" t="n">
        <x:v>33154.85</x:v>
      </x:c>
      <x:c r="F117" s="32" t="n">
        <x:f>D117-E117</x:f>
        <x:v>-290.84999999999854</x:v>
      </x:c>
      <x:c r="G117" s="31"/>
      <x:c r="H117" s="31"/>
      <x:c r="I117" s="31"/>
      <x:c r="J117" s="31"/>
      <x:c r="K117" s="31"/>
      <x:c r="L117" s="31"/>
    </x:row>
    <x:row r="118">
      <x:c r="A118" s="33" t="n">
        <x:v>45597</x:v>
      </x:c>
      <x:c r="B118" s="31" t="str">
        <x:v>Office &amp; Admin</x:v>
      </x:c>
      <x:c r="C118" s="31" t="str">
        <x:v>Fixed</x:v>
      </x:c>
      <x:c r="D118" s="32" t="n">
        <x:v>39184</x:v>
      </x:c>
      <x:c r="E118" s="32" t="n">
        <x:v>37133.82</x:v>
      </x:c>
      <x:c r="F118" s="32" t="n">
        <x:f>D118-E118</x:f>
        <x:v>2050.1800000000003</x:v>
      </x:c>
      <x:c r="G118" s="31"/>
      <x:c r="H118" s="31"/>
      <x:c r="I118" s="31"/>
      <x:c r="J118" s="31"/>
      <x:c r="K118" s="31"/>
      <x:c r="L118" s="31"/>
    </x:row>
    <x:row r="119">
      <x:c r="A119" s="33" t="n">
        <x:v>45597</x:v>
      </x:c>
      <x:c r="B119" s="31" t="str">
        <x:v>Professional Services</x:v>
      </x:c>
      <x:c r="C119" s="31" t="str">
        <x:v>Fixed</x:v>
      </x:c>
      <x:c r="D119" s="32" t="n">
        <x:v>22752</x:v>
      </x:c>
      <x:c r="E119" s="32" t="n">
        <x:v>23977.64</x:v>
      </x:c>
      <x:c r="F119" s="32" t="n">
        <x:f>D119-E119</x:f>
        <x:v>-1225.6399999999994</x:v>
      </x:c>
      <x:c r="G119" s="31"/>
      <x:c r="H119" s="31"/>
      <x:c r="I119" s="31"/>
      <x:c r="J119" s="31"/>
      <x:c r="K119" s="31"/>
      <x:c r="L119" s="31"/>
    </x:row>
    <x:row r="120">
      <x:c r="A120" s="33" t="n">
        <x:v>45627</x:v>
      </x:c>
      <x:c r="B120" s="31" t="str">
        <x:v>Marketing</x:v>
      </x:c>
      <x:c r="C120" s="31" t="str">
        <x:v>Variable</x:v>
      </x:c>
      <x:c r="D120" s="32" t="n">
        <x:v>114840</x:v>
      </x:c>
      <x:c r="E120" s="32" t="n">
        <x:v>132655.98</x:v>
      </x:c>
      <x:c r="F120" s="32" t="n">
        <x:f>D120-E120</x:f>
        <x:v>-17815.98000000001</x:v>
      </x:c>
      <x:c r="G120" s="31"/>
      <x:c r="H120" s="31"/>
      <x:c r="I120" s="31"/>
      <x:c r="J120" s="31"/>
      <x:c r="K120" s="31"/>
      <x:c r="L120" s="31"/>
    </x:row>
    <x:row r="121">
      <x:c r="A121" s="33" t="n">
        <x:v>45627</x:v>
      </x:c>
      <x:c r="B121" s="31" t="str">
        <x:v>Cloud &amp; API</x:v>
      </x:c>
      <x:c r="C121" s="31" t="str">
        <x:v>Variable</x:v>
      </x:c>
      <x:c r="D121" s="32" t="n">
        <x:v>29000.61</x:v>
      </x:c>
      <x:c r="E121" s="32" t="n">
        <x:v>29750.54</x:v>
      </x:c>
      <x:c r="F121" s="32" t="n">
        <x:f>D121-E121</x:f>
        <x:v>-749.9300000000003</x:v>
      </x:c>
      <x:c r="G121" s="31"/>
      <x:c r="H121" s="31"/>
      <x:c r="I121" s="31"/>
      <x:c r="J121" s="31"/>
      <x:c r="K121" s="31"/>
      <x:c r="L121" s="31"/>
    </x:row>
    <x:row r="122">
      <x:c r="A122" s="33" t="n">
        <x:v>45627</x:v>
      </x:c>
      <x:c r="B122" s="31" t="str">
        <x:v>Software</x:v>
      </x:c>
      <x:c r="C122" s="31" t="str">
        <x:v>Fixed</x:v>
      </x:c>
      <x:c r="D122" s="32" t="n">
        <x:v>33176</x:v>
      </x:c>
      <x:c r="E122" s="32" t="n">
        <x:v>33223.77</x:v>
      </x:c>
      <x:c r="F122" s="32" t="n">
        <x:f>D122-E122</x:f>
        <x:v>-47.7699999999968</x:v>
      </x:c>
      <x:c r="G122" s="31"/>
      <x:c r="H122" s="31"/>
      <x:c r="I122" s="31"/>
      <x:c r="J122" s="31"/>
      <x:c r="K122" s="31"/>
      <x:c r="L122" s="31"/>
    </x:row>
    <x:row r="123">
      <x:c r="A123" s="33" t="n">
        <x:v>45627</x:v>
      </x:c>
      <x:c r="B123" s="31" t="str">
        <x:v>Office &amp; Admin</x:v>
      </x:c>
      <x:c r="C123" s="31" t="str">
        <x:v>Fixed</x:v>
      </x:c>
      <x:c r="D123" s="32" t="n">
        <x:v>39556</x:v>
      </x:c>
      <x:c r="E123" s="32" t="n">
        <x:v>39579.16</x:v>
      </x:c>
      <x:c r="F123" s="32" t="n">
        <x:f>D123-E123</x:f>
        <x:v>-23.160000000003492</x:v>
      </x:c>
      <x:c r="G123" s="31"/>
      <x:c r="H123" s="31"/>
      <x:c r="I123" s="31"/>
      <x:c r="J123" s="31"/>
      <x:c r="K123" s="31"/>
      <x:c r="L123" s="31"/>
    </x:row>
    <x:row r="124">
      <x:c r="A124" s="33" t="n">
        <x:v>45627</x:v>
      </x:c>
      <x:c r="B124" s="31" t="str">
        <x:v>Professional Services</x:v>
      </x:c>
      <x:c r="C124" s="31" t="str">
        <x:v>Fixed</x:v>
      </x:c>
      <x:c r="D124" s="32" t="n">
        <x:v>22968</x:v>
      </x:c>
      <x:c r="E124" s="32" t="n">
        <x:v>24374.79</x:v>
      </x:c>
      <x:c r="F124" s="32" t="n">
        <x:f>D124-E124</x:f>
        <x:v>-1406.7900000000009</x:v>
      </x:c>
      <x:c r="G124" s="31"/>
      <x:c r="H124" s="31"/>
      <x:c r="I124" s="31"/>
      <x:c r="J124" s="31"/>
      <x:c r="K124" s="31"/>
      <x:c r="L124" s="31"/>
    </x:row>
    <x:row r="125">
      <x:c r="A125" s="33" t="n">
        <x:v>45658</x:v>
      </x:c>
      <x:c r="B125" s="31" t="str">
        <x:v>Marketing</x:v>
      </x:c>
      <x:c r="C125" s="31" t="str">
        <x:v>Variable</x:v>
      </x:c>
      <x:c r="D125" s="32" t="n">
        <x:v>115920</x:v>
      </x:c>
      <x:c r="E125" s="32" t="n">
        <x:v>120516.14</x:v>
      </x:c>
      <x:c r="F125" s="32" t="n">
        <x:f>D125-E125</x:f>
        <x:v>-4596.139999999999</x:v>
      </x:c>
      <x:c r="G125" s="31"/>
      <x:c r="H125" s="31"/>
      <x:c r="I125" s="31"/>
      <x:c r="J125" s="31"/>
      <x:c r="K125" s="31"/>
      <x:c r="L125" s="31"/>
    </x:row>
    <x:row r="126">
      <x:c r="A126" s="33" t="n">
        <x:v>45658</x:v>
      </x:c>
      <x:c r="B126" s="31" t="str">
        <x:v>Cloud &amp; API</x:v>
      </x:c>
      <x:c r="C126" s="31" t="str">
        <x:v>Variable</x:v>
      </x:c>
      <x:c r="D126" s="32" t="n">
        <x:v>30850.92</x:v>
      </x:c>
      <x:c r="E126" s="32" t="n">
        <x:v>35057.76</x:v>
      </x:c>
      <x:c r="F126" s="32" t="n">
        <x:f>D126-E126</x:f>
        <x:v>-4206.840000000004</x:v>
      </x:c>
      <x:c r="G126" s="31"/>
      <x:c r="H126" s="31"/>
      <x:c r="I126" s="31"/>
      <x:c r="J126" s="31"/>
      <x:c r="K126" s="31"/>
      <x:c r="L126" s="31"/>
    </x:row>
    <x:row r="127">
      <x:c r="A127" s="33" t="n">
        <x:v>45658</x:v>
      </x:c>
      <x:c r="B127" s="31" t="str">
        <x:v>Software</x:v>
      </x:c>
      <x:c r="C127" s="31" t="str">
        <x:v>Fixed</x:v>
      </x:c>
      <x:c r="D127" s="32" t="n">
        <x:v>33488</x:v>
      </x:c>
      <x:c r="E127" s="32" t="n">
        <x:v>35008.12</x:v>
      </x:c>
      <x:c r="F127" s="32" t="n">
        <x:f>D127-E127</x:f>
        <x:v>-1520.1200000000026</x:v>
      </x:c>
      <x:c r="G127" s="31"/>
      <x:c r="H127" s="31"/>
      <x:c r="I127" s="31"/>
      <x:c r="J127" s="31"/>
      <x:c r="K127" s="31"/>
      <x:c r="L127" s="31"/>
    </x:row>
    <x:row r="128">
      <x:c r="A128" s="33" t="n">
        <x:v>45658</x:v>
      </x:c>
      <x:c r="B128" s="31" t="str">
        <x:v>Office &amp; Admin</x:v>
      </x:c>
      <x:c r="C128" s="31" t="str">
        <x:v>Fixed</x:v>
      </x:c>
      <x:c r="D128" s="32" t="n">
        <x:v>39928</x:v>
      </x:c>
      <x:c r="E128" s="32" t="n">
        <x:v>36996</x:v>
      </x:c>
      <x:c r="F128" s="32" t="n">
        <x:f>D128-E128</x:f>
        <x:v>2932</x:v>
      </x:c>
      <x:c r="G128" s="31"/>
      <x:c r="H128" s="31"/>
      <x:c r="I128" s="31"/>
      <x:c r="J128" s="31"/>
      <x:c r="K128" s="31"/>
      <x:c r="L128" s="31"/>
    </x:row>
    <x:row r="129">
      <x:c r="A129" s="33" t="n">
        <x:v>45658</x:v>
      </x:c>
      <x:c r="B129" s="31" t="str">
        <x:v>Professional Services</x:v>
      </x:c>
      <x:c r="C129" s="31" t="str">
        <x:v>Fixed</x:v>
      </x:c>
      <x:c r="D129" s="32" t="n">
        <x:v>23184</x:v>
      </x:c>
      <x:c r="E129" s="32" t="n">
        <x:v>25142.82</x:v>
      </x:c>
      <x:c r="F129" s="32" t="n">
        <x:f>D129-E129</x:f>
        <x:v>-1958.8199999999997</x:v>
      </x:c>
      <x:c r="G129" s="31"/>
      <x:c r="H129" s="31"/>
      <x:c r="I129" s="31"/>
      <x:c r="J129" s="31"/>
      <x:c r="K129" s="31"/>
      <x:c r="L129" s="31"/>
    </x:row>
    <x:row r="130">
      <x:c r="A130" s="33" t="n">
        <x:v>45689</x:v>
      </x:c>
      <x:c r="B130" s="31" t="str">
        <x:v>Marketing</x:v>
      </x:c>
      <x:c r="C130" s="31" t="str">
        <x:v>Variable</x:v>
      </x:c>
      <x:c r="D130" s="32" t="n">
        <x:v>117000</x:v>
      </x:c>
      <x:c r="E130" s="32" t="n">
        <x:v>118371.57</x:v>
      </x:c>
      <x:c r="F130" s="32" t="n">
        <x:f>D130-E130</x:f>
        <x:v>-1371.570000000007</x:v>
      </x:c>
      <x:c r="G130" s="31"/>
      <x:c r="H130" s="31"/>
      <x:c r="I130" s="31"/>
      <x:c r="J130" s="31"/>
      <x:c r="K130" s="31"/>
      <x:c r="L130" s="31"/>
    </x:row>
    <x:row r="131">
      <x:c r="A131" s="33" t="n">
        <x:v>45689</x:v>
      </x:c>
      <x:c r="B131" s="31" t="str">
        <x:v>Cloud &amp; API</x:v>
      </x:c>
      <x:c r="C131" s="31" t="str">
        <x:v>Variable</x:v>
      </x:c>
      <x:c r="D131" s="32" t="n">
        <x:v>31780.15</x:v>
      </x:c>
      <x:c r="E131" s="32" t="n">
        <x:v>33733.19</x:v>
      </x:c>
      <x:c r="F131" s="32" t="n">
        <x:f>D131-E131</x:f>
        <x:v>-1953.0400000000009</x:v>
      </x:c>
      <x:c r="G131" s="31"/>
      <x:c r="H131" s="31"/>
      <x:c r="I131" s="31"/>
      <x:c r="J131" s="31"/>
      <x:c r="K131" s="31"/>
      <x:c r="L131" s="31"/>
    </x:row>
    <x:row r="132">
      <x:c r="A132" s="33" t="n">
        <x:v>45689</x:v>
      </x:c>
      <x:c r="B132" s="31" t="str">
        <x:v>Software</x:v>
      </x:c>
      <x:c r="C132" s="31" t="str">
        <x:v>Fixed</x:v>
      </x:c>
      <x:c r="D132" s="32" t="n">
        <x:v>33800</x:v>
      </x:c>
      <x:c r="E132" s="32" t="n">
        <x:v>37555.48</x:v>
      </x:c>
      <x:c r="F132" s="32" t="n">
        <x:f>D132-E132</x:f>
        <x:v>-3755.480000000003</x:v>
      </x:c>
      <x:c r="G132" s="31"/>
      <x:c r="H132" s="31"/>
      <x:c r="I132" s="31"/>
      <x:c r="J132" s="31"/>
      <x:c r="K132" s="31"/>
      <x:c r="L132" s="31"/>
    </x:row>
    <x:row r="133">
      <x:c r="A133" s="33" t="n">
        <x:v>45689</x:v>
      </x:c>
      <x:c r="B133" s="31" t="str">
        <x:v>Office &amp; Admin</x:v>
      </x:c>
      <x:c r="C133" s="31" t="str">
        <x:v>Fixed</x:v>
      </x:c>
      <x:c r="D133" s="32" t="n">
        <x:v>40300</x:v>
      </x:c>
      <x:c r="E133" s="32" t="n">
        <x:v>40700.75</x:v>
      </x:c>
      <x:c r="F133" s="32" t="n">
        <x:f>D133-E133</x:f>
        <x:v>-400.75</x:v>
      </x:c>
      <x:c r="G133" s="31"/>
      <x:c r="H133" s="31"/>
      <x:c r="I133" s="31"/>
      <x:c r="J133" s="31"/>
      <x:c r="K133" s="31"/>
      <x:c r="L133" s="31"/>
    </x:row>
    <x:row r="134">
      <x:c r="A134" s="33" t="n">
        <x:v>45689</x:v>
      </x:c>
      <x:c r="B134" s="31" t="str">
        <x:v>Professional Services</x:v>
      </x:c>
      <x:c r="C134" s="31" t="str">
        <x:v>Fixed</x:v>
      </x:c>
      <x:c r="D134" s="32" t="n">
        <x:v>23400</x:v>
      </x:c>
      <x:c r="E134" s="32" t="n">
        <x:v>24654.5</x:v>
      </x:c>
      <x:c r="F134" s="32" t="n">
        <x:f>D134-E134</x:f>
        <x:v>-1254.5</x:v>
      </x:c>
      <x:c r="G134" s="31"/>
      <x:c r="H134" s="31"/>
      <x:c r="I134" s="31"/>
      <x:c r="J134" s="31"/>
      <x:c r="K134" s="31"/>
      <x:c r="L134" s="31"/>
    </x:row>
    <x:row r="135">
      <x:c r="A135" s="33" t="n">
        <x:v>45717</x:v>
      </x:c>
      <x:c r="B135" s="31" t="str">
        <x:v>Marketing</x:v>
      </x:c>
      <x:c r="C135" s="31" t="str">
        <x:v>Variable</x:v>
      </x:c>
      <x:c r="D135" s="32" t="n">
        <x:v>118080</x:v>
      </x:c>
      <x:c r="E135" s="32" t="n">
        <x:v>129587.66</x:v>
      </x:c>
      <x:c r="F135" s="32" t="n">
        <x:f>D135-E135</x:f>
        <x:v>-11507.660000000003</x:v>
      </x:c>
      <x:c r="G135" s="31"/>
      <x:c r="H135" s="31"/>
      <x:c r="I135" s="31"/>
      <x:c r="J135" s="31"/>
      <x:c r="K135" s="31"/>
      <x:c r="L135" s="31"/>
    </x:row>
    <x:row r="136">
      <x:c r="A136" s="33" t="n">
        <x:v>45717</x:v>
      </x:c>
      <x:c r="B136" s="31" t="str">
        <x:v>Cloud &amp; API</x:v>
      </x:c>
      <x:c r="C136" s="31" t="str">
        <x:v>Variable</x:v>
      </x:c>
      <x:c r="D136" s="32" t="n">
        <x:v>32801.68</x:v>
      </x:c>
      <x:c r="E136" s="32" t="n">
        <x:v>35552.86</x:v>
      </x:c>
      <x:c r="F136" s="32" t="n">
        <x:f>D136-E136</x:f>
        <x:v>-2751.1800000000003</x:v>
      </x:c>
      <x:c r="G136" s="31"/>
      <x:c r="H136" s="31"/>
      <x:c r="I136" s="31"/>
      <x:c r="J136" s="31"/>
      <x:c r="K136" s="31"/>
      <x:c r="L136" s="31"/>
    </x:row>
    <x:row r="137">
      <x:c r="A137" s="33" t="n">
        <x:v>45717</x:v>
      </x:c>
      <x:c r="B137" s="31" t="str">
        <x:v>Software</x:v>
      </x:c>
      <x:c r="C137" s="31" t="str">
        <x:v>Fixed</x:v>
      </x:c>
      <x:c r="D137" s="32" t="n">
        <x:v>34112</x:v>
      </x:c>
      <x:c r="E137" s="32" t="n">
        <x:v>34422.62</x:v>
      </x:c>
      <x:c r="F137" s="32" t="n">
        <x:f>D137-E137</x:f>
        <x:v>-310.6200000000026</x:v>
      </x:c>
      <x:c r="G137" s="31"/>
      <x:c r="H137" s="31"/>
      <x:c r="I137" s="31"/>
      <x:c r="J137" s="31"/>
      <x:c r="K137" s="31"/>
      <x:c r="L137" s="31"/>
    </x:row>
    <x:row r="138">
      <x:c r="A138" s="33" t="n">
        <x:v>45717</x:v>
      </x:c>
      <x:c r="B138" s="31" t="str">
        <x:v>Office &amp; Admin</x:v>
      </x:c>
      <x:c r="C138" s="31" t="str">
        <x:v>Fixed</x:v>
      </x:c>
      <x:c r="D138" s="32" t="n">
        <x:v>40672</x:v>
      </x:c>
      <x:c r="E138" s="32" t="n">
        <x:v>40280.63</x:v>
      </x:c>
      <x:c r="F138" s="32" t="n">
        <x:f>D138-E138</x:f>
        <x:v>391.3700000000026</x:v>
      </x:c>
      <x:c r="G138" s="31"/>
      <x:c r="H138" s="31"/>
      <x:c r="I138" s="31"/>
      <x:c r="J138" s="31"/>
      <x:c r="K138" s="31"/>
      <x:c r="L138" s="31"/>
    </x:row>
    <x:row r="139">
      <x:c r="A139" s="33" t="n">
        <x:v>45717</x:v>
      </x:c>
      <x:c r="B139" s="31" t="str">
        <x:v>Professional Services</x:v>
      </x:c>
      <x:c r="C139" s="31" t="str">
        <x:v>Fixed</x:v>
      </x:c>
      <x:c r="D139" s="32" t="n">
        <x:v>23616</x:v>
      </x:c>
      <x:c r="E139" s="32" t="n">
        <x:v>23620.41</x:v>
      </x:c>
      <x:c r="F139" s="32" t="n">
        <x:f>D139-E139</x:f>
        <x:v>-4.4099999999998545</x:v>
      </x:c>
      <x:c r="G139" s="31"/>
      <x:c r="H139" s="31"/>
      <x:c r="I139" s="31"/>
      <x:c r="J139" s="31"/>
      <x:c r="K139" s="31"/>
      <x:c r="L139" s="31"/>
    </x:row>
    <x:row r="140">
      <x:c r="A140" s="33" t="n">
        <x:v>45748</x:v>
      </x:c>
      <x:c r="B140" s="31" t="str">
        <x:v>Marketing</x:v>
      </x:c>
      <x:c r="C140" s="31" t="str">
        <x:v>Variable</x:v>
      </x:c>
      <x:c r="D140" s="32" t="n">
        <x:v>119160</x:v>
      </x:c>
      <x:c r="E140" s="32" t="n">
        <x:v>134208.81</x:v>
      </x:c>
      <x:c r="F140" s="32" t="n">
        <x:f>D140-E140</x:f>
        <x:v>-15048.809999999998</x:v>
      </x:c>
      <x:c r="G140" s="31"/>
      <x:c r="H140" s="31"/>
      <x:c r="I140" s="31"/>
      <x:c r="J140" s="31"/>
      <x:c r="K140" s="31"/>
      <x:c r="L140" s="31"/>
    </x:row>
    <x:row r="141">
      <x:c r="A141" s="33" t="n">
        <x:v>45748</x:v>
      </x:c>
      <x:c r="B141" s="31" t="str">
        <x:v>Cloud &amp; API</x:v>
      </x:c>
      <x:c r="C141" s="31" t="str">
        <x:v>Variable</x:v>
      </x:c>
      <x:c r="D141" s="32" t="n">
        <x:v>33658.87</x:v>
      </x:c>
      <x:c r="E141" s="32" t="n">
        <x:v>33824.79</x:v>
      </x:c>
      <x:c r="F141" s="32" t="n">
        <x:f>D141-E141</x:f>
        <x:v>-165.91999999999825</x:v>
      </x:c>
      <x:c r="G141" s="31"/>
      <x:c r="H141" s="31"/>
      <x:c r="I141" s="31"/>
      <x:c r="J141" s="31"/>
      <x:c r="K141" s="31"/>
      <x:c r="L141" s="31"/>
    </x:row>
    <x:row r="142">
      <x:c r="A142" s="33" t="n">
        <x:v>45748</x:v>
      </x:c>
      <x:c r="B142" s="31" t="str">
        <x:v>Software</x:v>
      </x:c>
      <x:c r="C142" s="31" t="str">
        <x:v>Fixed</x:v>
      </x:c>
      <x:c r="D142" s="32" t="n">
        <x:v>34424</x:v>
      </x:c>
      <x:c r="E142" s="32" t="n">
        <x:v>34481.04</x:v>
      </x:c>
      <x:c r="F142" s="32" t="n">
        <x:f>D142-E142</x:f>
        <x:v>-57.04000000000087</x:v>
      </x:c>
      <x:c r="G142" s="31"/>
      <x:c r="H142" s="31"/>
      <x:c r="I142" s="31"/>
      <x:c r="J142" s="31"/>
      <x:c r="K142" s="31"/>
      <x:c r="L142" s="31"/>
    </x:row>
    <x:row r="143">
      <x:c r="A143" s="33" t="n">
        <x:v>45748</x:v>
      </x:c>
      <x:c r="B143" s="31" t="str">
        <x:v>Office &amp; Admin</x:v>
      </x:c>
      <x:c r="C143" s="31" t="str">
        <x:v>Fixed</x:v>
      </x:c>
      <x:c r="D143" s="32" t="n">
        <x:v>41044</x:v>
      </x:c>
      <x:c r="E143" s="32" t="n">
        <x:v>38175.68</x:v>
      </x:c>
      <x:c r="F143" s="32" t="n">
        <x:f>D143-E143</x:f>
        <x:v>2868.3199999999997</x:v>
      </x:c>
      <x:c r="G143" s="31"/>
      <x:c r="H143" s="31"/>
      <x:c r="I143" s="31"/>
      <x:c r="J143" s="31"/>
      <x:c r="K143" s="31"/>
      <x:c r="L143" s="31"/>
    </x:row>
    <x:row r="144">
      <x:c r="A144" s="33" t="n">
        <x:v>45748</x:v>
      </x:c>
      <x:c r="B144" s="31" t="str">
        <x:v>Professional Services</x:v>
      </x:c>
      <x:c r="C144" s="31" t="str">
        <x:v>Fixed</x:v>
      </x:c>
      <x:c r="D144" s="32" t="n">
        <x:v>23832</x:v>
      </x:c>
      <x:c r="E144" s="32" t="n">
        <x:v>25198.84</x:v>
      </x:c>
      <x:c r="F144" s="32" t="n">
        <x:f>D144-E144</x:f>
        <x:v>-1366.8400000000001</x:v>
      </x:c>
      <x:c r="G144" s="31"/>
      <x:c r="H144" s="31"/>
      <x:c r="I144" s="31"/>
      <x:c r="J144" s="31"/>
      <x:c r="K144" s="31"/>
      <x:c r="L144" s="31"/>
    </x:row>
    <x:row r="145">
      <x:c r="A145" s="33" t="n">
        <x:v>45778</x:v>
      </x:c>
      <x:c r="B145" s="31" t="str">
        <x:v>Marketing</x:v>
      </x:c>
      <x:c r="C145" s="31" t="str">
        <x:v>Variable</x:v>
      </x:c>
      <x:c r="D145" s="32" t="n">
        <x:v>120240</x:v>
      </x:c>
      <x:c r="E145" s="32" t="n">
        <x:v>133552.62</x:v>
      </x:c>
      <x:c r="F145" s="32" t="n">
        <x:f>D145-E145</x:f>
        <x:v>-13312.619999999995</x:v>
      </x:c>
      <x:c r="G145" s="31"/>
      <x:c r="H145" s="31"/>
      <x:c r="I145" s="31"/>
      <x:c r="J145" s="31"/>
      <x:c r="K145" s="31"/>
      <x:c r="L145" s="31"/>
    </x:row>
    <x:row r="146">
      <x:c r="A146" s="33" t="n">
        <x:v>45778</x:v>
      </x:c>
      <x:c r="B146" s="31" t="str">
        <x:v>Cloud &amp; API</x:v>
      </x:c>
      <x:c r="C146" s="31" t="str">
        <x:v>Variable</x:v>
      </x:c>
      <x:c r="D146" s="32" t="n">
        <x:v>34774.33</x:v>
      </x:c>
      <x:c r="E146" s="32" t="n">
        <x:v>39548.47</x:v>
      </x:c>
      <x:c r="F146" s="32" t="n">
        <x:f>D146-E146</x:f>
        <x:v>-4774.139999999999</x:v>
      </x:c>
      <x:c r="G146" s="31"/>
      <x:c r="H146" s="31"/>
      <x:c r="I146" s="31"/>
      <x:c r="J146" s="31"/>
      <x:c r="K146" s="31"/>
      <x:c r="L146" s="31"/>
    </x:row>
    <x:row r="147">
      <x:c r="A147" s="33" t="n">
        <x:v>45778</x:v>
      </x:c>
      <x:c r="B147" s="31" t="str">
        <x:v>Software</x:v>
      </x:c>
      <x:c r="C147" s="31" t="str">
        <x:v>Fixed</x:v>
      </x:c>
      <x:c r="D147" s="32" t="n">
        <x:v>34736</x:v>
      </x:c>
      <x:c r="E147" s="32" t="n">
        <x:v>33470.99</x:v>
      </x:c>
      <x:c r="F147" s="32" t="n">
        <x:f>D147-E147</x:f>
        <x:v>1265.010000000002</x:v>
      </x:c>
      <x:c r="G147" s="31"/>
      <x:c r="H147" s="31"/>
      <x:c r="I147" s="31"/>
      <x:c r="J147" s="31"/>
      <x:c r="K147" s="31"/>
      <x:c r="L147" s="31"/>
    </x:row>
    <x:row r="148">
      <x:c r="A148" s="33" t="n">
        <x:v>45778</x:v>
      </x:c>
      <x:c r="B148" s="31" t="str">
        <x:v>Office &amp; Admin</x:v>
      </x:c>
      <x:c r="C148" s="31" t="str">
        <x:v>Fixed</x:v>
      </x:c>
      <x:c r="D148" s="32" t="n">
        <x:v>41416</x:v>
      </x:c>
      <x:c r="E148" s="32" t="n">
        <x:v>39837.61</x:v>
      </x:c>
      <x:c r="F148" s="32" t="n">
        <x:f>D148-E148</x:f>
        <x:v>1578.3899999999994</x:v>
      </x:c>
      <x:c r="G148" s="31"/>
      <x:c r="H148" s="31"/>
      <x:c r="I148" s="31"/>
      <x:c r="J148" s="31"/>
      <x:c r="K148" s="31"/>
      <x:c r="L148" s="31"/>
    </x:row>
    <x:row r="149">
      <x:c r="A149" s="33" t="n">
        <x:v>45778</x:v>
      </x:c>
      <x:c r="B149" s="31" t="str">
        <x:v>Professional Services</x:v>
      </x:c>
      <x:c r="C149" s="31" t="str">
        <x:v>Fixed</x:v>
      </x:c>
      <x:c r="D149" s="32" t="n">
        <x:v>24048</x:v>
      </x:c>
      <x:c r="E149" s="32" t="n">
        <x:v>25690.24</x:v>
      </x:c>
      <x:c r="F149" s="32" t="n">
        <x:f>D149-E149</x:f>
        <x:v>-1642.2400000000016</x:v>
      </x:c>
      <x:c r="G149" s="31"/>
      <x:c r="H149" s="31"/>
      <x:c r="I149" s="31"/>
      <x:c r="J149" s="31"/>
      <x:c r="K149" s="31"/>
      <x:c r="L149" s="31"/>
    </x:row>
    <x:row r="150">
      <x:c r="A150" s="33" t="n">
        <x:v>45809</x:v>
      </x:c>
      <x:c r="B150" s="31" t="str">
        <x:v>Marketing</x:v>
      </x:c>
      <x:c r="C150" s="31" t="str">
        <x:v>Variable</x:v>
      </x:c>
      <x:c r="D150" s="32" t="n">
        <x:v>121320</x:v>
      </x:c>
      <x:c r="E150" s="32" t="n">
        <x:v>134809.9</x:v>
      </x:c>
      <x:c r="F150" s="32" t="n">
        <x:f>D150-E150</x:f>
        <x:v>-13489.899999999994</x:v>
      </x:c>
      <x:c r="G150" s="31"/>
      <x:c r="H150" s="31"/>
      <x:c r="I150" s="31"/>
      <x:c r="J150" s="31"/>
      <x:c r="K150" s="31"/>
      <x:c r="L150" s="31"/>
    </x:row>
    <x:row r="151">
      <x:c r="A151" s="33" t="n">
        <x:v>45809</x:v>
      </x:c>
      <x:c r="B151" s="31" t="str">
        <x:v>Cloud &amp; API</x:v>
      </x:c>
      <x:c r="C151" s="31" t="str">
        <x:v>Variable</x:v>
      </x:c>
      <x:c r="D151" s="32" t="n">
        <x:v>35713.27</x:v>
      </x:c>
      <x:c r="E151" s="32" t="n">
        <x:v>39324.39</x:v>
      </x:c>
      <x:c r="F151" s="32" t="n">
        <x:f>D151-E151</x:f>
        <x:v>-3611.1200000000026</x:v>
      </x:c>
      <x:c r="G151" s="31"/>
      <x:c r="H151" s="31"/>
      <x:c r="I151" s="31"/>
      <x:c r="J151" s="31"/>
      <x:c r="K151" s="31"/>
      <x:c r="L151" s="31"/>
    </x:row>
    <x:row r="152">
      <x:c r="A152" s="33" t="n">
        <x:v>45809</x:v>
      </x:c>
      <x:c r="B152" s="31" t="str">
        <x:v>Software</x:v>
      </x:c>
      <x:c r="C152" s="31" t="str">
        <x:v>Fixed</x:v>
      </x:c>
      <x:c r="D152" s="32" t="n">
        <x:v>35048</x:v>
      </x:c>
      <x:c r="E152" s="32" t="n">
        <x:v>33901.72</x:v>
      </x:c>
      <x:c r="F152" s="32" t="n">
        <x:f>D152-E152</x:f>
        <x:v>1146.2799999999988</x:v>
      </x:c>
      <x:c r="G152" s="31"/>
      <x:c r="H152" s="31"/>
      <x:c r="I152" s="31"/>
      <x:c r="J152" s="31"/>
      <x:c r="K152" s="31"/>
      <x:c r="L152" s="31"/>
    </x:row>
    <x:row r="153">
      <x:c r="A153" s="33" t="n">
        <x:v>45809</x:v>
      </x:c>
      <x:c r="B153" s="31" t="str">
        <x:v>Office &amp; Admin</x:v>
      </x:c>
      <x:c r="C153" s="31" t="str">
        <x:v>Fixed</x:v>
      </x:c>
      <x:c r="D153" s="32" t="n">
        <x:v>41788</x:v>
      </x:c>
      <x:c r="E153" s="32" t="n">
        <x:v>40623.44</x:v>
      </x:c>
      <x:c r="F153" s="32" t="n">
        <x:f>D153-E153</x:f>
        <x:v>1164.5599999999977</x:v>
      </x:c>
      <x:c r="G153" s="31"/>
      <x:c r="H153" s="31"/>
      <x:c r="I153" s="31"/>
      <x:c r="J153" s="31"/>
      <x:c r="K153" s="31"/>
      <x:c r="L153" s="31"/>
    </x:row>
    <x:row r="154">
      <x:c r="A154" s="33" t="n">
        <x:v>45809</x:v>
      </x:c>
      <x:c r="B154" s="31" t="str">
        <x:v>Professional Services</x:v>
      </x:c>
      <x:c r="C154" s="31" t="str">
        <x:v>Fixed</x:v>
      </x:c>
      <x:c r="D154" s="32" t="n">
        <x:v>24264</x:v>
      </x:c>
      <x:c r="E154" s="32" t="n">
        <x:v>26036.45</x:v>
      </x:c>
      <x:c r="F154" s="32" t="n">
        <x:f>D154-E154</x:f>
        <x:v>-1772.4500000000007</x:v>
      </x:c>
      <x:c r="G154" s="31"/>
      <x:c r="H154" s="31"/>
      <x:c r="I154" s="31"/>
      <x:c r="J154" s="31"/>
      <x:c r="K154" s="31"/>
      <x:c r="L154" s="31"/>
    </x:row>
    <x:row r="155">
      <x:c r="A155" s="33" t="n">
        <x:v>45839</x:v>
      </x:c>
      <x:c r="B155" s="31" t="str">
        <x:v>Marketing</x:v>
      </x:c>
      <x:c r="C155" s="31" t="str">
        <x:v>Variable</x:v>
      </x:c>
      <x:c r="D155" s="32" t="n">
        <x:v>122400</x:v>
      </x:c>
      <x:c r="E155" s="32" t="n">
        <x:v>128802.7</x:v>
      </x:c>
      <x:c r="F155" s="32" t="n">
        <x:f>D155-E155</x:f>
        <x:v>-6402.699999999997</x:v>
      </x:c>
      <x:c r="G155" s="31"/>
      <x:c r="H155" s="31"/>
      <x:c r="I155" s="31"/>
      <x:c r="J155" s="31"/>
      <x:c r="K155" s="31"/>
      <x:c r="L155" s="31"/>
    </x:row>
    <x:row r="156">
      <x:c r="A156" s="33" t="n">
        <x:v>45839</x:v>
      </x:c>
      <x:c r="B156" s="31" t="str">
        <x:v>Cloud &amp; API</x:v>
      </x:c>
      <x:c r="C156" s="31" t="str">
        <x:v>Variable</x:v>
      </x:c>
      <x:c r="D156" s="32" t="n">
        <x:v>36671.32</x:v>
      </x:c>
      <x:c r="E156" s="32" t="n">
        <x:v>36503.84</x:v>
      </x:c>
      <x:c r="F156" s="32" t="n">
        <x:f>D156-E156</x:f>
        <x:v>167.4800000000032</x:v>
      </x:c>
      <x:c r="G156" s="31"/>
      <x:c r="H156" s="31"/>
      <x:c r="I156" s="31"/>
      <x:c r="J156" s="31"/>
      <x:c r="K156" s="31"/>
      <x:c r="L156" s="31"/>
    </x:row>
    <x:row r="157">
      <x:c r="A157" s="33" t="n">
        <x:v>45839</x:v>
      </x:c>
      <x:c r="B157" s="31" t="str">
        <x:v>Software</x:v>
      </x:c>
      <x:c r="C157" s="31" t="str">
        <x:v>Fixed</x:v>
      </x:c>
      <x:c r="D157" s="32" t="n">
        <x:v>35360</x:v>
      </x:c>
      <x:c r="E157" s="32" t="n">
        <x:v>38480.17</x:v>
      </x:c>
      <x:c r="F157" s="32" t="n">
        <x:f>D157-E157</x:f>
        <x:v>-3120.1699999999983</x:v>
      </x:c>
      <x:c r="G157" s="31"/>
      <x:c r="H157" s="31"/>
      <x:c r="I157" s="31"/>
      <x:c r="J157" s="31"/>
      <x:c r="K157" s="31"/>
      <x:c r="L157" s="31"/>
    </x:row>
    <x:row r="158">
      <x:c r="A158" s="33" t="n">
        <x:v>45839</x:v>
      </x:c>
      <x:c r="B158" s="31" t="str">
        <x:v>Office &amp; Admin</x:v>
      </x:c>
      <x:c r="C158" s="31" t="str">
        <x:v>Fixed</x:v>
      </x:c>
      <x:c r="D158" s="32" t="n">
        <x:v>42160</x:v>
      </x:c>
      <x:c r="E158" s="32" t="n">
        <x:v>41504.88</x:v>
      </x:c>
      <x:c r="F158" s="32" t="n">
        <x:f>D158-E158</x:f>
        <x:v>655.1200000000026</x:v>
      </x:c>
      <x:c r="G158" s="31"/>
      <x:c r="H158" s="31"/>
      <x:c r="I158" s="31"/>
      <x:c r="J158" s="31"/>
      <x:c r="K158" s="31"/>
      <x:c r="L158" s="31"/>
    </x:row>
    <x:row r="159">
      <x:c r="A159" s="33" t="n">
        <x:v>45839</x:v>
      </x:c>
      <x:c r="B159" s="31" t="str">
        <x:v>Professional Services</x:v>
      </x:c>
      <x:c r="C159" s="31" t="str">
        <x:v>Fixed</x:v>
      </x:c>
      <x:c r="D159" s="32" t="n">
        <x:v>24480</x:v>
      </x:c>
      <x:c r="E159" s="32" t="n">
        <x:v>26130.2</x:v>
      </x:c>
      <x:c r="F159" s="32" t="n">
        <x:f>D159-E159</x:f>
        <x:v>-1650.2000000000007</x:v>
      </x:c>
      <x:c r="G159" s="31"/>
      <x:c r="H159" s="31"/>
      <x:c r="I159" s="31"/>
      <x:c r="J159" s="31"/>
      <x:c r="K159" s="31"/>
      <x:c r="L159" s="31"/>
    </x:row>
    <x:row r="160">
      <x:c r="A160" s="33" t="n">
        <x:v>45870</x:v>
      </x:c>
      <x:c r="B160" s="31" t="str">
        <x:v>Marketing</x:v>
      </x:c>
      <x:c r="C160" s="31" t="str">
        <x:v>Variable</x:v>
      </x:c>
      <x:c r="D160" s="32" t="n">
        <x:v>123480</x:v>
      </x:c>
      <x:c r="E160" s="32" t="n">
        <x:v>133039.61</x:v>
      </x:c>
      <x:c r="F160" s="32" t="n">
        <x:f>D160-E160</x:f>
        <x:v>-9559.609999999986</x:v>
      </x:c>
      <x:c r="G160" s="31"/>
      <x:c r="H160" s="31"/>
      <x:c r="I160" s="31"/>
      <x:c r="J160" s="31"/>
      <x:c r="K160" s="31"/>
      <x:c r="L160" s="31"/>
    </x:row>
    <x:row r="161">
      <x:c r="A161" s="33" t="n">
        <x:v>45870</x:v>
      </x:c>
      <x:c r="B161" s="31" t="str">
        <x:v>Cloud &amp; API</x:v>
      </x:c>
      <x:c r="C161" s="31" t="str">
        <x:v>Variable</x:v>
      </x:c>
      <x:c r="D161" s="32" t="n">
        <x:v>37574.52</x:v>
      </x:c>
      <x:c r="E161" s="32" t="n">
        <x:v>41048.75</x:v>
      </x:c>
      <x:c r="F161" s="32" t="n">
        <x:f>D161-E161</x:f>
        <x:v>-3474.230000000003</x:v>
      </x:c>
      <x:c r="G161" s="31"/>
      <x:c r="H161" s="31"/>
      <x:c r="I161" s="31"/>
      <x:c r="J161" s="31"/>
      <x:c r="K161" s="31"/>
      <x:c r="L161" s="31"/>
    </x:row>
    <x:row r="162">
      <x:c r="A162" s="33" t="n">
        <x:v>45870</x:v>
      </x:c>
      <x:c r="B162" s="31" t="str">
        <x:v>Software</x:v>
      </x:c>
      <x:c r="C162" s="31" t="str">
        <x:v>Fixed</x:v>
      </x:c>
      <x:c r="D162" s="32" t="n">
        <x:v>35672</x:v>
      </x:c>
      <x:c r="E162" s="32" t="n">
        <x:v>34036</x:v>
      </x:c>
      <x:c r="F162" s="32" t="n">
        <x:f>D162-E162</x:f>
        <x:v>1636</x:v>
      </x:c>
      <x:c r="G162" s="31"/>
      <x:c r="H162" s="31"/>
      <x:c r="I162" s="31"/>
      <x:c r="J162" s="31"/>
      <x:c r="K162" s="31"/>
      <x:c r="L162" s="31"/>
    </x:row>
    <x:row r="163">
      <x:c r="A163" s="33" t="n">
        <x:v>45870</x:v>
      </x:c>
      <x:c r="B163" s="31" t="str">
        <x:v>Office &amp; Admin</x:v>
      </x:c>
      <x:c r="C163" s="31" t="str">
        <x:v>Fixed</x:v>
      </x:c>
      <x:c r="D163" s="32" t="n">
        <x:v>42532</x:v>
      </x:c>
      <x:c r="E163" s="32" t="n">
        <x:v>38880.72</x:v>
      </x:c>
      <x:c r="F163" s="32" t="n">
        <x:f>D163-E163</x:f>
        <x:v>3651.279999999999</x:v>
      </x:c>
      <x:c r="G163" s="31"/>
      <x:c r="H163" s="31"/>
      <x:c r="I163" s="31"/>
      <x:c r="J163" s="31"/>
      <x:c r="K163" s="31"/>
      <x:c r="L163" s="31"/>
    </x:row>
    <x:row r="164">
      <x:c r="A164" s="33" t="n">
        <x:v>45870</x:v>
      </x:c>
      <x:c r="B164" s="31" t="str">
        <x:v>Professional Services</x:v>
      </x:c>
      <x:c r="C164" s="31" t="str">
        <x:v>Fixed</x:v>
      </x:c>
      <x:c r="D164" s="32" t="n">
        <x:v>24696</x:v>
      </x:c>
      <x:c r="E164" s="32" t="n">
        <x:v>24265.13</x:v>
      </x:c>
      <x:c r="F164" s="32" t="n">
        <x:f>D164-E164</x:f>
        <x:v>430.869999999999</x:v>
      </x:c>
      <x:c r="G164" s="31"/>
      <x:c r="H164" s="31"/>
      <x:c r="I164" s="31"/>
      <x:c r="J164" s="31"/>
      <x:c r="K164" s="31"/>
      <x:c r="L164" s="31"/>
    </x:row>
    <x:row r="165">
      <x:c r="A165" s="33" t="n">
        <x:v>45901</x:v>
      </x:c>
      <x:c r="B165" s="31" t="str">
        <x:v>Marketing</x:v>
      </x:c>
      <x:c r="C165" s="31" t="str">
        <x:v>Variable</x:v>
      </x:c>
      <x:c r="D165" s="32" t="n">
        <x:v>124560</x:v>
      </x:c>
      <x:c r="E165" s="32" t="n">
        <x:v>139448.6</x:v>
      </x:c>
      <x:c r="F165" s="32" t="n">
        <x:f>D165-E165</x:f>
        <x:v>-14888.600000000006</x:v>
      </x:c>
      <x:c r="G165" s="31"/>
      <x:c r="H165" s="31"/>
      <x:c r="I165" s="31"/>
      <x:c r="J165" s="31"/>
      <x:c r="K165" s="31"/>
      <x:c r="L165" s="31"/>
    </x:row>
    <x:row r="166">
      <x:c r="A166" s="33" t="n">
        <x:v>45901</x:v>
      </x:c>
      <x:c r="B166" s="31" t="str">
        <x:v>Cloud &amp; API</x:v>
      </x:c>
      <x:c r="C166" s="31" t="str">
        <x:v>Variable</x:v>
      </x:c>
      <x:c r="D166" s="32" t="n">
        <x:v>38290.63</x:v>
      </x:c>
      <x:c r="E166" s="32" t="n">
        <x:v>42258.58</x:v>
      </x:c>
      <x:c r="F166" s="32" t="n">
        <x:f>D166-E166</x:f>
        <x:v>-3967.9500000000044</x:v>
      </x:c>
      <x:c r="G166" s="31"/>
      <x:c r="H166" s="31"/>
      <x:c r="I166" s="31"/>
      <x:c r="J166" s="31"/>
      <x:c r="K166" s="31"/>
      <x:c r="L166" s="31"/>
    </x:row>
    <x:row r="167">
      <x:c r="A167" s="33" t="n">
        <x:v>45901</x:v>
      </x:c>
      <x:c r="B167" s="31" t="str">
        <x:v>Software</x:v>
      </x:c>
      <x:c r="C167" s="31" t="str">
        <x:v>Fixed</x:v>
      </x:c>
      <x:c r="D167" s="32" t="n">
        <x:v>35984</x:v>
      </x:c>
      <x:c r="E167" s="32" t="n">
        <x:v>34828.23</x:v>
      </x:c>
      <x:c r="F167" s="32" t="n">
        <x:f>D167-E167</x:f>
        <x:v>1155.7699999999968</x:v>
      </x:c>
      <x:c r="G167" s="31"/>
      <x:c r="H167" s="31"/>
      <x:c r="I167" s="31"/>
      <x:c r="J167" s="31"/>
      <x:c r="K167" s="31"/>
      <x:c r="L167" s="31"/>
    </x:row>
    <x:row r="168">
      <x:c r="A168" s="33" t="n">
        <x:v>45901</x:v>
      </x:c>
      <x:c r="B168" s="31" t="str">
        <x:v>Office &amp; Admin</x:v>
      </x:c>
      <x:c r="C168" s="31" t="str">
        <x:v>Fixed</x:v>
      </x:c>
      <x:c r="D168" s="32" t="n">
        <x:v>42904</x:v>
      </x:c>
      <x:c r="E168" s="32" t="n">
        <x:v>44680.98</x:v>
      </x:c>
      <x:c r="F168" s="32" t="n">
        <x:f>D168-E168</x:f>
        <x:v>-1776.9800000000032</x:v>
      </x:c>
      <x:c r="G168" s="31"/>
      <x:c r="H168" s="31"/>
      <x:c r="I168" s="31"/>
      <x:c r="J168" s="31"/>
      <x:c r="K168" s="31"/>
      <x:c r="L168" s="31"/>
    </x:row>
    <x:row r="169">
      <x:c r="A169" s="33" t="n">
        <x:v>45901</x:v>
      </x:c>
      <x:c r="B169" s="31" t="str">
        <x:v>Professional Services</x:v>
      </x:c>
      <x:c r="C169" s="31" t="str">
        <x:v>Fixed</x:v>
      </x:c>
      <x:c r="D169" s="32" t="n">
        <x:v>24912</x:v>
      </x:c>
      <x:c r="E169" s="32" t="n">
        <x:v>27237.74</x:v>
      </x:c>
      <x:c r="F169" s="32" t="n">
        <x:f>D169-E169</x:f>
        <x:v>-2325.7400000000016</x:v>
      </x:c>
      <x:c r="G169" s="31"/>
      <x:c r="H169" s="31"/>
      <x:c r="I169" s="31"/>
      <x:c r="J169" s="31"/>
      <x:c r="K169" s="31"/>
      <x:c r="L169" s="31"/>
    </x:row>
    <x:row r="170">
      <x:c r="A170" s="33" t="n">
        <x:v>45931</x:v>
      </x:c>
      <x:c r="B170" s="31" t="str">
        <x:v>Marketing</x:v>
      </x:c>
      <x:c r="C170" s="31" t="str">
        <x:v>Variable</x:v>
      </x:c>
      <x:c r="D170" s="32" t="n">
        <x:v>125640</x:v>
      </x:c>
      <x:c r="E170" s="32" t="n">
        <x:v>126334.44</x:v>
      </x:c>
      <x:c r="F170" s="32" t="n">
        <x:f>D170-E170</x:f>
        <x:v>-694.4400000000023</x:v>
      </x:c>
      <x:c r="G170" s="31"/>
      <x:c r="H170" s="31"/>
      <x:c r="I170" s="31"/>
      <x:c r="J170" s="31"/>
      <x:c r="K170" s="31"/>
      <x:c r="L170" s="31"/>
    </x:row>
    <x:row r="171">
      <x:c r="A171" s="33" t="n">
        <x:v>45931</x:v>
      </x:c>
      <x:c r="B171" s="31" t="str">
        <x:v>Cloud &amp; API</x:v>
      </x:c>
      <x:c r="C171" s="31" t="str">
        <x:v>Variable</x:v>
      </x:c>
      <x:c r="D171" s="32" t="n">
        <x:v>39086.84</x:v>
      </x:c>
      <x:c r="E171" s="32" t="n">
        <x:v>45543.74</x:v>
      </x:c>
      <x:c r="F171" s="32" t="n">
        <x:f>D171-E171</x:f>
        <x:v>-6456.9000000000015</x:v>
      </x:c>
      <x:c r="G171" s="31"/>
      <x:c r="H171" s="31"/>
      <x:c r="I171" s="31"/>
      <x:c r="J171" s="31"/>
      <x:c r="K171" s="31"/>
      <x:c r="L171" s="31"/>
    </x:row>
    <x:row r="172">
      <x:c r="A172" s="33" t="n">
        <x:v>45931</x:v>
      </x:c>
      <x:c r="B172" s="31" t="str">
        <x:v>Software</x:v>
      </x:c>
      <x:c r="C172" s="31" t="str">
        <x:v>Fixed</x:v>
      </x:c>
      <x:c r="D172" s="32" t="n">
        <x:v>36296</x:v>
      </x:c>
      <x:c r="E172" s="32" t="n">
        <x:v>37430.04</x:v>
      </x:c>
      <x:c r="F172" s="32" t="n">
        <x:f>D172-E172</x:f>
        <x:v>-1134.0400000000009</x:v>
      </x:c>
      <x:c r="G172" s="31"/>
      <x:c r="H172" s="31"/>
      <x:c r="I172" s="31"/>
      <x:c r="J172" s="31"/>
      <x:c r="K172" s="31"/>
      <x:c r="L172" s="31"/>
    </x:row>
    <x:row r="173">
      <x:c r="A173" s="33" t="n">
        <x:v>45931</x:v>
      </x:c>
      <x:c r="B173" s="31" t="str">
        <x:v>Office &amp; Admin</x:v>
      </x:c>
      <x:c r="C173" s="31" t="str">
        <x:v>Fixed</x:v>
      </x:c>
      <x:c r="D173" s="32" t="n">
        <x:v>43276</x:v>
      </x:c>
      <x:c r="E173" s="32" t="n">
        <x:v>39744.32</x:v>
      </x:c>
      <x:c r="F173" s="32" t="n">
        <x:f>D173-E173</x:f>
        <x:v>3531.6800000000003</x:v>
      </x:c>
      <x:c r="G173" s="31"/>
      <x:c r="H173" s="31"/>
      <x:c r="I173" s="31"/>
      <x:c r="J173" s="31"/>
      <x:c r="K173" s="31"/>
      <x:c r="L173" s="31"/>
    </x:row>
    <x:row r="174">
      <x:c r="A174" s="33" t="n">
        <x:v>45931</x:v>
      </x:c>
      <x:c r="B174" s="31" t="str">
        <x:v>Professional Services</x:v>
      </x:c>
      <x:c r="C174" s="31" t="str">
        <x:v>Fixed</x:v>
      </x:c>
      <x:c r="D174" s="32" t="n">
        <x:v>25128</x:v>
      </x:c>
      <x:c r="E174" s="32" t="n">
        <x:v>25186.5</x:v>
      </x:c>
      <x:c r="F174" s="32" t="n">
        <x:f>D174-E174</x:f>
        <x:v>-58.5</x:v>
      </x:c>
      <x:c r="G174" s="31"/>
      <x:c r="H174" s="31"/>
      <x:c r="I174" s="31"/>
      <x:c r="J174" s="31"/>
      <x:c r="K174" s="31"/>
      <x:c r="L174" s="31"/>
    </x:row>
    <x:row r="175">
      <x:c r="A175" s="33" t="n">
        <x:v>45962</x:v>
      </x:c>
      <x:c r="B175" s="31" t="str">
        <x:v>Marketing</x:v>
      </x:c>
      <x:c r="C175" s="31" t="str">
        <x:v>Variable</x:v>
      </x:c>
      <x:c r="D175" s="32" t="n">
        <x:v>126720</x:v>
      </x:c>
      <x:c r="E175" s="32" t="n">
        <x:v>137159.81</x:v>
      </x:c>
      <x:c r="F175" s="32" t="n">
        <x:f>D175-E175</x:f>
        <x:v>-10439.809999999998</x:v>
      </x:c>
      <x:c r="G175" s="31"/>
      <x:c r="H175" s="31"/>
      <x:c r="I175" s="31"/>
      <x:c r="J175" s="31"/>
      <x:c r="K175" s="31"/>
      <x:c r="L175" s="31"/>
    </x:row>
    <x:row r="176">
      <x:c r="A176" s="33" t="n">
        <x:v>45962</x:v>
      </x:c>
      <x:c r="B176" s="31" t="str">
        <x:v>Cloud &amp; API</x:v>
      </x:c>
      <x:c r="C176" s="31" t="str">
        <x:v>Variable</x:v>
      </x:c>
      <x:c r="D176" s="32" t="n">
        <x:v>39919.64</x:v>
      </x:c>
      <x:c r="E176" s="32" t="n">
        <x:v>44686.81</x:v>
      </x:c>
      <x:c r="F176" s="32" t="n">
        <x:f>D176-E176</x:f>
        <x:v>-4767.169999999998</x:v>
      </x:c>
      <x:c r="G176" s="31"/>
      <x:c r="H176" s="31"/>
      <x:c r="I176" s="31"/>
      <x:c r="J176" s="31"/>
      <x:c r="K176" s="31"/>
      <x:c r="L176" s="31"/>
    </x:row>
    <x:row r="177">
      <x:c r="A177" s="33" t="n">
        <x:v>45962</x:v>
      </x:c>
      <x:c r="B177" s="31" t="str">
        <x:v>Software</x:v>
      </x:c>
      <x:c r="C177" s="31" t="str">
        <x:v>Fixed</x:v>
      </x:c>
      <x:c r="D177" s="32" t="n">
        <x:v>36608</x:v>
      </x:c>
      <x:c r="E177" s="32" t="n">
        <x:v>37701.41</x:v>
      </x:c>
      <x:c r="F177" s="32" t="n">
        <x:f>D177-E177</x:f>
        <x:v>-1093.4100000000035</x:v>
      </x:c>
      <x:c r="G177" s="31"/>
      <x:c r="H177" s="31"/>
      <x:c r="I177" s="31"/>
      <x:c r="J177" s="31"/>
      <x:c r="K177" s="31"/>
      <x:c r="L177" s="31"/>
    </x:row>
    <x:row r="178">
      <x:c r="A178" s="33" t="n">
        <x:v>45962</x:v>
      </x:c>
      <x:c r="B178" s="31" t="str">
        <x:v>Office &amp; Admin</x:v>
      </x:c>
      <x:c r="C178" s="31" t="str">
        <x:v>Fixed</x:v>
      </x:c>
      <x:c r="D178" s="32" t="n">
        <x:v>43648</x:v>
      </x:c>
      <x:c r="E178" s="32" t="n">
        <x:v>40145.64</x:v>
      </x:c>
      <x:c r="F178" s="32" t="n">
        <x:f>D178-E178</x:f>
        <x:v>3502.3600000000006</x:v>
      </x:c>
      <x:c r="G178" s="31"/>
      <x:c r="H178" s="31"/>
      <x:c r="I178" s="31"/>
      <x:c r="J178" s="31"/>
      <x:c r="K178" s="31"/>
      <x:c r="L178" s="31"/>
    </x:row>
    <x:row r="179">
      <x:c r="A179" s="33" t="n">
        <x:v>45962</x:v>
      </x:c>
      <x:c r="B179" s="31" t="str">
        <x:v>Professional Services</x:v>
      </x:c>
      <x:c r="C179" s="31" t="str">
        <x:v>Fixed</x:v>
      </x:c>
      <x:c r="D179" s="32" t="n">
        <x:v>25344</x:v>
      </x:c>
      <x:c r="E179" s="32" t="n">
        <x:v>29107.52</x:v>
      </x:c>
      <x:c r="F179" s="32" t="n">
        <x:f>D179-E179</x:f>
        <x:v>-3763.5200000000004</x:v>
      </x:c>
      <x:c r="G179" s="31"/>
      <x:c r="H179" s="31"/>
      <x:c r="I179" s="31"/>
      <x:c r="J179" s="31"/>
      <x:c r="K179" s="31"/>
      <x:c r="L179" s="31"/>
    </x:row>
    <x:row r="180">
      <x:c r="A180" s="33" t="n">
        <x:v>45992</x:v>
      </x:c>
      <x:c r="B180" s="31" t="str">
        <x:v>Marketing</x:v>
      </x:c>
      <x:c r="C180" s="31" t="str">
        <x:v>Variable</x:v>
      </x:c>
      <x:c r="D180" s="32" t="n">
        <x:v>127800</x:v>
      </x:c>
      <x:c r="E180" s="32" t="n">
        <x:v>130204.62</x:v>
      </x:c>
      <x:c r="F180" s="32" t="n">
        <x:f>D180-E180</x:f>
        <x:v>-2404.6199999999953</x:v>
      </x:c>
      <x:c r="G180" s="31"/>
      <x:c r="H180" s="31"/>
      <x:c r="I180" s="31"/>
      <x:c r="J180" s="31"/>
      <x:c r="K180" s="31"/>
      <x:c r="L180" s="31"/>
    </x:row>
    <x:row r="181">
      <x:c r="A181" s="33" t="n">
        <x:v>45992</x:v>
      </x:c>
      <x:c r="B181" s="31" t="str">
        <x:v>Cloud &amp; API</x:v>
      </x:c>
      <x:c r="C181" s="31" t="str">
        <x:v>Variable</x:v>
      </x:c>
      <x:c r="D181" s="32" t="n">
        <x:v>40548.74</x:v>
      </x:c>
      <x:c r="E181" s="32" t="n">
        <x:v>46945.64</x:v>
      </x:c>
      <x:c r="F181" s="32" t="n">
        <x:f>D181-E181</x:f>
        <x:v>-6396.9000000000015</x:v>
      </x:c>
      <x:c r="G181" s="31"/>
      <x:c r="H181" s="31"/>
      <x:c r="I181" s="31"/>
      <x:c r="J181" s="31"/>
      <x:c r="K181" s="31"/>
      <x:c r="L181" s="31"/>
    </x:row>
    <x:row r="182">
      <x:c r="A182" s="33" t="n">
        <x:v>45992</x:v>
      </x:c>
      <x:c r="B182" s="31" t="str">
        <x:v>Software</x:v>
      </x:c>
      <x:c r="C182" s="31" t="str">
        <x:v>Fixed</x:v>
      </x:c>
      <x:c r="D182" s="32" t="n">
        <x:v>36920</x:v>
      </x:c>
      <x:c r="E182" s="32" t="n">
        <x:v>41711.9</x:v>
      </x:c>
      <x:c r="F182" s="32" t="n">
        <x:f>D182-E182</x:f>
        <x:v>-4791.9000000000015</x:v>
      </x:c>
      <x:c r="G182" s="31"/>
      <x:c r="H182" s="31"/>
      <x:c r="I182" s="31"/>
      <x:c r="J182" s="31"/>
      <x:c r="K182" s="31"/>
      <x:c r="L182" s="31"/>
    </x:row>
    <x:row r="183">
      <x:c r="A183" s="33" t="n">
        <x:v>45992</x:v>
      </x:c>
      <x:c r="B183" s="31" t="str">
        <x:v>Office &amp; Admin</x:v>
      </x:c>
      <x:c r="C183" s="31" t="str">
        <x:v>Fixed</x:v>
      </x:c>
      <x:c r="D183" s="32" t="n">
        <x:v>44020</x:v>
      </x:c>
      <x:c r="E183" s="32" t="n">
        <x:v>40370.05</x:v>
      </x:c>
      <x:c r="F183" s="32" t="n">
        <x:f>D183-E183</x:f>
        <x:v>3649.949999999997</x:v>
      </x:c>
      <x:c r="G183" s="31"/>
      <x:c r="H183" s="31"/>
      <x:c r="I183" s="31"/>
      <x:c r="J183" s="31"/>
      <x:c r="K183" s="31"/>
      <x:c r="L183" s="31"/>
    </x:row>
    <x:row r="184">
      <x:c r="A184" s="33" t="n">
        <x:v>45992</x:v>
      </x:c>
      <x:c r="B184" s="31" t="str">
        <x:v>Professional Services</x:v>
      </x:c>
      <x:c r="C184" s="31" t="str">
        <x:v>Fixed</x:v>
      </x:c>
      <x:c r="D184" s="32" t="n">
        <x:v>25560</x:v>
      </x:c>
      <x:c r="E184" s="32" t="n">
        <x:v>25641.27</x:v>
      </x:c>
      <x:c r="F184" s="32" t="n">
        <x:f>D184-E184</x:f>
        <x:v>-81.27000000000044</x:v>
      </x:c>
      <x:c r="G184" s="31"/>
      <x:c r="H184" s="31"/>
      <x:c r="I184" s="31"/>
      <x:c r="J184" s="31"/>
      <x:c r="K184" s="31"/>
      <x:c r="L184" s="31"/>
    </x:row>
    <x:row r="185">
      <x:c r="A185" s="33" t="n">
        <x:v>46023</x:v>
      </x:c>
      <x:c r="B185" s="31" t="str">
        <x:v>Marketing</x:v>
      </x:c>
      <x:c r="C185" s="31" t="str">
        <x:v>Variable</x:v>
      </x:c>
      <x:c r="D185" s="32" t="n">
        <x:v>128880</x:v>
      </x:c>
      <x:c r="E185" s="32" t="n">
        <x:v>137683.61</x:v>
      </x:c>
      <x:c r="F185" s="32" t="n">
        <x:f>D185-E185</x:f>
        <x:v>-8803.609999999986</x:v>
      </x:c>
      <x:c r="G185" s="31"/>
      <x:c r="H185" s="31"/>
      <x:c r="I185" s="31"/>
      <x:c r="J185" s="31"/>
      <x:c r="K185" s="31"/>
      <x:c r="L185" s="31"/>
    </x:row>
    <x:row r="186">
      <x:c r="A186" s="33" t="n">
        <x:v>46023</x:v>
      </x:c>
      <x:c r="B186" s="31" t="str">
        <x:v>Cloud &amp; API</x:v>
      </x:c>
      <x:c r="C186" s="31" t="str">
        <x:v>Variable</x:v>
      </x:c>
      <x:c r="D186" s="32" t="n">
        <x:v>43015.48</x:v>
      </x:c>
      <x:c r="E186" s="32" t="n">
        <x:v>46462.6</x:v>
      </x:c>
      <x:c r="F186" s="32" t="n">
        <x:f>D186-E186</x:f>
        <x:v>-3447.1199999999953</x:v>
      </x:c>
      <x:c r="G186" s="31"/>
      <x:c r="H186" s="31"/>
      <x:c r="I186" s="31"/>
      <x:c r="J186" s="31"/>
      <x:c r="K186" s="31"/>
      <x:c r="L186" s="31"/>
    </x:row>
    <x:row r="187">
      <x:c r="A187" s="33" t="n">
        <x:v>46023</x:v>
      </x:c>
      <x:c r="B187" s="31" t="str">
        <x:v>Software</x:v>
      </x:c>
      <x:c r="C187" s="31" t="str">
        <x:v>Fixed</x:v>
      </x:c>
      <x:c r="D187" s="32" t="n">
        <x:v>37232</x:v>
      </x:c>
      <x:c r="E187" s="32" t="n">
        <x:v>36769.83</x:v>
      </x:c>
      <x:c r="F187" s="32" t="n">
        <x:f>D187-E187</x:f>
        <x:v>462.16999999999825</x:v>
      </x:c>
      <x:c r="G187" s="31"/>
      <x:c r="H187" s="31"/>
      <x:c r="I187" s="31"/>
      <x:c r="J187" s="31"/>
      <x:c r="K187" s="31"/>
      <x:c r="L187" s="31"/>
    </x:row>
    <x:row r="188">
      <x:c r="A188" s="33" t="n">
        <x:v>46023</x:v>
      </x:c>
      <x:c r="B188" s="31" t="str">
        <x:v>Office &amp; Admin</x:v>
      </x:c>
      <x:c r="C188" s="31" t="str">
        <x:v>Fixed</x:v>
      </x:c>
      <x:c r="D188" s="32" t="n">
        <x:v>44392</x:v>
      </x:c>
      <x:c r="E188" s="32" t="n">
        <x:v>45578.93</x:v>
      </x:c>
      <x:c r="F188" s="32" t="n">
        <x:f>D188-E188</x:f>
        <x:v>-1186.9300000000003</x:v>
      </x:c>
      <x:c r="G188" s="31"/>
      <x:c r="H188" s="31"/>
      <x:c r="I188" s="31"/>
      <x:c r="J188" s="31"/>
      <x:c r="K188" s="31"/>
      <x:c r="L188" s="31"/>
    </x:row>
    <x:row r="189">
      <x:c r="A189" s="33" t="n">
        <x:v>46023</x:v>
      </x:c>
      <x:c r="B189" s="31" t="str">
        <x:v>Professional Services</x:v>
      </x:c>
      <x:c r="C189" s="31" t="str">
        <x:v>Fixed</x:v>
      </x:c>
      <x:c r="D189" s="32" t="n">
        <x:v>25776</x:v>
      </x:c>
      <x:c r="E189" s="32" t="n">
        <x:v>27930.96</x:v>
      </x:c>
      <x:c r="F189" s="32" t="n">
        <x:f>D189-E189</x:f>
        <x:v>-2154.959999999999</x:v>
      </x:c>
      <x:c r="G189" s="31"/>
      <x:c r="H189" s="31"/>
      <x:c r="I189" s="31"/>
      <x:c r="J189" s="31"/>
      <x:c r="K189" s="31"/>
      <x:c r="L189" s="31"/>
    </x:row>
    <x:row r="190">
      <x:c r="A190" s="33" t="n">
        <x:v>46054</x:v>
      </x:c>
      <x:c r="B190" s="31" t="str">
        <x:v>Marketing</x:v>
      </x:c>
      <x:c r="C190" s="31" t="str">
        <x:v>Variable</x:v>
      </x:c>
      <x:c r="D190" s="32" t="n">
        <x:v>129960</x:v>
      </x:c>
      <x:c r="E190" s="32" t="n">
        <x:v>127797.7</x:v>
      </x:c>
      <x:c r="F190" s="32" t="n">
        <x:f>D190-E190</x:f>
        <x:v>2162.300000000003</x:v>
      </x:c>
      <x:c r="G190" s="31"/>
      <x:c r="H190" s="31"/>
      <x:c r="I190" s="31"/>
      <x:c r="J190" s="31"/>
      <x:c r="K190" s="31"/>
      <x:c r="L190" s="31"/>
    </x:row>
    <x:row r="191">
      <x:c r="A191" s="33" t="n">
        <x:v>46054</x:v>
      </x:c>
      <x:c r="B191" s="31" t="str">
        <x:v>Cloud &amp; API</x:v>
      </x:c>
      <x:c r="C191" s="31" t="str">
        <x:v>Variable</x:v>
      </x:c>
      <x:c r="D191" s="32" t="n">
        <x:v>44406.06</x:v>
      </x:c>
      <x:c r="E191" s="32" t="n">
        <x:v>48128.64</x:v>
      </x:c>
      <x:c r="F191" s="32" t="n">
        <x:f>D191-E191</x:f>
        <x:v>-3722.5800000000017</x:v>
      </x:c>
      <x:c r="G191" s="31"/>
      <x:c r="H191" s="31"/>
      <x:c r="I191" s="31"/>
      <x:c r="J191" s="31"/>
      <x:c r="K191" s="31"/>
      <x:c r="L191" s="31"/>
    </x:row>
    <x:row r="192">
      <x:c r="A192" s="33" t="n">
        <x:v>46054</x:v>
      </x:c>
      <x:c r="B192" s="31" t="str">
        <x:v>Software</x:v>
      </x:c>
      <x:c r="C192" s="31" t="str">
        <x:v>Fixed</x:v>
      </x:c>
      <x:c r="D192" s="32" t="n">
        <x:v>37544</x:v>
      </x:c>
      <x:c r="E192" s="32" t="n">
        <x:v>38217.93</x:v>
      </x:c>
      <x:c r="F192" s="32" t="n">
        <x:f>D192-E192</x:f>
        <x:v>-673.9300000000003</x:v>
      </x:c>
      <x:c r="G192" s="31"/>
      <x:c r="H192" s="31"/>
      <x:c r="I192" s="31"/>
      <x:c r="J192" s="31"/>
      <x:c r="K192" s="31"/>
      <x:c r="L192" s="31"/>
    </x:row>
    <x:row r="193">
      <x:c r="A193" s="33" t="n">
        <x:v>46054</x:v>
      </x:c>
      <x:c r="B193" s="31" t="str">
        <x:v>Office &amp; Admin</x:v>
      </x:c>
      <x:c r="C193" s="31" t="str">
        <x:v>Fixed</x:v>
      </x:c>
      <x:c r="D193" s="32" t="n">
        <x:v>44764</x:v>
      </x:c>
      <x:c r="E193" s="32" t="n">
        <x:v>42804.3</x:v>
      </x:c>
      <x:c r="F193" s="32" t="n">
        <x:f>D193-E193</x:f>
        <x:v>1959.699999999997</x:v>
      </x:c>
      <x:c r="G193" s="31"/>
      <x:c r="H193" s="31"/>
      <x:c r="I193" s="31"/>
      <x:c r="J193" s="31"/>
      <x:c r="K193" s="31"/>
      <x:c r="L193" s="31"/>
    </x:row>
    <x:row r="194">
      <x:c r="A194" s="33" t="n">
        <x:v>46054</x:v>
      </x:c>
      <x:c r="B194" s="31" t="str">
        <x:v>Professional Services</x:v>
      </x:c>
      <x:c r="C194" s="31" t="str">
        <x:v>Fixed</x:v>
      </x:c>
      <x:c r="D194" s="32" t="n">
        <x:v>25992</x:v>
      </x:c>
      <x:c r="E194" s="32" t="n">
        <x:v>29053.59</x:v>
      </x:c>
      <x:c r="F194" s="32" t="n">
        <x:f>D194-E194</x:f>
        <x:v>-3061.59</x:v>
      </x:c>
      <x:c r="G194" s="31"/>
      <x:c r="H194" s="31"/>
      <x:c r="I194" s="31"/>
      <x:c r="J194" s="31"/>
      <x:c r="K194" s="31"/>
      <x:c r="L194" s="31"/>
    </x:row>
    <x:row r="195">
      <x:c r="A195" s="33" t="n">
        <x:v>46082</x:v>
      </x:c>
      <x:c r="B195" s="31" t="str">
        <x:v>Marketing</x:v>
      </x:c>
      <x:c r="C195" s="31" t="str">
        <x:v>Variable</x:v>
      </x:c>
      <x:c r="D195" s="32" t="n">
        <x:v>131040</x:v>
      </x:c>
      <x:c r="E195" s="32" t="n">
        <x:v>152524.22</x:v>
      </x:c>
      <x:c r="F195" s="32" t="n">
        <x:f>D195-E195</x:f>
        <x:v>-21484.22</x:v>
      </x:c>
      <x:c r="G195" s="31"/>
      <x:c r="H195" s="31"/>
      <x:c r="I195" s="31"/>
      <x:c r="J195" s="31"/>
      <x:c r="K195" s="31"/>
      <x:c r="L195" s="31"/>
    </x:row>
    <x:row r="196">
      <x:c r="A196" s="33" t="n">
        <x:v>46082</x:v>
      </x:c>
      <x:c r="B196" s="31" t="str">
        <x:v>Cloud &amp; API</x:v>
      </x:c>
      <x:c r="C196" s="31" t="str">
        <x:v>Variable</x:v>
      </x:c>
      <x:c r="D196" s="32" t="n">
        <x:v>45675.88</x:v>
      </x:c>
      <x:c r="E196" s="32" t="n">
        <x:v>48210.42</x:v>
      </x:c>
      <x:c r="F196" s="32" t="n">
        <x:f>D196-E196</x:f>
        <x:v>-2534.540000000001</x:v>
      </x:c>
      <x:c r="G196" s="31"/>
      <x:c r="H196" s="31"/>
      <x:c r="I196" s="31"/>
      <x:c r="J196" s="31"/>
      <x:c r="K196" s="31"/>
      <x:c r="L196" s="31"/>
    </x:row>
    <x:row r="197">
      <x:c r="A197" s="33" t="n">
        <x:v>46082</x:v>
      </x:c>
      <x:c r="B197" s="31" t="str">
        <x:v>Software</x:v>
      </x:c>
      <x:c r="C197" s="31" t="str">
        <x:v>Fixed</x:v>
      </x:c>
      <x:c r="D197" s="32" t="n">
        <x:v>37856</x:v>
      </x:c>
      <x:c r="E197" s="32" t="n">
        <x:v>43593.53</x:v>
      </x:c>
      <x:c r="F197" s="32" t="n">
        <x:f>D197-E197</x:f>
        <x:v>-5737.529999999999</x:v>
      </x:c>
      <x:c r="G197" s="31"/>
      <x:c r="H197" s="31"/>
      <x:c r="I197" s="31"/>
      <x:c r="J197" s="31"/>
      <x:c r="K197" s="31"/>
      <x:c r="L197" s="31"/>
    </x:row>
    <x:row r="198">
      <x:c r="A198" s="33" t="n">
        <x:v>46082</x:v>
      </x:c>
      <x:c r="B198" s="31" t="str">
        <x:v>Office &amp; Admin</x:v>
      </x:c>
      <x:c r="C198" s="31" t="str">
        <x:v>Fixed</x:v>
      </x:c>
      <x:c r="D198" s="32" t="n">
        <x:v>45136</x:v>
      </x:c>
      <x:c r="E198" s="32" t="n">
        <x:v>43489.07</x:v>
      </x:c>
      <x:c r="F198" s="32" t="n">
        <x:f>D198-E198</x:f>
        <x:v>1646.9300000000003</x:v>
      </x:c>
      <x:c r="G198" s="31"/>
      <x:c r="H198" s="31"/>
      <x:c r="I198" s="31"/>
      <x:c r="J198" s="31"/>
      <x:c r="K198" s="31"/>
      <x:c r="L198" s="31"/>
    </x:row>
    <x:row r="199">
      <x:c r="A199" s="33" t="n">
        <x:v>46082</x:v>
      </x:c>
      <x:c r="B199" s="31" t="str">
        <x:v>Professional Services</x:v>
      </x:c>
      <x:c r="C199" s="31" t="str">
        <x:v>Fixed</x:v>
      </x:c>
      <x:c r="D199" s="32" t="n">
        <x:v>26208</x:v>
      </x:c>
      <x:c r="E199" s="32" t="n">
        <x:v>26070.33</x:v>
      </x:c>
      <x:c r="F199" s="32" t="n">
        <x:f>D199-E199</x:f>
        <x:v>137.66999999999825</x:v>
      </x:c>
      <x:c r="G199" s="31"/>
      <x:c r="H199" s="31"/>
      <x:c r="I199" s="31"/>
      <x:c r="J199" s="31"/>
      <x:c r="K199" s="31"/>
      <x:c r="L199" s="31"/>
    </x:row>
    <x:row r="200">
      <x:c r="A200" s="33" t="n">
        <x:v>46113</x:v>
      </x:c>
      <x:c r="B200" s="31" t="str">
        <x:v>Marketing</x:v>
      </x:c>
      <x:c r="C200" s="31" t="str">
        <x:v>Variable</x:v>
      </x:c>
      <x:c r="D200" s="32" t="n">
        <x:v>132120</x:v>
      </x:c>
      <x:c r="E200" s="32" t="n">
        <x:v>134115.75</x:v>
      </x:c>
      <x:c r="F200" s="32" t="n">
        <x:f>D200-E200</x:f>
        <x:v>-1995.75</x:v>
      </x:c>
      <x:c r="G200" s="31"/>
      <x:c r="H200" s="31"/>
      <x:c r="I200" s="31"/>
      <x:c r="J200" s="31"/>
      <x:c r="K200" s="31"/>
      <x:c r="L200" s="31"/>
    </x:row>
    <x:row r="201">
      <x:c r="A201" s="33" t="n">
        <x:v>46113</x:v>
      </x:c>
      <x:c r="B201" s="31" t="str">
        <x:v>Cloud &amp; API</x:v>
      </x:c>
      <x:c r="C201" s="31" t="str">
        <x:v>Variable</x:v>
      </x:c>
      <x:c r="D201" s="32" t="n">
        <x:v>47201.56</x:v>
      </x:c>
      <x:c r="E201" s="32" t="n">
        <x:v>46529.04</x:v>
      </x:c>
      <x:c r="F201" s="32" t="n">
        <x:f>D201-E201</x:f>
        <x:v>672.5199999999968</x:v>
      </x:c>
      <x:c r="G201" s="31"/>
      <x:c r="H201" s="31"/>
      <x:c r="I201" s="31"/>
      <x:c r="J201" s="31"/>
      <x:c r="K201" s="31"/>
      <x:c r="L201" s="31"/>
    </x:row>
    <x:row r="202">
      <x:c r="A202" s="33" t="n">
        <x:v>46113</x:v>
      </x:c>
      <x:c r="B202" s="31" t="str">
        <x:v>Software</x:v>
      </x:c>
      <x:c r="C202" s="31" t="str">
        <x:v>Fixed</x:v>
      </x:c>
      <x:c r="D202" s="32" t="n">
        <x:v>38168</x:v>
      </x:c>
      <x:c r="E202" s="32" t="n">
        <x:v>37997.74</x:v>
      </x:c>
      <x:c r="F202" s="32" t="n">
        <x:f>D202-E202</x:f>
        <x:v>170.26000000000204</x:v>
      </x:c>
      <x:c r="G202" s="31"/>
      <x:c r="H202" s="31"/>
      <x:c r="I202" s="31"/>
      <x:c r="J202" s="31"/>
      <x:c r="K202" s="31"/>
      <x:c r="L202" s="31"/>
    </x:row>
    <x:row r="203">
      <x:c r="A203" s="33" t="n">
        <x:v>46113</x:v>
      </x:c>
      <x:c r="B203" s="31" t="str">
        <x:v>Office &amp; Admin</x:v>
      </x:c>
      <x:c r="C203" s="31" t="str">
        <x:v>Fixed</x:v>
      </x:c>
      <x:c r="D203" s="32" t="n">
        <x:v>45508</x:v>
      </x:c>
      <x:c r="E203" s="32" t="n">
        <x:v>44765.55</x:v>
      </x:c>
      <x:c r="F203" s="32" t="n">
        <x:f>D203-E203</x:f>
        <x:v>742.4499999999971</x:v>
      </x:c>
      <x:c r="G203" s="31"/>
      <x:c r="H203" s="31"/>
      <x:c r="I203" s="31"/>
      <x:c r="J203" s="31"/>
      <x:c r="K203" s="31"/>
      <x:c r="L203" s="31"/>
    </x:row>
    <x:row r="204">
      <x:c r="A204" s="33" t="n">
        <x:v>46113</x:v>
      </x:c>
      <x:c r="B204" s="31" t="str">
        <x:v>Professional Services</x:v>
      </x:c>
      <x:c r="C204" s="31" t="str">
        <x:v>Fixed</x:v>
      </x:c>
      <x:c r="D204" s="32" t="n">
        <x:v>26424</x:v>
      </x:c>
      <x:c r="E204" s="32" t="n">
        <x:v>27267.23</x:v>
      </x:c>
      <x:c r="F204" s="32" t="n">
        <x:f>D204-E204</x:f>
        <x:v>-843.2299999999996</x:v>
      </x:c>
      <x:c r="G204" s="31"/>
      <x:c r="H204" s="31"/>
      <x:c r="I204" s="31"/>
      <x:c r="J204" s="31"/>
      <x:c r="K204" s="31"/>
      <x:c r="L204" s="31"/>
    </x:row>
    <x:row r="205">
      <x:c r="A205" s="33" t="n">
        <x:v>46143</x:v>
      </x:c>
      <x:c r="B205" s="31" t="str">
        <x:v>Marketing</x:v>
      </x:c>
      <x:c r="C205" s="31" t="str">
        <x:v>Variable</x:v>
      </x:c>
      <x:c r="D205" s="32" t="n">
        <x:v>133200</x:v>
      </x:c>
      <x:c r="E205" s="32" t="n">
        <x:v>139145.47</x:v>
      </x:c>
      <x:c r="F205" s="32" t="n">
        <x:f>D205-E205</x:f>
        <x:v>-5945.470000000001</x:v>
      </x:c>
      <x:c r="G205" s="31"/>
      <x:c r="H205" s="31"/>
      <x:c r="I205" s="31"/>
      <x:c r="J205" s="31"/>
      <x:c r="K205" s="31"/>
      <x:c r="L205" s="31"/>
    </x:row>
    <x:row r="206">
      <x:c r="A206" s="33" t="n">
        <x:v>46143</x:v>
      </x:c>
      <x:c r="B206" s="31" t="str">
        <x:v>Cloud &amp; API</x:v>
      </x:c>
      <x:c r="C206" s="31" t="str">
        <x:v>Variable</x:v>
      </x:c>
      <x:c r="D206" s="32" t="n">
        <x:v>48366.11</x:v>
      </x:c>
      <x:c r="E206" s="32" t="n">
        <x:v>52667.16</x:v>
      </x:c>
      <x:c r="F206" s="32" t="n">
        <x:f>D206-E206</x:f>
        <x:v>-4301.050000000003</x:v>
      </x:c>
      <x:c r="G206" s="31"/>
      <x:c r="H206" s="31"/>
      <x:c r="I206" s="31"/>
      <x:c r="J206" s="31"/>
      <x:c r="K206" s="31"/>
      <x:c r="L206" s="31"/>
    </x:row>
    <x:row r="207">
      <x:c r="A207" s="33" t="n">
        <x:v>46143</x:v>
      </x:c>
      <x:c r="B207" s="31" t="str">
        <x:v>Software</x:v>
      </x:c>
      <x:c r="C207" s="31" t="str">
        <x:v>Fixed</x:v>
      </x:c>
      <x:c r="D207" s="32" t="n">
        <x:v>38480</x:v>
      </x:c>
      <x:c r="E207" s="32" t="n">
        <x:v>41304.36</x:v>
      </x:c>
      <x:c r="F207" s="32" t="n">
        <x:f>D207-E207</x:f>
        <x:v>-2824.3600000000006</x:v>
      </x:c>
      <x:c r="G207" s="31"/>
      <x:c r="H207" s="31"/>
      <x:c r="I207" s="31"/>
      <x:c r="J207" s="31"/>
      <x:c r="K207" s="31"/>
      <x:c r="L207" s="31"/>
    </x:row>
    <x:row r="208">
      <x:c r="A208" s="33" t="n">
        <x:v>46143</x:v>
      </x:c>
      <x:c r="B208" s="31" t="str">
        <x:v>Office &amp; Admin</x:v>
      </x:c>
      <x:c r="C208" s="31" t="str">
        <x:v>Fixed</x:v>
      </x:c>
      <x:c r="D208" s="32" t="n">
        <x:v>45880</x:v>
      </x:c>
      <x:c r="E208" s="32" t="n">
        <x:v>45172.88</x:v>
      </x:c>
      <x:c r="F208" s="32" t="n">
        <x:f>D208-E208</x:f>
        <x:v>707.1200000000026</x:v>
      </x:c>
      <x:c r="G208" s="31"/>
      <x:c r="H208" s="31"/>
      <x:c r="I208" s="31"/>
      <x:c r="J208" s="31"/>
      <x:c r="K208" s="31"/>
      <x:c r="L208" s="31"/>
    </x:row>
    <x:row r="209">
      <x:c r="A209" s="33" t="n">
        <x:v>46143</x:v>
      </x:c>
      <x:c r="B209" s="31" t="str">
        <x:v>Professional Services</x:v>
      </x:c>
      <x:c r="C209" s="31" t="str">
        <x:v>Fixed</x:v>
      </x:c>
      <x:c r="D209" s="32" t="n">
        <x:v>26640</x:v>
      </x:c>
      <x:c r="E209" s="32" t="n">
        <x:v>29689.92</x:v>
      </x:c>
      <x:c r="F209" s="32" t="n">
        <x:f>D209-E209</x:f>
        <x:v>-3049.9199999999983</x:v>
      </x:c>
      <x:c r="G209" s="31"/>
      <x:c r="H209" s="31"/>
      <x:c r="I209" s="31"/>
      <x:c r="J209" s="31"/>
      <x:c r="K209" s="31"/>
      <x:c r="L209" s="31"/>
    </x:row>
    <x:row r="210">
      <x:c r="A210" s="33" t="n">
        <x:v>46174</x:v>
      </x:c>
      <x:c r="B210" s="31" t="str">
        <x:v>Marketing</x:v>
      </x:c>
      <x:c r="C210" s="31" t="str">
        <x:v>Variable</x:v>
      </x:c>
      <x:c r="D210" s="32" t="n">
        <x:v>134280</x:v>
      </x:c>
      <x:c r="E210" s="32" t="n">
        <x:v>134066.21</x:v>
      </x:c>
      <x:c r="F210" s="32" t="n">
        <x:f>D210-E210</x:f>
        <x:v>213.79000000000815</x:v>
      </x:c>
      <x:c r="G210" s="31"/>
      <x:c r="H210" s="31"/>
      <x:c r="I210" s="31"/>
      <x:c r="J210" s="31"/>
      <x:c r="K210" s="31"/>
      <x:c r="L210" s="31"/>
    </x:row>
    <x:row r="211">
      <x:c r="A211" s="33" t="n">
        <x:v>46174</x:v>
      </x:c>
      <x:c r="B211" s="31" t="str">
        <x:v>Cloud &amp; API</x:v>
      </x:c>
      <x:c r="C211" s="31" t="str">
        <x:v>Variable</x:v>
      </x:c>
      <x:c r="D211" s="32" t="n">
        <x:v>49491.09</x:v>
      </x:c>
      <x:c r="E211" s="32" t="n">
        <x:v>52318.63</x:v>
      </x:c>
      <x:c r="F211" s="32" t="n">
        <x:f>D211-E211</x:f>
        <x:v>-2827.540000000001</x:v>
      </x:c>
      <x:c r="G211" s="31"/>
      <x:c r="H211" s="31"/>
      <x:c r="I211" s="31"/>
      <x:c r="J211" s="31"/>
      <x:c r="K211" s="31"/>
      <x:c r="L211" s="31"/>
    </x:row>
    <x:row r="212">
      <x:c r="A212" s="33" t="n">
        <x:v>46174</x:v>
      </x:c>
      <x:c r="B212" s="31" t="str">
        <x:v>Software</x:v>
      </x:c>
      <x:c r="C212" s="31" t="str">
        <x:v>Fixed</x:v>
      </x:c>
      <x:c r="D212" s="32" t="n">
        <x:v>38792</x:v>
      </x:c>
      <x:c r="E212" s="32" t="n">
        <x:v>36375.5</x:v>
      </x:c>
      <x:c r="F212" s="32" t="n">
        <x:f>D212-E212</x:f>
        <x:v>2416.5</x:v>
      </x:c>
      <x:c r="G212" s="31"/>
      <x:c r="H212" s="31"/>
      <x:c r="I212" s="31"/>
      <x:c r="J212" s="31"/>
      <x:c r="K212" s="31"/>
      <x:c r="L212" s="31"/>
    </x:row>
    <x:row r="213">
      <x:c r="A213" s="33" t="n">
        <x:v>46174</x:v>
      </x:c>
      <x:c r="B213" s="31" t="str">
        <x:v>Office &amp; Admin</x:v>
      </x:c>
      <x:c r="C213" s="31" t="str">
        <x:v>Fixed</x:v>
      </x:c>
      <x:c r="D213" s="32" t="n">
        <x:v>46252</x:v>
      </x:c>
      <x:c r="E213" s="32" t="n">
        <x:v>45490.35</x:v>
      </x:c>
      <x:c r="F213" s="32" t="n">
        <x:f>D213-E213</x:f>
        <x:v>761.6500000000015</x:v>
      </x:c>
      <x:c r="G213" s="31"/>
      <x:c r="H213" s="31"/>
      <x:c r="I213" s="31"/>
      <x:c r="J213" s="31"/>
      <x:c r="K213" s="31"/>
      <x:c r="L213" s="31"/>
    </x:row>
    <x:row r="214">
      <x:c r="A214" s="33" t="n">
        <x:v>46174</x:v>
      </x:c>
      <x:c r="B214" s="31" t="str">
        <x:v>Professional Services</x:v>
      </x:c>
      <x:c r="C214" s="31" t="str">
        <x:v>Fixed</x:v>
      </x:c>
      <x:c r="D214" s="32" t="n">
        <x:v>26856</x:v>
      </x:c>
      <x:c r="E214" s="32" t="n">
        <x:v>27147.48</x:v>
      </x:c>
      <x:c r="F214" s="32" t="n">
        <x:f>D214-E214</x:f>
        <x:v>-291.47999999999956</x:v>
      </x:c>
      <x:c r="G214" s="31"/>
      <x:c r="H214" s="31"/>
      <x:c r="I214" s="31"/>
      <x:c r="J214" s="31"/>
      <x:c r="K214" s="31"/>
      <x:c r="L214" s="31"/>
    </x:row>
    <x:row r="215">
      <x:c r="A215" s="33" t="n">
        <x:v>46204</x:v>
      </x:c>
      <x:c r="B215" s="31" t="str">
        <x:v>Marketing</x:v>
      </x:c>
      <x:c r="C215" s="31" t="str">
        <x:v>Variable</x:v>
      </x:c>
      <x:c r="D215" s="32" t="n">
        <x:v>135360</x:v>
      </x:c>
      <x:c r="E215" s="32" t="n">
        <x:v>135360</x:v>
      </x:c>
      <x:c r="F215" s="32" t="n">
        <x:f>D215-E215</x:f>
        <x:v>0</x:v>
      </x:c>
      <x:c r="G215" s="31"/>
      <x:c r="H215" s="31"/>
      <x:c r="I215" s="31"/>
      <x:c r="J215" s="31"/>
      <x:c r="K215" s="31"/>
      <x:c r="L215" s="31"/>
    </x:row>
    <x:row r="216">
      <x:c r="A216" s="33" t="n">
        <x:v>46204</x:v>
      </x:c>
      <x:c r="B216" s="31" t="str">
        <x:v>Cloud &amp; API</x:v>
      </x:c>
      <x:c r="C216" s="31" t="str">
        <x:v>Variable</x:v>
      </x:c>
      <x:c r="D216" s="32" t="n">
        <x:v>50668.27</x:v>
      </x:c>
      <x:c r="E216" s="32" t="n">
        <x:v>50668.27</x:v>
      </x:c>
      <x:c r="F216" s="32" t="n">
        <x:f>D216-E216</x:f>
        <x:v>0</x:v>
      </x:c>
      <x:c r="G216" s="31"/>
      <x:c r="H216" s="31"/>
      <x:c r="I216" s="31"/>
      <x:c r="J216" s="31"/>
      <x:c r="K216" s="31"/>
      <x:c r="L216" s="31"/>
    </x:row>
    <x:row r="217">
      <x:c r="A217" s="33" t="n">
        <x:v>46204</x:v>
      </x:c>
      <x:c r="B217" s="31" t="str">
        <x:v>Software</x:v>
      </x:c>
      <x:c r="C217" s="31" t="str">
        <x:v>Fixed</x:v>
      </x:c>
      <x:c r="D217" s="32" t="n">
        <x:v>39104</x:v>
      </x:c>
      <x:c r="E217" s="32" t="n">
        <x:v>39104</x:v>
      </x:c>
      <x:c r="F217" s="32" t="n">
        <x:f>D217-E217</x:f>
        <x:v>0</x:v>
      </x:c>
      <x:c r="G217" s="31"/>
      <x:c r="H217" s="31"/>
      <x:c r="I217" s="31"/>
      <x:c r="J217" s="31"/>
      <x:c r="K217" s="31"/>
      <x:c r="L217" s="31"/>
    </x:row>
    <x:row r="218">
      <x:c r="A218" s="33" t="n">
        <x:v>46204</x:v>
      </x:c>
      <x:c r="B218" s="31" t="str">
        <x:v>Office &amp; Admin</x:v>
      </x:c>
      <x:c r="C218" s="31" t="str">
        <x:v>Fixed</x:v>
      </x:c>
      <x:c r="D218" s="32" t="n">
        <x:v>46624</x:v>
      </x:c>
      <x:c r="E218" s="32" t="n">
        <x:v>46624</x:v>
      </x:c>
      <x:c r="F218" s="32" t="n">
        <x:f>D218-E218</x:f>
        <x:v>0</x:v>
      </x:c>
      <x:c r="G218" s="31"/>
      <x:c r="H218" s="31"/>
      <x:c r="I218" s="31"/>
      <x:c r="J218" s="31"/>
      <x:c r="K218" s="31"/>
      <x:c r="L218" s="31"/>
    </x:row>
    <x:row r="219">
      <x:c r="A219" s="33" t="n">
        <x:v>46204</x:v>
      </x:c>
      <x:c r="B219" s="31" t="str">
        <x:v>Professional Services</x:v>
      </x:c>
      <x:c r="C219" s="31" t="str">
        <x:v>Fixed</x:v>
      </x:c>
      <x:c r="D219" s="32" t="n">
        <x:v>27072</x:v>
      </x:c>
      <x:c r="E219" s="32" t="n">
        <x:v>27072</x:v>
      </x:c>
      <x:c r="F219" s="32" t="n">
        <x:f>D219-E219</x:f>
        <x:v>0</x:v>
      </x:c>
      <x:c r="G219" s="31"/>
      <x:c r="H219" s="31"/>
      <x:c r="I219" s="31"/>
      <x:c r="J219" s="31"/>
      <x:c r="K219" s="31"/>
      <x:c r="L219" s="31"/>
    </x:row>
    <x:row r="220">
      <x:c r="A220" s="33" t="n">
        <x:v>46235</x:v>
      </x:c>
      <x:c r="B220" s="31" t="str">
        <x:v>Marketing</x:v>
      </x:c>
      <x:c r="C220" s="31" t="str">
        <x:v>Variable</x:v>
      </x:c>
      <x:c r="D220" s="32" t="n">
        <x:v>136440</x:v>
      </x:c>
      <x:c r="E220" s="32" t="n">
        <x:v>136440</x:v>
      </x:c>
      <x:c r="F220" s="32" t="n">
        <x:f>D220-E220</x:f>
        <x:v>0</x:v>
      </x:c>
      <x:c r="G220" s="31"/>
      <x:c r="H220" s="31"/>
      <x:c r="I220" s="31"/>
      <x:c r="J220" s="31"/>
      <x:c r="K220" s="31"/>
      <x:c r="L220" s="31"/>
    </x:row>
    <x:row r="221">
      <x:c r="A221" s="33" t="n">
        <x:v>46235</x:v>
      </x:c>
      <x:c r="B221" s="31" t="str">
        <x:v>Cloud &amp; API</x:v>
      </x:c>
      <x:c r="C221" s="31" t="str">
        <x:v>Variable</x:v>
      </x:c>
      <x:c r="D221" s="32" t="n">
        <x:v>51742.75</x:v>
      </x:c>
      <x:c r="E221" s="32" t="n">
        <x:v>51742.75</x:v>
      </x:c>
      <x:c r="F221" s="32" t="n">
        <x:f>D221-E221</x:f>
        <x:v>0</x:v>
      </x:c>
      <x:c r="G221" s="31"/>
      <x:c r="H221" s="31"/>
      <x:c r="I221" s="31"/>
      <x:c r="J221" s="31"/>
      <x:c r="K221" s="31"/>
      <x:c r="L221" s="31"/>
    </x:row>
    <x:row r="222">
      <x:c r="A222" s="33" t="n">
        <x:v>46235</x:v>
      </x:c>
      <x:c r="B222" s="31" t="str">
        <x:v>Software</x:v>
      </x:c>
      <x:c r="C222" s="31" t="str">
        <x:v>Fixed</x:v>
      </x:c>
      <x:c r="D222" s="32" t="n">
        <x:v>39416</x:v>
      </x:c>
      <x:c r="E222" s="32" t="n">
        <x:v>39416</x:v>
      </x:c>
      <x:c r="F222" s="32" t="n">
        <x:f>D222-E222</x:f>
        <x:v>0</x:v>
      </x:c>
      <x:c r="G222" s="31"/>
      <x:c r="H222" s="31"/>
      <x:c r="I222" s="31"/>
      <x:c r="J222" s="31"/>
      <x:c r="K222" s="31"/>
      <x:c r="L222" s="31"/>
    </x:row>
    <x:row r="223">
      <x:c r="A223" s="33" t="n">
        <x:v>46235</x:v>
      </x:c>
      <x:c r="B223" s="31" t="str">
        <x:v>Office &amp; Admin</x:v>
      </x:c>
      <x:c r="C223" s="31" t="str">
        <x:v>Fixed</x:v>
      </x:c>
      <x:c r="D223" s="32" t="n">
        <x:v>46996</x:v>
      </x:c>
      <x:c r="E223" s="32" t="n">
        <x:v>46996</x:v>
      </x:c>
      <x:c r="F223" s="32" t="n">
        <x:f>D223-E223</x:f>
        <x:v>0</x:v>
      </x:c>
      <x:c r="G223" s="31"/>
      <x:c r="H223" s="31"/>
      <x:c r="I223" s="31"/>
      <x:c r="J223" s="31"/>
      <x:c r="K223" s="31"/>
      <x:c r="L223" s="31"/>
    </x:row>
    <x:row r="224">
      <x:c r="A224" s="33" t="n">
        <x:v>46235</x:v>
      </x:c>
      <x:c r="B224" s="31" t="str">
        <x:v>Professional Services</x:v>
      </x:c>
      <x:c r="C224" s="31" t="str">
        <x:v>Fixed</x:v>
      </x:c>
      <x:c r="D224" s="32" t="n">
        <x:v>27288</x:v>
      </x:c>
      <x:c r="E224" s="32" t="n">
        <x:v>27288</x:v>
      </x:c>
      <x:c r="F224" s="32" t="n">
        <x:f>D224-E224</x:f>
        <x:v>0</x:v>
      </x:c>
      <x:c r="G224" s="31"/>
      <x:c r="H224" s="31"/>
      <x:c r="I224" s="31"/>
      <x:c r="J224" s="31"/>
      <x:c r="K224" s="31"/>
      <x:c r="L224" s="31"/>
    </x:row>
    <x:row r="225">
      <x:c r="A225" s="33" t="n">
        <x:v>46266</x:v>
      </x:c>
      <x:c r="B225" s="31" t="str">
        <x:v>Marketing</x:v>
      </x:c>
      <x:c r="C225" s="31" t="str">
        <x:v>Variable</x:v>
      </x:c>
      <x:c r="D225" s="32" t="n">
        <x:v>137520</x:v>
      </x:c>
      <x:c r="E225" s="32" t="n">
        <x:v>137520</x:v>
      </x:c>
      <x:c r="F225" s="32" t="n">
        <x:f>D225-E225</x:f>
        <x:v>0</x:v>
      </x:c>
      <x:c r="G225" s="31"/>
      <x:c r="H225" s="31"/>
      <x:c r="I225" s="31"/>
      <x:c r="J225" s="31"/>
      <x:c r="K225" s="31"/>
      <x:c r="L225" s="31"/>
    </x:row>
    <x:row r="226">
      <x:c r="A226" s="33" t="n">
        <x:v>46266</x:v>
      </x:c>
      <x:c r="B226" s="31" t="str">
        <x:v>Cloud &amp; API</x:v>
      </x:c>
      <x:c r="C226" s="31" t="str">
        <x:v>Variable</x:v>
      </x:c>
      <x:c r="D226" s="32" t="n">
        <x:v>52791.99</x:v>
      </x:c>
      <x:c r="E226" s="32" t="n">
        <x:v>52791.99</x:v>
      </x:c>
      <x:c r="F226" s="32" t="n">
        <x:f>D226-E226</x:f>
        <x:v>0</x:v>
      </x:c>
      <x:c r="G226" s="31"/>
      <x:c r="H226" s="31"/>
      <x:c r="I226" s="31"/>
      <x:c r="J226" s="31"/>
      <x:c r="K226" s="31"/>
      <x:c r="L226" s="31"/>
    </x:row>
    <x:row r="227">
      <x:c r="A227" s="33" t="n">
        <x:v>46266</x:v>
      </x:c>
      <x:c r="B227" s="31" t="str">
        <x:v>Software</x:v>
      </x:c>
      <x:c r="C227" s="31" t="str">
        <x:v>Fixed</x:v>
      </x:c>
      <x:c r="D227" s="32" t="n">
        <x:v>39728</x:v>
      </x:c>
      <x:c r="E227" s="32" t="n">
        <x:v>39728</x:v>
      </x:c>
      <x:c r="F227" s="32" t="n">
        <x:f>D227-E227</x:f>
        <x:v>0</x:v>
      </x:c>
      <x:c r="G227" s="31"/>
      <x:c r="H227" s="31"/>
      <x:c r="I227" s="31"/>
      <x:c r="J227" s="31"/>
      <x:c r="K227" s="31"/>
      <x:c r="L227" s="31"/>
    </x:row>
    <x:row r="228">
      <x:c r="A228" s="33" t="n">
        <x:v>46266</x:v>
      </x:c>
      <x:c r="B228" s="31" t="str">
        <x:v>Office &amp; Admin</x:v>
      </x:c>
      <x:c r="C228" s="31" t="str">
        <x:v>Fixed</x:v>
      </x:c>
      <x:c r="D228" s="32" t="n">
        <x:v>47368</x:v>
      </x:c>
      <x:c r="E228" s="32" t="n">
        <x:v>47368</x:v>
      </x:c>
      <x:c r="F228" s="32" t="n">
        <x:f>D228-E228</x:f>
        <x:v>0</x:v>
      </x:c>
      <x:c r="G228" s="31"/>
      <x:c r="H228" s="31"/>
      <x:c r="I228" s="31"/>
      <x:c r="J228" s="31"/>
      <x:c r="K228" s="31"/>
      <x:c r="L228" s="31"/>
    </x:row>
    <x:row r="229">
      <x:c r="A229" s="33" t="n">
        <x:v>46266</x:v>
      </x:c>
      <x:c r="B229" s="31" t="str">
        <x:v>Professional Services</x:v>
      </x:c>
      <x:c r="C229" s="31" t="str">
        <x:v>Fixed</x:v>
      </x:c>
      <x:c r="D229" s="32" t="n">
        <x:v>27504</x:v>
      </x:c>
      <x:c r="E229" s="32" t="n">
        <x:v>27504</x:v>
      </x:c>
      <x:c r="F229" s="32" t="n">
        <x:f>D229-E229</x:f>
        <x:v>0</x:v>
      </x:c>
      <x:c r="G229" s="31"/>
      <x:c r="H229" s="31"/>
      <x:c r="I229" s="31"/>
      <x:c r="J229" s="31"/>
      <x:c r="K229" s="31"/>
      <x:c r="L229" s="31"/>
    </x:row>
    <x:row r="230">
      <x:c r="A230" s="33" t="n">
        <x:v>46296</x:v>
      </x:c>
      <x:c r="B230" s="31" t="str">
        <x:v>Marketing</x:v>
      </x:c>
      <x:c r="C230" s="31" t="str">
        <x:v>Variable</x:v>
      </x:c>
      <x:c r="D230" s="32" t="n">
        <x:v>138600</x:v>
      </x:c>
      <x:c r="E230" s="32" t="n">
        <x:v>138600</x:v>
      </x:c>
      <x:c r="F230" s="32" t="n">
        <x:f>D230-E230</x:f>
        <x:v>0</x:v>
      </x:c>
      <x:c r="G230" s="31"/>
      <x:c r="H230" s="31"/>
      <x:c r="I230" s="31"/>
      <x:c r="J230" s="31"/>
      <x:c r="K230" s="31"/>
      <x:c r="L230" s="31"/>
    </x:row>
    <x:row r="231">
      <x:c r="A231" s="33" t="n">
        <x:v>46296</x:v>
      </x:c>
      <x:c r="B231" s="31" t="str">
        <x:v>Cloud &amp; API</x:v>
      </x:c>
      <x:c r="C231" s="31" t="str">
        <x:v>Variable</x:v>
      </x:c>
      <x:c r="D231" s="32" t="n">
        <x:v>53841.23</x:v>
      </x:c>
      <x:c r="E231" s="32" t="n">
        <x:v>53841.23</x:v>
      </x:c>
      <x:c r="F231" s="32" t="n">
        <x:f>D231-E231</x:f>
        <x:v>0</x:v>
      </x:c>
      <x:c r="G231" s="31"/>
      <x:c r="H231" s="31"/>
      <x:c r="I231" s="31"/>
      <x:c r="J231" s="31"/>
      <x:c r="K231" s="31"/>
      <x:c r="L231" s="31"/>
    </x:row>
    <x:row r="232">
      <x:c r="A232" s="33" t="n">
        <x:v>46296</x:v>
      </x:c>
      <x:c r="B232" s="31" t="str">
        <x:v>Software</x:v>
      </x:c>
      <x:c r="C232" s="31" t="str">
        <x:v>Fixed</x:v>
      </x:c>
      <x:c r="D232" s="32" t="n">
        <x:v>40040</x:v>
      </x:c>
      <x:c r="E232" s="32" t="n">
        <x:v>40040</x:v>
      </x:c>
      <x:c r="F232" s="32" t="n">
        <x:f>D232-E232</x:f>
        <x:v>0</x:v>
      </x:c>
      <x:c r="G232" s="31"/>
      <x:c r="H232" s="31"/>
      <x:c r="I232" s="31"/>
      <x:c r="J232" s="31"/>
      <x:c r="K232" s="31"/>
      <x:c r="L232" s="31"/>
    </x:row>
    <x:row r="233">
      <x:c r="A233" s="33" t="n">
        <x:v>46296</x:v>
      </x:c>
      <x:c r="B233" s="31" t="str">
        <x:v>Office &amp; Admin</x:v>
      </x:c>
      <x:c r="C233" s="31" t="str">
        <x:v>Fixed</x:v>
      </x:c>
      <x:c r="D233" s="32" t="n">
        <x:v>47740</x:v>
      </x:c>
      <x:c r="E233" s="32" t="n">
        <x:v>47740</x:v>
      </x:c>
      <x:c r="F233" s="32" t="n">
        <x:f>D233-E233</x:f>
        <x:v>0</x:v>
      </x:c>
      <x:c r="G233" s="31"/>
      <x:c r="H233" s="31"/>
      <x:c r="I233" s="31"/>
      <x:c r="J233" s="31"/>
      <x:c r="K233" s="31"/>
      <x:c r="L233" s="31"/>
    </x:row>
    <x:row r="234">
      <x:c r="A234" s="33" t="n">
        <x:v>46296</x:v>
      </x:c>
      <x:c r="B234" s="31" t="str">
        <x:v>Professional Services</x:v>
      </x:c>
      <x:c r="C234" s="31" t="str">
        <x:v>Fixed</x:v>
      </x:c>
      <x:c r="D234" s="32" t="n">
        <x:v>27720</x:v>
      </x:c>
      <x:c r="E234" s="32" t="n">
        <x:v>27720</x:v>
      </x:c>
      <x:c r="F234" s="32" t="n">
        <x:f>D234-E234</x:f>
        <x:v>0</x:v>
      </x:c>
      <x:c r="G234" s="31"/>
      <x:c r="H234" s="31"/>
      <x:c r="I234" s="31"/>
      <x:c r="J234" s="31"/>
      <x:c r="K234" s="31"/>
      <x:c r="L234" s="31"/>
    </x:row>
    <x:row r="235">
      <x:c r="A235" s="33" t="n">
        <x:v>46327</x:v>
      </x:c>
      <x:c r="B235" s="31" t="str">
        <x:v>Marketing</x:v>
      </x:c>
      <x:c r="C235" s="31" t="str">
        <x:v>Variable</x:v>
      </x:c>
      <x:c r="D235" s="32" t="n">
        <x:v>139680</x:v>
      </x:c>
      <x:c r="E235" s="32" t="n">
        <x:v>139680</x:v>
      </x:c>
      <x:c r="F235" s="32" t="n">
        <x:f>D235-E235</x:f>
        <x:v>0</x:v>
      </x:c>
      <x:c r="G235" s="31"/>
      <x:c r="H235" s="31"/>
      <x:c r="I235" s="31"/>
      <x:c r="J235" s="31"/>
      <x:c r="K235" s="31"/>
      <x:c r="L235" s="31"/>
    </x:row>
    <x:row r="236">
      <x:c r="A236" s="33" t="n">
        <x:v>46327</x:v>
      </x:c>
      <x:c r="B236" s="31" t="str">
        <x:v>Cloud &amp; API</x:v>
      </x:c>
      <x:c r="C236" s="31" t="str">
        <x:v>Variable</x:v>
      </x:c>
      <x:c r="D236" s="32" t="n">
        <x:v>54948.13</x:v>
      </x:c>
      <x:c r="E236" s="32" t="n">
        <x:v>54948.13</x:v>
      </x:c>
      <x:c r="F236" s="32" t="n">
        <x:f>D236-E236</x:f>
        <x:v>0</x:v>
      </x:c>
      <x:c r="G236" s="31"/>
      <x:c r="H236" s="31"/>
      <x:c r="I236" s="31"/>
      <x:c r="J236" s="31"/>
      <x:c r="K236" s="31"/>
      <x:c r="L236" s="31"/>
    </x:row>
    <x:row r="237">
      <x:c r="A237" s="33" t="n">
        <x:v>46327</x:v>
      </x:c>
      <x:c r="B237" s="31" t="str">
        <x:v>Software</x:v>
      </x:c>
      <x:c r="C237" s="31" t="str">
        <x:v>Fixed</x:v>
      </x:c>
      <x:c r="D237" s="32" t="n">
        <x:v>40352</x:v>
      </x:c>
      <x:c r="E237" s="32" t="n">
        <x:v>40352</x:v>
      </x:c>
      <x:c r="F237" s="32" t="n">
        <x:f>D237-E237</x:f>
        <x:v>0</x:v>
      </x:c>
      <x:c r="G237" s="31"/>
      <x:c r="H237" s="31"/>
      <x:c r="I237" s="31"/>
      <x:c r="J237" s="31"/>
      <x:c r="K237" s="31"/>
      <x:c r="L237" s="31"/>
    </x:row>
    <x:row r="238">
      <x:c r="A238" s="33" t="n">
        <x:v>46327</x:v>
      </x:c>
      <x:c r="B238" s="31" t="str">
        <x:v>Office &amp; Admin</x:v>
      </x:c>
      <x:c r="C238" s="31" t="str">
        <x:v>Fixed</x:v>
      </x:c>
      <x:c r="D238" s="32" t="n">
        <x:v>48112</x:v>
      </x:c>
      <x:c r="E238" s="32" t="n">
        <x:v>48112</x:v>
      </x:c>
      <x:c r="F238" s="32" t="n">
        <x:f>D238-E238</x:f>
        <x:v>0</x:v>
      </x:c>
      <x:c r="G238" s="31"/>
      <x:c r="H238" s="31"/>
      <x:c r="I238" s="31"/>
      <x:c r="J238" s="31"/>
      <x:c r="K238" s="31"/>
      <x:c r="L238" s="31"/>
    </x:row>
    <x:row r="239">
      <x:c r="A239" s="33" t="n">
        <x:v>46327</x:v>
      </x:c>
      <x:c r="B239" s="31" t="str">
        <x:v>Professional Services</x:v>
      </x:c>
      <x:c r="C239" s="31" t="str">
        <x:v>Fixed</x:v>
      </x:c>
      <x:c r="D239" s="32" t="n">
        <x:v>27936</x:v>
      </x:c>
      <x:c r="E239" s="32" t="n">
        <x:v>27936</x:v>
      </x:c>
      <x:c r="F239" s="32" t="n">
        <x:f>D239-E239</x:f>
        <x:v>0</x:v>
      </x:c>
      <x:c r="G239" s="31"/>
      <x:c r="H239" s="31"/>
      <x:c r="I239" s="31"/>
      <x:c r="J239" s="31"/>
      <x:c r="K239" s="31"/>
      <x:c r="L239" s="31"/>
    </x:row>
    <x:row r="240">
      <x:c r="A240" s="33" t="n">
        <x:v>46357</x:v>
      </x:c>
      <x:c r="B240" s="31" t="str">
        <x:v>Marketing</x:v>
      </x:c>
      <x:c r="C240" s="31" t="str">
        <x:v>Variable</x:v>
      </x:c>
      <x:c r="D240" s="32" t="n">
        <x:v>140760</x:v>
      </x:c>
      <x:c r="E240" s="32" t="n">
        <x:v>140760</x:v>
      </x:c>
      <x:c r="F240" s="32" t="n">
        <x:f>D240-E240</x:f>
        <x:v>0</x:v>
      </x:c>
      <x:c r="G240" s="31"/>
      <x:c r="H240" s="31"/>
      <x:c r="I240" s="31"/>
      <x:c r="J240" s="31"/>
      <x:c r="K240" s="31"/>
      <x:c r="L240" s="31"/>
    </x:row>
    <x:row r="241">
      <x:c r="A241" s="33" t="n">
        <x:v>46357</x:v>
      </x:c>
      <x:c r="B241" s="31" t="str">
        <x:v>Cloud &amp; API</x:v>
      </x:c>
      <x:c r="C241" s="31" t="str">
        <x:v>Variable</x:v>
      </x:c>
      <x:c r="D241" s="32" t="n">
        <x:v>56112.68</x:v>
      </x:c>
      <x:c r="E241" s="32" t="n">
        <x:v>56112.68</x:v>
      </x:c>
      <x:c r="F241" s="32" t="n">
        <x:f>D241-E241</x:f>
        <x:v>0</x:v>
      </x:c>
      <x:c r="G241" s="31"/>
      <x:c r="H241" s="31"/>
      <x:c r="I241" s="31"/>
      <x:c r="J241" s="31"/>
      <x:c r="K241" s="31"/>
      <x:c r="L241" s="31"/>
    </x:row>
    <x:row r="242">
      <x:c r="A242" s="33" t="n">
        <x:v>46357</x:v>
      </x:c>
      <x:c r="B242" s="31" t="str">
        <x:v>Software</x:v>
      </x:c>
      <x:c r="C242" s="31" t="str">
        <x:v>Fixed</x:v>
      </x:c>
      <x:c r="D242" s="32" t="n">
        <x:v>40664</x:v>
      </x:c>
      <x:c r="E242" s="32" t="n">
        <x:v>40664</x:v>
      </x:c>
      <x:c r="F242" s="32" t="n">
        <x:f>D242-E242</x:f>
        <x:v>0</x:v>
      </x:c>
      <x:c r="G242" s="31"/>
      <x:c r="H242" s="31"/>
      <x:c r="I242" s="31"/>
      <x:c r="J242" s="31"/>
      <x:c r="K242" s="31"/>
      <x:c r="L242" s="31"/>
    </x:row>
    <x:row r="243">
      <x:c r="A243" s="33" t="n">
        <x:v>46357</x:v>
      </x:c>
      <x:c r="B243" s="31" t="str">
        <x:v>Office &amp; Admin</x:v>
      </x:c>
      <x:c r="C243" s="31" t="str">
        <x:v>Fixed</x:v>
      </x:c>
      <x:c r="D243" s="32" t="n">
        <x:v>48484</x:v>
      </x:c>
      <x:c r="E243" s="32" t="n">
        <x:v>48484</x:v>
      </x:c>
      <x:c r="F243" s="32" t="n">
        <x:f>D243-E243</x:f>
        <x:v>0</x:v>
      </x:c>
      <x:c r="G243" s="31"/>
      <x:c r="H243" s="31"/>
      <x:c r="I243" s="31"/>
      <x:c r="J243" s="31"/>
      <x:c r="K243" s="31"/>
      <x:c r="L243" s="31"/>
    </x:row>
    <x:row r="244">
      <x:c r="A244" s="33" t="n">
        <x:v>46357</x:v>
      </x:c>
      <x:c r="B244" s="31" t="str">
        <x:v>Professional Services</x:v>
      </x:c>
      <x:c r="C244" s="31" t="str">
        <x:v>Fixed</x:v>
      </x:c>
      <x:c r="D244" s="32" t="n">
        <x:v>28152</x:v>
      </x:c>
      <x:c r="E244" s="32" t="n">
        <x:v>28152</x:v>
      </x:c>
      <x:c r="F244" s="32" t="n">
        <x:f>D244-E244</x:f>
        <x:v>0</x:v>
      </x:c>
      <x:c r="G244" s="31"/>
      <x:c r="H244" s="31"/>
      <x:c r="I244" s="31"/>
      <x:c r="J244" s="31"/>
      <x:c r="K244" s="31"/>
      <x:c r="L244" s="31"/>
    </x:row>
  </x:sheetData>
  <x:mergeCells>
    <x:mergeCell ref="A1:L1"/>
    <x:mergeCell ref="A2:L2"/>
  </x:mergeCells>
  <x:conditionalFormatting sqref="F5:F244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24" t="str">
        <x:v>Headcount model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Planned versus actual staffing and monthly personnel cost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Month</x:v>
      </x:c>
      <x:c r="B4" s="27" t="str">
        <x:v>Department</x:v>
      </x:c>
      <x:c r="C4" s="27" t="str">
        <x:v>Planned HC</x:v>
      </x:c>
      <x:c r="D4" s="27" t="str">
        <x:v>Actual HC</x:v>
      </x:c>
      <x:c r="E4" s="27" t="str">
        <x:v>Reported HC</x:v>
      </x:c>
      <x:c r="F4" s="27" t="str">
        <x:v>Salary</x:v>
      </x:c>
      <x:c r="G4" s="27" t="str">
        <x:v>Benefits</x:v>
      </x:c>
      <x:c r="H4" s="27" t="str">
        <x:v>Personnel cost</x:v>
      </x:c>
      <x:c r="I4" s="31"/>
      <x:c r="J4" s="31"/>
      <x:c r="K4" s="31"/>
      <x:c r="L4" s="31"/>
    </x:row>
    <x:row r="5">
      <x:c r="A5" s="33" t="n">
        <x:v>44927</x:v>
      </x:c>
      <x:c r="B5" s="31" t="str">
        <x:v>Engineering</x:v>
      </x:c>
      <x:c r="C5" s="31" t="n">
        <x:v>0</x:v>
      </x:c>
      <x:c r="D5" s="31" t="n">
        <x:v>1</x:v>
      </x:c>
      <x:c r="E5" s="31" t="n">
        <x:v>1</x:v>
      </x:c>
      <x:c r="F5" s="32" t="n">
        <x:v>12008.333333333334</x:v>
      </x:c>
      <x:c r="G5" s="32" t="n">
        <x:v>2641.8333333333335</x:v>
      </x:c>
      <x:c r="H5" s="32" t="n">
        <x:v>14650.166666666668</x:v>
      </x:c>
      <x:c r="I5" s="31"/>
      <x:c r="J5" s="31"/>
      <x:c r="K5" s="31"/>
      <x:c r="L5" s="31"/>
    </x:row>
    <x:row r="6">
      <x:c r="A6" s="33" t="n">
        <x:v>44927</x:v>
      </x:c>
      <x:c r="B6" s="31" t="str">
        <x:v>Sales</x:v>
      </x:c>
      <x:c r="C6" s="31" t="n">
        <x:v>0</x:v>
      </x:c>
      <x:c r="D6" s="31" t="n">
        <x:v>0</x:v>
      </x:c>
      <x:c r="E6" s="31" t="n">
        <x:v>0</x:v>
      </x:c>
      <x:c r="F6" s="32" t="n">
        <x:v>0</x:v>
      </x:c>
      <x:c r="G6" s="32" t="n">
        <x:v>0</x:v>
      </x:c>
      <x:c r="H6" s="32" t="n">
        <x:v>0</x:v>
      </x:c>
      <x:c r="I6" s="31"/>
      <x:c r="J6" s="31"/>
      <x:c r="K6" s="31"/>
      <x:c r="L6" s="31"/>
    </x:row>
    <x:row r="7">
      <x:c r="A7" s="33" t="n">
        <x:v>44927</x:v>
      </x:c>
      <x:c r="B7" s="31" t="str">
        <x:v>Marketing</x:v>
      </x:c>
      <x:c r="C7" s="31" t="n">
        <x:v>0</x:v>
      </x:c>
      <x:c r="D7" s="31" t="n">
        <x:v>0</x:v>
      </x:c>
      <x:c r="E7" s="31" t="n">
        <x:v>0</x:v>
      </x:c>
      <x:c r="F7" s="32" t="n">
        <x:v>0</x:v>
      </x:c>
      <x:c r="G7" s="32" t="n">
        <x:v>0</x:v>
      </x:c>
      <x:c r="H7" s="32" t="n">
        <x:v>0</x:v>
      </x:c>
      <x:c r="I7" s="31"/>
      <x:c r="J7" s="31"/>
      <x:c r="K7" s="31"/>
      <x:c r="L7" s="31"/>
    </x:row>
    <x:row r="8">
      <x:c r="A8" s="33" t="n">
        <x:v>44927</x:v>
      </x:c>
      <x:c r="B8" s="31" t="str">
        <x:v>Customer Success</x:v>
      </x:c>
      <x:c r="C8" s="31" t="n">
        <x:v>1</x:v>
      </x:c>
      <x:c r="D8" s="31" t="n">
        <x:v>1</x:v>
      </x:c>
      <x:c r="E8" s="31" t="n">
        <x:v>1</x:v>
      </x:c>
      <x:c r="F8" s="32" t="n">
        <x:v>8925</x:v>
      </x:c>
      <x:c r="G8" s="32" t="n">
        <x:v>1963.5</x:v>
      </x:c>
      <x:c r="H8" s="32" t="n">
        <x:v>10888.5</x:v>
      </x:c>
      <x:c r="I8" s="31"/>
      <x:c r="J8" s="31"/>
      <x:c r="K8" s="31"/>
      <x:c r="L8" s="31"/>
    </x:row>
    <x:row r="9">
      <x:c r="A9" s="33" t="n">
        <x:v>44927</x:v>
      </x:c>
      <x:c r="B9" s="31" t="str">
        <x:v>G&amp;A</x:v>
      </x:c>
      <x:c r="C9" s="31" t="n">
        <x:v>0</x:v>
      </x:c>
      <x:c r="D9" s="31" t="n">
        <x:v>0</x:v>
      </x:c>
      <x:c r="E9" s="31" t="n">
        <x:v>0</x:v>
      </x:c>
      <x:c r="F9" s="32" t="n">
        <x:v>0</x:v>
      </x:c>
      <x:c r="G9" s="32" t="n">
        <x:v>0</x:v>
      </x:c>
      <x:c r="H9" s="32" t="n">
        <x:v>0</x:v>
      </x:c>
      <x:c r="I9" s="31"/>
      <x:c r="J9" s="31"/>
      <x:c r="K9" s="31"/>
      <x:c r="L9" s="31"/>
    </x:row>
    <x:row r="10">
      <x:c r="A10" s="33" t="n">
        <x:v>44958</x:v>
      </x:c>
      <x:c r="B10" s="31" t="str">
        <x:v>Engineering</x:v>
      </x:c>
      <x:c r="C10" s="31" t="n">
        <x:v>1</x:v>
      </x:c>
      <x:c r="D10" s="31" t="n">
        <x:v>1</x:v>
      </x:c>
      <x:c r="E10" s="31" t="n">
        <x:v>1</x:v>
      </x:c>
      <x:c r="F10" s="32" t="n">
        <x:v>12008.333333333334</x:v>
      </x:c>
      <x:c r="G10" s="32" t="n">
        <x:v>2641.8333333333335</x:v>
      </x:c>
      <x:c r="H10" s="32" t="n">
        <x:v>14650.166666666668</x:v>
      </x:c>
      <x:c r="I10" s="31"/>
      <x:c r="J10" s="31"/>
      <x:c r="K10" s="31"/>
      <x:c r="L10" s="31"/>
    </x:row>
    <x:row r="11">
      <x:c r="A11" s="33" t="n">
        <x:v>44958</x:v>
      </x:c>
      <x:c r="B11" s="31" t="str">
        <x:v>Sales</x:v>
      </x:c>
      <x:c r="C11" s="31" t="n">
        <x:v>0</x:v>
      </x:c>
      <x:c r="D11" s="31" t="n">
        <x:v>0</x:v>
      </x:c>
      <x:c r="E11" s="31" t="n">
        <x:v>0</x:v>
      </x:c>
      <x:c r="F11" s="32" t="n">
        <x:v>0</x:v>
      </x:c>
      <x:c r="G11" s="32" t="n">
        <x:v>0</x:v>
      </x:c>
      <x:c r="H11" s="32" t="n">
        <x:v>0</x:v>
      </x:c>
      <x:c r="I11" s="31"/>
      <x:c r="J11" s="31"/>
      <x:c r="K11" s="31"/>
      <x:c r="L11" s="31"/>
    </x:row>
    <x:row r="12">
      <x:c r="A12" s="33" t="n">
        <x:v>44958</x:v>
      </x:c>
      <x:c r="B12" s="31" t="str">
        <x:v>Marketing</x:v>
      </x:c>
      <x:c r="C12" s="31" t="n">
        <x:v>0</x:v>
      </x:c>
      <x:c r="D12" s="31" t="n">
        <x:v>0</x:v>
      </x:c>
      <x:c r="E12" s="31" t="n">
        <x:v>0</x:v>
      </x:c>
      <x:c r="F12" s="32" t="n">
        <x:v>0</x:v>
      </x:c>
      <x:c r="G12" s="32" t="n">
        <x:v>0</x:v>
      </x:c>
      <x:c r="H12" s="32" t="n">
        <x:v>0</x:v>
      </x:c>
      <x:c r="I12" s="31"/>
      <x:c r="J12" s="31"/>
      <x:c r="K12" s="31"/>
      <x:c r="L12" s="31"/>
    </x:row>
    <x:row r="13">
      <x:c r="A13" s="33" t="n">
        <x:v>44958</x:v>
      </x:c>
      <x:c r="B13" s="31" t="str">
        <x:v>Customer Success</x:v>
      </x:c>
      <x:c r="C13" s="31" t="n">
        <x:v>1</x:v>
      </x:c>
      <x:c r="D13" s="31" t="n">
        <x:v>1</x:v>
      </x:c>
      <x:c r="E13" s="31" t="n">
        <x:v>1</x:v>
      </x:c>
      <x:c r="F13" s="32" t="n">
        <x:v>8925</x:v>
      </x:c>
      <x:c r="G13" s="32" t="n">
        <x:v>1963.5</x:v>
      </x:c>
      <x:c r="H13" s="32" t="n">
        <x:v>10888.5</x:v>
      </x:c>
      <x:c r="I13" s="31"/>
      <x:c r="J13" s="31"/>
      <x:c r="K13" s="31"/>
      <x:c r="L13" s="31"/>
    </x:row>
    <x:row r="14">
      <x:c r="A14" s="33" t="n">
        <x:v>44958</x:v>
      </x:c>
      <x:c r="B14" s="31" t="str">
        <x:v>G&amp;A</x:v>
      </x:c>
      <x:c r="C14" s="31" t="n">
        <x:v>0</x:v>
      </x:c>
      <x:c r="D14" s="31" t="n">
        <x:v>0</x:v>
      </x:c>
      <x:c r="E14" s="31" t="n">
        <x:v>0</x:v>
      </x:c>
      <x:c r="F14" s="32" t="n">
        <x:v>0</x:v>
      </x:c>
      <x:c r="G14" s="32" t="n">
        <x:v>0</x:v>
      </x:c>
      <x:c r="H14" s="32" t="n">
        <x:v>0</x:v>
      </x:c>
      <x:c r="I14" s="31"/>
      <x:c r="J14" s="31"/>
      <x:c r="K14" s="31"/>
      <x:c r="L14" s="31"/>
    </x:row>
    <x:row r="15">
      <x:c r="A15" s="33" t="n">
        <x:v>44986</x:v>
      </x:c>
      <x:c r="B15" s="31" t="str">
        <x:v>Engineering</x:v>
      </x:c>
      <x:c r="C15" s="31" t="n">
        <x:v>2</x:v>
      </x:c>
      <x:c r="D15" s="31" t="n">
        <x:v>2</x:v>
      </x:c>
      <x:c r="E15" s="31" t="n">
        <x:v>2</x:v>
      </x:c>
      <x:c r="F15" s="32" t="n">
        <x:v>21608.333333333332</x:v>
      </x:c>
      <x:c r="G15" s="32" t="n">
        <x:v>4753.833333333333</x:v>
      </x:c>
      <x:c r="H15" s="32" t="n">
        <x:v>26362.166666666664</x:v>
      </x:c>
      <x:c r="I15" s="31"/>
      <x:c r="J15" s="31"/>
      <x:c r="K15" s="31"/>
      <x:c r="L15" s="31"/>
    </x:row>
    <x:row r="16">
      <x:c r="A16" s="33" t="n">
        <x:v>44986</x:v>
      </x:c>
      <x:c r="B16" s="31" t="str">
        <x:v>Sales</x:v>
      </x:c>
      <x:c r="C16" s="31" t="n">
        <x:v>0</x:v>
      </x:c>
      <x:c r="D16" s="31" t="n">
        <x:v>1</x:v>
      </x:c>
      <x:c r="E16" s="31" t="n">
        <x:v>1</x:v>
      </x:c>
      <x:c r="F16" s="32" t="n">
        <x:v>11100</x:v>
      </x:c>
      <x:c r="G16" s="32" t="n">
        <x:v>2442</x:v>
      </x:c>
      <x:c r="H16" s="32" t="n">
        <x:v>13542</x:v>
      </x:c>
      <x:c r="I16" s="31"/>
      <x:c r="J16" s="31"/>
      <x:c r="K16" s="31"/>
      <x:c r="L16" s="31"/>
    </x:row>
    <x:row r="17">
      <x:c r="A17" s="33" t="n">
        <x:v>44986</x:v>
      </x:c>
      <x:c r="B17" s="31" t="str">
        <x:v>Marketing</x:v>
      </x:c>
      <x:c r="C17" s="31" t="n">
        <x:v>0</x:v>
      </x:c>
      <x:c r="D17" s="31" t="n">
        <x:v>0</x:v>
      </x:c>
      <x:c r="E17" s="31" t="n">
        <x:v>0</x:v>
      </x:c>
      <x:c r="F17" s="32" t="n">
        <x:v>0</x:v>
      </x:c>
      <x:c r="G17" s="32" t="n">
        <x:v>0</x:v>
      </x:c>
      <x:c r="H17" s="32" t="n">
        <x:v>0</x:v>
      </x:c>
      <x:c r="I17" s="31"/>
      <x:c r="J17" s="31"/>
      <x:c r="K17" s="31"/>
      <x:c r="L17" s="31"/>
    </x:row>
    <x:row r="18">
      <x:c r="A18" s="33" t="n">
        <x:v>44986</x:v>
      </x:c>
      <x:c r="B18" s="31" t="str">
        <x:v>Customer Success</x:v>
      </x:c>
      <x:c r="C18" s="31" t="n">
        <x:v>1</x:v>
      </x:c>
      <x:c r="D18" s="31" t="n">
        <x:v>1</x:v>
      </x:c>
      <x:c r="E18" s="31" t="n">
        <x:v>1</x:v>
      </x:c>
      <x:c r="F18" s="32" t="n">
        <x:v>8925</x:v>
      </x:c>
      <x:c r="G18" s="32" t="n">
        <x:v>1963.5</x:v>
      </x:c>
      <x:c r="H18" s="32" t="n">
        <x:v>10888.5</x:v>
      </x:c>
      <x:c r="I18" s="31"/>
      <x:c r="J18" s="31"/>
      <x:c r="K18" s="31"/>
      <x:c r="L18" s="31"/>
    </x:row>
    <x:row r="19">
      <x:c r="A19" s="33" t="n">
        <x:v>44986</x:v>
      </x:c>
      <x:c r="B19" s="31" t="str">
        <x:v>G&amp;A</x:v>
      </x:c>
      <x:c r="C19" s="31" t="n">
        <x:v>1</x:v>
      </x:c>
      <x:c r="D19" s="31" t="n">
        <x:v>0</x:v>
      </x:c>
      <x:c r="E19" s="31" t="n">
        <x:v>0</x:v>
      </x:c>
      <x:c r="F19" s="32" t="n">
        <x:v>0</x:v>
      </x:c>
      <x:c r="G19" s="32" t="n">
        <x:v>0</x:v>
      </x:c>
      <x:c r="H19" s="32" t="n">
        <x:v>0</x:v>
      </x:c>
      <x:c r="I19" s="31"/>
      <x:c r="J19" s="31"/>
      <x:c r="K19" s="31"/>
      <x:c r="L19" s="31"/>
    </x:row>
    <x:row r="20">
      <x:c r="A20" s="33" t="n">
        <x:v>45017</x:v>
      </x:c>
      <x:c r="B20" s="31" t="str">
        <x:v>Engineering</x:v>
      </x:c>
      <x:c r="C20" s="31" t="n">
        <x:v>2</x:v>
      </x:c>
      <x:c r="D20" s="31" t="n">
        <x:v>2</x:v>
      </x:c>
      <x:c r="E20" s="31" t="n">
        <x:v>2</x:v>
      </x:c>
      <x:c r="F20" s="32" t="n">
        <x:v>21608.333333333332</x:v>
      </x:c>
      <x:c r="G20" s="32" t="n">
        <x:v>4753.833333333333</x:v>
      </x:c>
      <x:c r="H20" s="32" t="n">
        <x:v>26362.166666666664</x:v>
      </x:c>
      <x:c r="I20" s="31"/>
      <x:c r="J20" s="31"/>
      <x:c r="K20" s="31"/>
      <x:c r="L20" s="31"/>
    </x:row>
    <x:row r="21">
      <x:c r="A21" s="33" t="n">
        <x:v>45017</x:v>
      </x:c>
      <x:c r="B21" s="31" t="str">
        <x:v>Sales</x:v>
      </x:c>
      <x:c r="C21" s="31" t="n">
        <x:v>1</x:v>
      </x:c>
      <x:c r="D21" s="31" t="n">
        <x:v>1</x:v>
      </x:c>
      <x:c r="E21" s="31" t="n">
        <x:v>1</x:v>
      </x:c>
      <x:c r="F21" s="32" t="n">
        <x:v>11100</x:v>
      </x:c>
      <x:c r="G21" s="32" t="n">
        <x:v>2442</x:v>
      </x:c>
      <x:c r="H21" s="32" t="n">
        <x:v>13542</x:v>
      </x:c>
      <x:c r="I21" s="31"/>
      <x:c r="J21" s="31"/>
      <x:c r="K21" s="31"/>
      <x:c r="L21" s="31"/>
    </x:row>
    <x:row r="22">
      <x:c r="A22" s="33" t="n">
        <x:v>45017</x:v>
      </x:c>
      <x:c r="B22" s="31" t="str">
        <x:v>Marketing</x:v>
      </x:c>
      <x:c r="C22" s="31" t="n">
        <x:v>0</x:v>
      </x:c>
      <x:c r="D22" s="31" t="n">
        <x:v>0</x:v>
      </x:c>
      <x:c r="E22" s="31" t="n">
        <x:v>0</x:v>
      </x:c>
      <x:c r="F22" s="32" t="n">
        <x:v>0</x:v>
      </x:c>
      <x:c r="G22" s="32" t="n">
        <x:v>0</x:v>
      </x:c>
      <x:c r="H22" s="32" t="n">
        <x:v>0</x:v>
      </x:c>
      <x:c r="I22" s="31"/>
      <x:c r="J22" s="31"/>
      <x:c r="K22" s="31"/>
      <x:c r="L22" s="31"/>
    </x:row>
    <x:row r="23">
      <x:c r="A23" s="33" t="n">
        <x:v>45017</x:v>
      </x:c>
      <x:c r="B23" s="31" t="str">
        <x:v>Customer Success</x:v>
      </x:c>
      <x:c r="C23" s="31" t="n">
        <x:v>1</x:v>
      </x:c>
      <x:c r="D23" s="31" t="n">
        <x:v>2</x:v>
      </x:c>
      <x:c r="E23" s="31" t="n">
        <x:v>2</x:v>
      </x:c>
      <x:c r="F23" s="32" t="n">
        <x:v>18616.666666666668</x:v>
      </x:c>
      <x:c r="G23" s="32" t="n">
        <x:v>4095.666666666667</x:v>
      </x:c>
      <x:c r="H23" s="32" t="n">
        <x:v>22712.333333333336</x:v>
      </x:c>
      <x:c r="I23" s="31"/>
      <x:c r="J23" s="31"/>
      <x:c r="K23" s="31"/>
      <x:c r="L23" s="31"/>
    </x:row>
    <x:row r="24">
      <x:c r="A24" s="33" t="n">
        <x:v>45017</x:v>
      </x:c>
      <x:c r="B24" s="31" t="str">
        <x:v>G&amp;A</x:v>
      </x:c>
      <x:c r="C24" s="31" t="n">
        <x:v>1</x:v>
      </x:c>
      <x:c r="D24" s="31" t="n">
        <x:v>1</x:v>
      </x:c>
      <x:c r="E24" s="31" t="n">
        <x:v>1</x:v>
      </x:c>
      <x:c r="F24" s="32" t="n">
        <x:v>11641.666666666666</x:v>
      </x:c>
      <x:c r="G24" s="32" t="n">
        <x:v>2561.1666666666665</x:v>
      </x:c>
      <x:c r="H24" s="32" t="n">
        <x:v>14202.833333333332</x:v>
      </x:c>
      <x:c r="I24" s="31"/>
      <x:c r="J24" s="31"/>
      <x:c r="K24" s="31"/>
      <x:c r="L24" s="31"/>
    </x:row>
    <x:row r="25">
      <x:c r="A25" s="33" t="n">
        <x:v>45047</x:v>
      </x:c>
      <x:c r="B25" s="31" t="str">
        <x:v>Engineering</x:v>
      </x:c>
      <x:c r="C25" s="31" t="n">
        <x:v>2</x:v>
      </x:c>
      <x:c r="D25" s="31" t="n">
        <x:v>2</x:v>
      </x:c>
      <x:c r="E25" s="31" t="n">
        <x:v>2</x:v>
      </x:c>
      <x:c r="F25" s="32" t="n">
        <x:v>21608.333333333332</x:v>
      </x:c>
      <x:c r="G25" s="32" t="n">
        <x:v>4753.833333333333</x:v>
      </x:c>
      <x:c r="H25" s="32" t="n">
        <x:v>26362.166666666664</x:v>
      </x:c>
      <x:c r="I25" s="31"/>
      <x:c r="J25" s="31"/>
      <x:c r="K25" s="31"/>
      <x:c r="L25" s="31"/>
    </x:row>
    <x:row r="26">
      <x:c r="A26" s="33" t="n">
        <x:v>45047</x:v>
      </x:c>
      <x:c r="B26" s="31" t="str">
        <x:v>Sales</x:v>
      </x:c>
      <x:c r="C26" s="31" t="n">
        <x:v>1</x:v>
      </x:c>
      <x:c r="D26" s="31" t="n">
        <x:v>1</x:v>
      </x:c>
      <x:c r="E26" s="31" t="n">
        <x:v>1</x:v>
      </x:c>
      <x:c r="F26" s="32" t="n">
        <x:v>11100</x:v>
      </x:c>
      <x:c r="G26" s="32" t="n">
        <x:v>2442</x:v>
      </x:c>
      <x:c r="H26" s="32" t="n">
        <x:v>13542</x:v>
      </x:c>
      <x:c r="I26" s="31"/>
      <x:c r="J26" s="31"/>
      <x:c r="K26" s="31"/>
      <x:c r="L26" s="31"/>
    </x:row>
    <x:row r="27">
      <x:c r="A27" s="33" t="n">
        <x:v>45047</x:v>
      </x:c>
      <x:c r="B27" s="31" t="str">
        <x:v>Marketing</x:v>
      </x:c>
      <x:c r="C27" s="31" t="n">
        <x:v>1</x:v>
      </x:c>
      <x:c r="D27" s="31" t="n">
        <x:v>0</x:v>
      </x:c>
      <x:c r="E27" s="31" t="n">
        <x:v>0</x:v>
      </x:c>
      <x:c r="F27" s="32" t="n">
        <x:v>0</x:v>
      </x:c>
      <x:c r="G27" s="32" t="n">
        <x:v>0</x:v>
      </x:c>
      <x:c r="H27" s="32" t="n">
        <x:v>0</x:v>
      </x:c>
      <x:c r="I27" s="31"/>
      <x:c r="J27" s="31"/>
      <x:c r="K27" s="31"/>
      <x:c r="L27" s="31"/>
    </x:row>
    <x:row r="28">
      <x:c r="A28" s="33" t="n">
        <x:v>45047</x:v>
      </x:c>
      <x:c r="B28" s="31" t="str">
        <x:v>Customer Success</x:v>
      </x:c>
      <x:c r="C28" s="31" t="n">
        <x:v>2</x:v>
      </x:c>
      <x:c r="D28" s="31" t="n">
        <x:v>3</x:v>
      </x:c>
      <x:c r="E28" s="31" t="n">
        <x:v>3</x:v>
      </x:c>
      <x:c r="F28" s="32" t="n">
        <x:v>25525</x:v>
      </x:c>
      <x:c r="G28" s="32" t="n">
        <x:v>5615.5</x:v>
      </x:c>
      <x:c r="H28" s="32" t="n">
        <x:v>31140.5</x:v>
      </x:c>
      <x:c r="I28" s="31"/>
      <x:c r="J28" s="31"/>
      <x:c r="K28" s="31"/>
      <x:c r="L28" s="31"/>
    </x:row>
    <x:row r="29">
      <x:c r="A29" s="33" t="n">
        <x:v>45047</x:v>
      </x:c>
      <x:c r="B29" s="31" t="str">
        <x:v>G&amp;A</x:v>
      </x:c>
      <x:c r="C29" s="31" t="n">
        <x:v>1</x:v>
      </x:c>
      <x:c r="D29" s="31" t="n">
        <x:v>1</x:v>
      </x:c>
      <x:c r="E29" s="31" t="n">
        <x:v>1</x:v>
      </x:c>
      <x:c r="F29" s="32" t="n">
        <x:v>11641.666666666666</x:v>
      </x:c>
      <x:c r="G29" s="32" t="n">
        <x:v>2561.1666666666665</x:v>
      </x:c>
      <x:c r="H29" s="32" t="n">
        <x:v>14202.833333333332</x:v>
      </x:c>
      <x:c r="I29" s="31"/>
      <x:c r="J29" s="31"/>
      <x:c r="K29" s="31"/>
      <x:c r="L29" s="31"/>
    </x:row>
    <x:row r="30">
      <x:c r="A30" s="33" t="n">
        <x:v>45078</x:v>
      </x:c>
      <x:c r="B30" s="31" t="str">
        <x:v>Engineering</x:v>
      </x:c>
      <x:c r="C30" s="31" t="n">
        <x:v>2</x:v>
      </x:c>
      <x:c r="D30" s="31" t="n">
        <x:v>2</x:v>
      </x:c>
      <x:c r="E30" s="31" t="n">
        <x:v>2</x:v>
      </x:c>
      <x:c r="F30" s="32" t="n">
        <x:v>21608.333333333332</x:v>
      </x:c>
      <x:c r="G30" s="32" t="n">
        <x:v>4753.833333333333</x:v>
      </x:c>
      <x:c r="H30" s="32" t="n">
        <x:v>26362.166666666664</x:v>
      </x:c>
      <x:c r="I30" s="31"/>
      <x:c r="J30" s="31"/>
      <x:c r="K30" s="31"/>
      <x:c r="L30" s="31"/>
    </x:row>
    <x:row r="31">
      <x:c r="A31" s="33" t="n">
        <x:v>45078</x:v>
      </x:c>
      <x:c r="B31" s="31" t="str">
        <x:v>Sales</x:v>
      </x:c>
      <x:c r="C31" s="31" t="n">
        <x:v>1</x:v>
      </x:c>
      <x:c r="D31" s="31" t="n">
        <x:v>1</x:v>
      </x:c>
      <x:c r="E31" s="31" t="n">
        <x:v>1</x:v>
      </x:c>
      <x:c r="F31" s="32" t="n">
        <x:v>11100</x:v>
      </x:c>
      <x:c r="G31" s="32" t="n">
        <x:v>2442</x:v>
      </x:c>
      <x:c r="H31" s="32" t="n">
        <x:v>13542</x:v>
      </x:c>
      <x:c r="I31" s="31"/>
      <x:c r="J31" s="31"/>
      <x:c r="K31" s="31"/>
      <x:c r="L31" s="31"/>
    </x:row>
    <x:row r="32">
      <x:c r="A32" s="33" t="n">
        <x:v>45078</x:v>
      </x:c>
      <x:c r="B32" s="31" t="str">
        <x:v>Marketing</x:v>
      </x:c>
      <x:c r="C32" s="31" t="n">
        <x:v>1</x:v>
      </x:c>
      <x:c r="D32" s="31" t="n">
        <x:v>1</x:v>
      </x:c>
      <x:c r="E32" s="31" t="n">
        <x:v>1</x:v>
      </x:c>
      <x:c r="F32" s="32" t="n">
        <x:v>7225</x:v>
      </x:c>
      <x:c r="G32" s="32" t="n">
        <x:v>1589.5</x:v>
      </x:c>
      <x:c r="H32" s="32" t="n">
        <x:v>8814.5</x:v>
      </x:c>
      <x:c r="I32" s="31"/>
      <x:c r="J32" s="31"/>
      <x:c r="K32" s="31"/>
      <x:c r="L32" s="31"/>
    </x:row>
    <x:row r="33">
      <x:c r="A33" s="33" t="n">
        <x:v>45078</x:v>
      </x:c>
      <x:c r="B33" s="31" t="str">
        <x:v>Customer Success</x:v>
      </x:c>
      <x:c r="C33" s="31" t="n">
        <x:v>4</x:v>
      </x:c>
      <x:c r="D33" s="31" t="n">
        <x:v>3</x:v>
      </x:c>
      <x:c r="E33" s="31" t="n">
        <x:v>3</x:v>
      </x:c>
      <x:c r="F33" s="32" t="n">
        <x:v>25525</x:v>
      </x:c>
      <x:c r="G33" s="32" t="n">
        <x:v>5615.5</x:v>
      </x:c>
      <x:c r="H33" s="32" t="n">
        <x:v>31140.5</x:v>
      </x:c>
      <x:c r="I33" s="31"/>
      <x:c r="J33" s="31"/>
      <x:c r="K33" s="31"/>
      <x:c r="L33" s="31"/>
    </x:row>
    <x:row r="34">
      <x:c r="A34" s="33" t="n">
        <x:v>45078</x:v>
      </x:c>
      <x:c r="B34" s="31" t="str">
        <x:v>G&amp;A</x:v>
      </x:c>
      <x:c r="C34" s="31" t="n">
        <x:v>1</x:v>
      </x:c>
      <x:c r="D34" s="31" t="n">
        <x:v>1</x:v>
      </x:c>
      <x:c r="E34" s="31" t="n">
        <x:v>1</x:v>
      </x:c>
      <x:c r="F34" s="32" t="n">
        <x:v>11641.666666666666</x:v>
      </x:c>
      <x:c r="G34" s="32" t="n">
        <x:v>2561.1666666666665</x:v>
      </x:c>
      <x:c r="H34" s="32" t="n">
        <x:v>14202.833333333332</x:v>
      </x:c>
      <x:c r="I34" s="31"/>
      <x:c r="J34" s="31"/>
      <x:c r="K34" s="31"/>
      <x:c r="L34" s="31"/>
    </x:row>
    <x:row r="35">
      <x:c r="A35" s="33" t="n">
        <x:v>45108</x:v>
      </x:c>
      <x:c r="B35" s="31" t="str">
        <x:v>Engineering</x:v>
      </x:c>
      <x:c r="C35" s="31" t="n">
        <x:v>2</x:v>
      </x:c>
      <x:c r="D35" s="31" t="n">
        <x:v>2</x:v>
      </x:c>
      <x:c r="E35" s="31" t="n">
        <x:v>2</x:v>
      </x:c>
      <x:c r="F35" s="32" t="n">
        <x:v>21608.333333333332</x:v>
      </x:c>
      <x:c r="G35" s="32" t="n">
        <x:v>4753.833333333333</x:v>
      </x:c>
      <x:c r="H35" s="32" t="n">
        <x:v>26362.166666666664</x:v>
      </x:c>
      <x:c r="I35" s="31"/>
      <x:c r="J35" s="31"/>
      <x:c r="K35" s="31"/>
      <x:c r="L35" s="31"/>
    </x:row>
    <x:row r="36">
      <x:c r="A36" s="33" t="n">
        <x:v>45108</x:v>
      </x:c>
      <x:c r="B36" s="31" t="str">
        <x:v>Sales</x:v>
      </x:c>
      <x:c r="C36" s="31" t="n">
        <x:v>1</x:v>
      </x:c>
      <x:c r="D36" s="31" t="n">
        <x:v>1</x:v>
      </x:c>
      <x:c r="E36" s="31" t="n">
        <x:v>1</x:v>
      </x:c>
      <x:c r="F36" s="32" t="n">
        <x:v>11100</x:v>
      </x:c>
      <x:c r="G36" s="32" t="n">
        <x:v>2442</x:v>
      </x:c>
      <x:c r="H36" s="32" t="n">
        <x:v>13542</x:v>
      </x:c>
      <x:c r="I36" s="31"/>
      <x:c r="J36" s="31"/>
      <x:c r="K36" s="31"/>
      <x:c r="L36" s="31"/>
    </x:row>
    <x:row r="37">
      <x:c r="A37" s="33" t="n">
        <x:v>45108</x:v>
      </x:c>
      <x:c r="B37" s="31" t="str">
        <x:v>Marketing</x:v>
      </x:c>
      <x:c r="C37" s="31" t="n">
        <x:v>1</x:v>
      </x:c>
      <x:c r="D37" s="31" t="n">
        <x:v>1</x:v>
      </x:c>
      <x:c r="E37" s="31" t="n">
        <x:v>1</x:v>
      </x:c>
      <x:c r="F37" s="32" t="n">
        <x:v>7225</x:v>
      </x:c>
      <x:c r="G37" s="32" t="n">
        <x:v>1589.5</x:v>
      </x:c>
      <x:c r="H37" s="32" t="n">
        <x:v>8814.5</x:v>
      </x:c>
      <x:c r="I37" s="31"/>
      <x:c r="J37" s="31"/>
      <x:c r="K37" s="31"/>
      <x:c r="L37" s="31"/>
    </x:row>
    <x:row r="38">
      <x:c r="A38" s="33" t="n">
        <x:v>45108</x:v>
      </x:c>
      <x:c r="B38" s="31" t="str">
        <x:v>Customer Success</x:v>
      </x:c>
      <x:c r="C38" s="31" t="n">
        <x:v>4</x:v>
      </x:c>
      <x:c r="D38" s="31" t="n">
        <x:v>4</x:v>
      </x:c>
      <x:c r="E38" s="31" t="n">
        <x:v>4</x:v>
      </x:c>
      <x:c r="F38" s="32" t="n">
        <x:v>34433.333333333336</x:v>
      </x:c>
      <x:c r="G38" s="32" t="n">
        <x:v>7575.333333333334</x:v>
      </x:c>
      <x:c r="H38" s="32" t="n">
        <x:v>42008.66666666667</x:v>
      </x:c>
      <x:c r="I38" s="31"/>
      <x:c r="J38" s="31"/>
      <x:c r="K38" s="31"/>
      <x:c r="L38" s="31"/>
    </x:row>
    <x:row r="39">
      <x:c r="A39" s="33" t="n">
        <x:v>45108</x:v>
      </x:c>
      <x:c r="B39" s="31" t="str">
        <x:v>G&amp;A</x:v>
      </x:c>
      <x:c r="C39" s="31" t="n">
        <x:v>1</x:v>
      </x:c>
      <x:c r="D39" s="31" t="n">
        <x:v>1</x:v>
      </x:c>
      <x:c r="E39" s="31" t="n">
        <x:v>1</x:v>
      </x:c>
      <x:c r="F39" s="32" t="n">
        <x:v>11641.666666666666</x:v>
      </x:c>
      <x:c r="G39" s="32" t="n">
        <x:v>2561.1666666666665</x:v>
      </x:c>
      <x:c r="H39" s="32" t="n">
        <x:v>14202.833333333332</x:v>
      </x:c>
      <x:c r="I39" s="31"/>
      <x:c r="J39" s="31"/>
      <x:c r="K39" s="31"/>
      <x:c r="L39" s="31"/>
    </x:row>
    <x:row r="40">
      <x:c r="A40" s="33" t="n">
        <x:v>45139</x:v>
      </x:c>
      <x:c r="B40" s="31" t="str">
        <x:v>Engineering</x:v>
      </x:c>
      <x:c r="C40" s="31" t="n">
        <x:v>3</x:v>
      </x:c>
      <x:c r="D40" s="31" t="n">
        <x:v>3</x:v>
      </x:c>
      <x:c r="E40" s="31" t="n">
        <x:v>3</x:v>
      </x:c>
      <x:c r="F40" s="32" t="n">
        <x:v>36225</x:v>
      </x:c>
      <x:c r="G40" s="32" t="n">
        <x:v>7969.5</x:v>
      </x:c>
      <x:c r="H40" s="32" t="n">
        <x:v>44194.5</x:v>
      </x:c>
      <x:c r="I40" s="31"/>
      <x:c r="J40" s="31"/>
      <x:c r="K40" s="31"/>
      <x:c r="L40" s="31"/>
    </x:row>
    <x:row r="41">
      <x:c r="A41" s="33" t="n">
        <x:v>45139</x:v>
      </x:c>
      <x:c r="B41" s="31" t="str">
        <x:v>Sales</x:v>
      </x:c>
      <x:c r="C41" s="31" t="n">
        <x:v>1</x:v>
      </x:c>
      <x:c r="D41" s="31" t="n">
        <x:v>1</x:v>
      </x:c>
      <x:c r="E41" s="31" t="n">
        <x:v>1</x:v>
      </x:c>
      <x:c r="F41" s="32" t="n">
        <x:v>11100</x:v>
      </x:c>
      <x:c r="G41" s="32" t="n">
        <x:v>2442</x:v>
      </x:c>
      <x:c r="H41" s="32" t="n">
        <x:v>13542</x:v>
      </x:c>
      <x:c r="I41" s="31"/>
      <x:c r="J41" s="31"/>
      <x:c r="K41" s="31"/>
      <x:c r="L41" s="31"/>
    </x:row>
    <x:row r="42">
      <x:c r="A42" s="33" t="n">
        <x:v>45139</x:v>
      </x:c>
      <x:c r="B42" s="31" t="str">
        <x:v>Marketing</x:v>
      </x:c>
      <x:c r="C42" s="31" t="n">
        <x:v>1</x:v>
      </x:c>
      <x:c r="D42" s="31" t="n">
        <x:v>1</x:v>
      </x:c>
      <x:c r="E42" s="31" t="n">
        <x:v>1</x:v>
      </x:c>
      <x:c r="F42" s="32" t="n">
        <x:v>7225</x:v>
      </x:c>
      <x:c r="G42" s="32" t="n">
        <x:v>1589.5</x:v>
      </x:c>
      <x:c r="H42" s="32" t="n">
        <x:v>8814.5</x:v>
      </x:c>
      <x:c r="I42" s="31"/>
      <x:c r="J42" s="31"/>
      <x:c r="K42" s="31"/>
      <x:c r="L42" s="31"/>
    </x:row>
    <x:row r="43">
      <x:c r="A43" s="33" t="n">
        <x:v>45139</x:v>
      </x:c>
      <x:c r="B43" s="31" t="str">
        <x:v>Customer Success</x:v>
      </x:c>
      <x:c r="C43" s="31" t="n">
        <x:v>5</x:v>
      </x:c>
      <x:c r="D43" s="31" t="n">
        <x:v>5</x:v>
      </x:c>
      <x:c r="E43" s="31" t="n">
        <x:v>5</x:v>
      </x:c>
      <x:c r="F43" s="32" t="n">
        <x:v>41700</x:v>
      </x:c>
      <x:c r="G43" s="32" t="n">
        <x:v>9174</x:v>
      </x:c>
      <x:c r="H43" s="32" t="n">
        <x:v>50874</x:v>
      </x:c>
      <x:c r="I43" s="31"/>
      <x:c r="J43" s="31"/>
      <x:c r="K43" s="31"/>
      <x:c r="L43" s="31"/>
    </x:row>
    <x:row r="44">
      <x:c r="A44" s="33" t="n">
        <x:v>45139</x:v>
      </x:c>
      <x:c r="B44" s="31" t="str">
        <x:v>G&amp;A</x:v>
      </x:c>
      <x:c r="C44" s="31" t="n">
        <x:v>1</x:v>
      </x:c>
      <x:c r="D44" s="31" t="n">
        <x:v>1</x:v>
      </x:c>
      <x:c r="E44" s="31" t="n">
        <x:v>1</x:v>
      </x:c>
      <x:c r="F44" s="32" t="n">
        <x:v>11641.666666666666</x:v>
      </x:c>
      <x:c r="G44" s="32" t="n">
        <x:v>2561.1666666666665</x:v>
      </x:c>
      <x:c r="H44" s="32" t="n">
        <x:v>14202.833333333332</x:v>
      </x:c>
      <x:c r="I44" s="31"/>
      <x:c r="J44" s="31"/>
      <x:c r="K44" s="31"/>
      <x:c r="L44" s="31"/>
    </x:row>
    <x:row r="45">
      <x:c r="A45" s="33" t="n">
        <x:v>45170</x:v>
      </x:c>
      <x:c r="B45" s="31" t="str">
        <x:v>Engineering</x:v>
      </x:c>
      <x:c r="C45" s="31" t="n">
        <x:v>6</x:v>
      </x:c>
      <x:c r="D45" s="31" t="n">
        <x:v>6</x:v>
      </x:c>
      <x:c r="E45" s="31" t="n">
        <x:v>6</x:v>
      </x:c>
      <x:c r="F45" s="32" t="n">
        <x:v>73558.33333333333</x:v>
      </x:c>
      <x:c r="G45" s="32" t="n">
        <x:v>16182.833333333332</x:v>
      </x:c>
      <x:c r="H45" s="32" t="n">
        <x:v>89741.16666666666</x:v>
      </x:c>
      <x:c r="I45" s="31"/>
      <x:c r="J45" s="31"/>
      <x:c r="K45" s="31"/>
      <x:c r="L45" s="31"/>
    </x:row>
    <x:row r="46">
      <x:c r="A46" s="33" t="n">
        <x:v>45170</x:v>
      </x:c>
      <x:c r="B46" s="31" t="str">
        <x:v>Sales</x:v>
      </x:c>
      <x:c r="C46" s="31" t="n">
        <x:v>2</x:v>
      </x:c>
      <x:c r="D46" s="31" t="n">
        <x:v>2</x:v>
      </x:c>
      <x:c r="E46" s="31" t="n">
        <x:v>2</x:v>
      </x:c>
      <x:c r="F46" s="32" t="n">
        <x:v>19875</x:v>
      </x:c>
      <x:c r="G46" s="32" t="n">
        <x:v>4372.5</x:v>
      </x:c>
      <x:c r="H46" s="32" t="n">
        <x:v>24247.5</x:v>
      </x:c>
      <x:c r="I46" s="31"/>
      <x:c r="J46" s="31"/>
      <x:c r="K46" s="31"/>
      <x:c r="L46" s="31"/>
    </x:row>
    <x:row r="47">
      <x:c r="A47" s="33" t="n">
        <x:v>45170</x:v>
      </x:c>
      <x:c r="B47" s="31" t="str">
        <x:v>Marketing</x:v>
      </x:c>
      <x:c r="C47" s="31" t="n">
        <x:v>1</x:v>
      </x:c>
      <x:c r="D47" s="31" t="n">
        <x:v>1</x:v>
      </x:c>
      <x:c r="E47" s="31" t="n">
        <x:v>1</x:v>
      </x:c>
      <x:c r="F47" s="32" t="n">
        <x:v>7225</x:v>
      </x:c>
      <x:c r="G47" s="32" t="n">
        <x:v>1589.5</x:v>
      </x:c>
      <x:c r="H47" s="32" t="n">
        <x:v>8814.5</x:v>
      </x:c>
      <x:c r="I47" s="31"/>
      <x:c r="J47" s="31"/>
      <x:c r="K47" s="31"/>
      <x:c r="L47" s="31"/>
    </x:row>
    <x:row r="48">
      <x:c r="A48" s="33" t="n">
        <x:v>45170</x:v>
      </x:c>
      <x:c r="B48" s="31" t="str">
        <x:v>Customer Success</x:v>
      </x:c>
      <x:c r="C48" s="31" t="n">
        <x:v>5</x:v>
      </x:c>
      <x:c r="D48" s="31" t="n">
        <x:v>5</x:v>
      </x:c>
      <x:c r="E48" s="31" t="n">
        <x:v>5</x:v>
      </x:c>
      <x:c r="F48" s="32" t="n">
        <x:v>41700</x:v>
      </x:c>
      <x:c r="G48" s="32" t="n">
        <x:v>9174</x:v>
      </x:c>
      <x:c r="H48" s="32" t="n">
        <x:v>50874</x:v>
      </x:c>
      <x:c r="I48" s="31"/>
      <x:c r="J48" s="31"/>
      <x:c r="K48" s="31"/>
      <x:c r="L48" s="31"/>
    </x:row>
    <x:row r="49">
      <x:c r="A49" s="33" t="n">
        <x:v>45170</x:v>
      </x:c>
      <x:c r="B49" s="31" t="str">
        <x:v>G&amp;A</x:v>
      </x:c>
      <x:c r="C49" s="31" t="n">
        <x:v>1</x:v>
      </x:c>
      <x:c r="D49" s="31" t="n">
        <x:v>1</x:v>
      </x:c>
      <x:c r="E49" s="31" t="n">
        <x:v>1</x:v>
      </x:c>
      <x:c r="F49" s="32" t="n">
        <x:v>11641.666666666666</x:v>
      </x:c>
      <x:c r="G49" s="32" t="n">
        <x:v>2561.1666666666665</x:v>
      </x:c>
      <x:c r="H49" s="32" t="n">
        <x:v>14202.833333333332</x:v>
      </x:c>
      <x:c r="I49" s="31"/>
      <x:c r="J49" s="31"/>
      <x:c r="K49" s="31"/>
      <x:c r="L49" s="31"/>
    </x:row>
    <x:row r="50">
      <x:c r="A50" s="33" t="n">
        <x:v>45200</x:v>
      </x:c>
      <x:c r="B50" s="31" t="str">
        <x:v>Engineering</x:v>
      </x:c>
      <x:c r="C50" s="31" t="n">
        <x:v>7</x:v>
      </x:c>
      <x:c r="D50" s="31" t="n">
        <x:v>7</x:v>
      </x:c>
      <x:c r="E50" s="31" t="n">
        <x:v>7</x:v>
      </x:c>
      <x:c r="F50" s="32" t="n">
        <x:v>85066.66666666667</x:v>
      </x:c>
      <x:c r="G50" s="32" t="n">
        <x:v>18714.666666666668</x:v>
      </x:c>
      <x:c r="H50" s="32" t="n">
        <x:v>103781.33333333334</x:v>
      </x:c>
      <x:c r="I50" s="31"/>
      <x:c r="J50" s="31"/>
      <x:c r="K50" s="31"/>
      <x:c r="L50" s="31"/>
    </x:row>
    <x:row r="51">
      <x:c r="A51" s="33" t="n">
        <x:v>45200</x:v>
      </x:c>
      <x:c r="B51" s="31" t="str">
        <x:v>Sales</x:v>
      </x:c>
      <x:c r="C51" s="31" t="n">
        <x:v>2</x:v>
      </x:c>
      <x:c r="D51" s="31" t="n">
        <x:v>2</x:v>
      </x:c>
      <x:c r="E51" s="31" t="n">
        <x:v>2</x:v>
      </x:c>
      <x:c r="F51" s="32" t="n">
        <x:v>19875</x:v>
      </x:c>
      <x:c r="G51" s="32" t="n">
        <x:v>4372.5</x:v>
      </x:c>
      <x:c r="H51" s="32" t="n">
        <x:v>24247.5</x:v>
      </x:c>
      <x:c r="I51" s="31"/>
      <x:c r="J51" s="31"/>
      <x:c r="K51" s="31"/>
      <x:c r="L51" s="31"/>
    </x:row>
    <x:row r="52">
      <x:c r="A52" s="33" t="n">
        <x:v>45200</x:v>
      </x:c>
      <x:c r="B52" s="31" t="str">
        <x:v>Marketing</x:v>
      </x:c>
      <x:c r="C52" s="31" t="n">
        <x:v>1</x:v>
      </x:c>
      <x:c r="D52" s="31" t="n">
        <x:v>1</x:v>
      </x:c>
      <x:c r="E52" s="31" t="n">
        <x:v>1</x:v>
      </x:c>
      <x:c r="F52" s="32" t="n">
        <x:v>7225</x:v>
      </x:c>
      <x:c r="G52" s="32" t="n">
        <x:v>1589.5</x:v>
      </x:c>
      <x:c r="H52" s="32" t="n">
        <x:v>8814.5</x:v>
      </x:c>
      <x:c r="I52" s="31"/>
      <x:c r="J52" s="31"/>
      <x:c r="K52" s="31"/>
      <x:c r="L52" s="31"/>
    </x:row>
    <x:row r="53">
      <x:c r="A53" s="33" t="n">
        <x:v>45200</x:v>
      </x:c>
      <x:c r="B53" s="31" t="str">
        <x:v>Customer Success</x:v>
      </x:c>
      <x:c r="C53" s="31" t="n">
        <x:v>5</x:v>
      </x:c>
      <x:c r="D53" s="31" t="n">
        <x:v>5</x:v>
      </x:c>
      <x:c r="E53" s="31" t="n">
        <x:v>5</x:v>
      </x:c>
      <x:c r="F53" s="32" t="n">
        <x:v>41700</x:v>
      </x:c>
      <x:c r="G53" s="32" t="n">
        <x:v>9174</x:v>
      </x:c>
      <x:c r="H53" s="32" t="n">
        <x:v>50874</x:v>
      </x:c>
      <x:c r="I53" s="31"/>
      <x:c r="J53" s="31"/>
      <x:c r="K53" s="31"/>
      <x:c r="L53" s="31"/>
    </x:row>
    <x:row r="54">
      <x:c r="A54" s="33" t="n">
        <x:v>45200</x:v>
      </x:c>
      <x:c r="B54" s="31" t="str">
        <x:v>G&amp;A</x:v>
      </x:c>
      <x:c r="C54" s="31" t="n">
        <x:v>1</x:v>
      </x:c>
      <x:c r="D54" s="31" t="n">
        <x:v>1</x:v>
      </x:c>
      <x:c r="E54" s="31" t="n">
        <x:v>1</x:v>
      </x:c>
      <x:c r="F54" s="32" t="n">
        <x:v>11641.666666666666</x:v>
      </x:c>
      <x:c r="G54" s="32" t="n">
        <x:v>2561.1666666666665</x:v>
      </x:c>
      <x:c r="H54" s="32" t="n">
        <x:v>14202.833333333332</x:v>
      </x:c>
      <x:c r="I54" s="31"/>
      <x:c r="J54" s="31"/>
      <x:c r="K54" s="31"/>
      <x:c r="L54" s="31"/>
    </x:row>
    <x:row r="55">
      <x:c r="A55" s="33" t="n">
        <x:v>45231</x:v>
      </x:c>
      <x:c r="B55" s="31" t="str">
        <x:v>Engineering</x:v>
      </x:c>
      <x:c r="C55" s="31" t="n">
        <x:v>7</x:v>
      </x:c>
      <x:c r="D55" s="31" t="n">
        <x:v>8</x:v>
      </x:c>
      <x:c r="E55" s="31" t="n">
        <x:v>8</x:v>
      </x:c>
      <x:c r="F55" s="32" t="n">
        <x:v>95875</x:v>
      </x:c>
      <x:c r="G55" s="32" t="n">
        <x:v>21092.5</x:v>
      </x:c>
      <x:c r="H55" s="32" t="n">
        <x:v>116967.5</x:v>
      </x:c>
      <x:c r="I55" s="31"/>
      <x:c r="J55" s="31"/>
      <x:c r="K55" s="31"/>
      <x:c r="L55" s="31"/>
    </x:row>
    <x:row r="56">
      <x:c r="A56" s="33" t="n">
        <x:v>45231</x:v>
      </x:c>
      <x:c r="B56" s="31" t="str">
        <x:v>Sales</x:v>
      </x:c>
      <x:c r="C56" s="31" t="n">
        <x:v>2</x:v>
      </x:c>
      <x:c r="D56" s="31" t="n">
        <x:v>2</x:v>
      </x:c>
      <x:c r="E56" s="31" t="n">
        <x:v>2</x:v>
      </x:c>
      <x:c r="F56" s="32" t="n">
        <x:v>19875</x:v>
      </x:c>
      <x:c r="G56" s="32" t="n">
        <x:v>4372.5</x:v>
      </x:c>
      <x:c r="H56" s="32" t="n">
        <x:v>24247.5</x:v>
      </x:c>
      <x:c r="I56" s="31"/>
      <x:c r="J56" s="31"/>
      <x:c r="K56" s="31"/>
      <x:c r="L56" s="31"/>
    </x:row>
    <x:row r="57">
      <x:c r="A57" s="33" t="n">
        <x:v>45231</x:v>
      </x:c>
      <x:c r="B57" s="31" t="str">
        <x:v>Marketing</x:v>
      </x:c>
      <x:c r="C57" s="31" t="n">
        <x:v>1</x:v>
      </x:c>
      <x:c r="D57" s="31" t="n">
        <x:v>1</x:v>
      </x:c>
      <x:c r="E57" s="31" t="n">
        <x:v>1</x:v>
      </x:c>
      <x:c r="F57" s="32" t="n">
        <x:v>7225</x:v>
      </x:c>
      <x:c r="G57" s="32" t="n">
        <x:v>1589.5</x:v>
      </x:c>
      <x:c r="H57" s="32" t="n">
        <x:v>8814.5</x:v>
      </x:c>
      <x:c r="I57" s="31"/>
      <x:c r="J57" s="31"/>
      <x:c r="K57" s="31"/>
      <x:c r="L57" s="31"/>
    </x:row>
    <x:row r="58">
      <x:c r="A58" s="33" t="n">
        <x:v>45231</x:v>
      </x:c>
      <x:c r="B58" s="31" t="str">
        <x:v>Customer Success</x:v>
      </x:c>
      <x:c r="C58" s="31" t="n">
        <x:v>5</x:v>
      </x:c>
      <x:c r="D58" s="31" t="n">
        <x:v>5</x:v>
      </x:c>
      <x:c r="E58" s="31" t="n">
        <x:v>5</x:v>
      </x:c>
      <x:c r="F58" s="32" t="n">
        <x:v>41700</x:v>
      </x:c>
      <x:c r="G58" s="32" t="n">
        <x:v>9174</x:v>
      </x:c>
      <x:c r="H58" s="32" t="n">
        <x:v>50874</x:v>
      </x:c>
      <x:c r="I58" s="31"/>
      <x:c r="J58" s="31"/>
      <x:c r="K58" s="31"/>
      <x:c r="L58" s="31"/>
    </x:row>
    <x:row r="59">
      <x:c r="A59" s="33" t="n">
        <x:v>45231</x:v>
      </x:c>
      <x:c r="B59" s="31" t="str">
        <x:v>G&amp;A</x:v>
      </x:c>
      <x:c r="C59" s="31" t="n">
        <x:v>1</x:v>
      </x:c>
      <x:c r="D59" s="31" t="n">
        <x:v>1</x:v>
      </x:c>
      <x:c r="E59" s="31" t="n">
        <x:v>1</x:v>
      </x:c>
      <x:c r="F59" s="32" t="n">
        <x:v>11641.666666666666</x:v>
      </x:c>
      <x:c r="G59" s="32" t="n">
        <x:v>2561.1666666666665</x:v>
      </x:c>
      <x:c r="H59" s="32" t="n">
        <x:v>14202.833333333332</x:v>
      </x:c>
      <x:c r="I59" s="31"/>
      <x:c r="J59" s="31"/>
      <x:c r="K59" s="31"/>
      <x:c r="L59" s="31"/>
    </x:row>
    <x:row r="60">
      <x:c r="A60" s="33" t="n">
        <x:v>45261</x:v>
      </x:c>
      <x:c r="B60" s="31" t="str">
        <x:v>Engineering</x:v>
      </x:c>
      <x:c r="C60" s="31" t="n">
        <x:v>8</x:v>
      </x:c>
      <x:c r="D60" s="31" t="n">
        <x:v>8</x:v>
      </x:c>
      <x:c r="E60" s="31" t="n">
        <x:v>8</x:v>
      </x:c>
      <x:c r="F60" s="32" t="n">
        <x:v>95875</x:v>
      </x:c>
      <x:c r="G60" s="32" t="n">
        <x:v>21092.5</x:v>
      </x:c>
      <x:c r="H60" s="32" t="n">
        <x:v>116967.5</x:v>
      </x:c>
      <x:c r="I60" s="31"/>
      <x:c r="J60" s="31"/>
      <x:c r="K60" s="31"/>
      <x:c r="L60" s="31"/>
    </x:row>
    <x:row r="61">
      <x:c r="A61" s="33" t="n">
        <x:v>45261</x:v>
      </x:c>
      <x:c r="B61" s="31" t="str">
        <x:v>Sales</x:v>
      </x:c>
      <x:c r="C61" s="31" t="n">
        <x:v>2</x:v>
      </x:c>
      <x:c r="D61" s="31" t="n">
        <x:v>2</x:v>
      </x:c>
      <x:c r="E61" s="31" t="n">
        <x:v>2</x:v>
      </x:c>
      <x:c r="F61" s="32" t="n">
        <x:v>19875</x:v>
      </x:c>
      <x:c r="G61" s="32" t="n">
        <x:v>4372.5</x:v>
      </x:c>
      <x:c r="H61" s="32" t="n">
        <x:v>24247.5</x:v>
      </x:c>
      <x:c r="I61" s="31"/>
      <x:c r="J61" s="31"/>
      <x:c r="K61" s="31"/>
      <x:c r="L61" s="31"/>
    </x:row>
    <x:row r="62">
      <x:c r="A62" s="33" t="n">
        <x:v>45261</x:v>
      </x:c>
      <x:c r="B62" s="31" t="str">
        <x:v>Marketing</x:v>
      </x:c>
      <x:c r="C62" s="31" t="n">
        <x:v>1</x:v>
      </x:c>
      <x:c r="D62" s="31" t="n">
        <x:v>1</x:v>
      </x:c>
      <x:c r="E62" s="31" t="n">
        <x:v>1</x:v>
      </x:c>
      <x:c r="F62" s="32" t="n">
        <x:v>7225</x:v>
      </x:c>
      <x:c r="G62" s="32" t="n">
        <x:v>1589.5</x:v>
      </x:c>
      <x:c r="H62" s="32" t="n">
        <x:v>8814.5</x:v>
      </x:c>
      <x:c r="I62" s="31"/>
      <x:c r="J62" s="31"/>
      <x:c r="K62" s="31"/>
      <x:c r="L62" s="31"/>
    </x:row>
    <x:row r="63">
      <x:c r="A63" s="33" t="n">
        <x:v>45261</x:v>
      </x:c>
      <x:c r="B63" s="31" t="str">
        <x:v>Customer Success</x:v>
      </x:c>
      <x:c r="C63" s="31" t="n">
        <x:v>5</x:v>
      </x:c>
      <x:c r="D63" s="31" t="n">
        <x:v>5</x:v>
      </x:c>
      <x:c r="E63" s="31" t="n">
        <x:v>5</x:v>
      </x:c>
      <x:c r="F63" s="32" t="n">
        <x:v>41700</x:v>
      </x:c>
      <x:c r="G63" s="32" t="n">
        <x:v>9174</x:v>
      </x:c>
      <x:c r="H63" s="32" t="n">
        <x:v>50874</x:v>
      </x:c>
      <x:c r="I63" s="31"/>
      <x:c r="J63" s="31"/>
      <x:c r="K63" s="31"/>
      <x:c r="L63" s="31"/>
    </x:row>
    <x:row r="64">
      <x:c r="A64" s="33" t="n">
        <x:v>45261</x:v>
      </x:c>
      <x:c r="B64" s="31" t="str">
        <x:v>G&amp;A</x:v>
      </x:c>
      <x:c r="C64" s="31" t="n">
        <x:v>1</x:v>
      </x:c>
      <x:c r="D64" s="31" t="n">
        <x:v>1</x:v>
      </x:c>
      <x:c r="E64" s="31" t="n">
        <x:v>1</x:v>
      </x:c>
      <x:c r="F64" s="32" t="n">
        <x:v>11641.666666666666</x:v>
      </x:c>
      <x:c r="G64" s="32" t="n">
        <x:v>2561.1666666666665</x:v>
      </x:c>
      <x:c r="H64" s="32" t="n">
        <x:v>14202.833333333332</x:v>
      </x:c>
      <x:c r="I64" s="31"/>
      <x:c r="J64" s="31"/>
      <x:c r="K64" s="31"/>
      <x:c r="L64" s="31"/>
    </x:row>
    <x:row r="65">
      <x:c r="A65" s="33" t="n">
        <x:v>45292</x:v>
      </x:c>
      <x:c r="B65" s="31" t="str">
        <x:v>Engineering</x:v>
      </x:c>
      <x:c r="C65" s="31" t="n">
        <x:v>8</x:v>
      </x:c>
      <x:c r="D65" s="31" t="n">
        <x:v>9</x:v>
      </x:c>
      <x:c r="E65" s="31" t="n">
        <x:v>9</x:v>
      </x:c>
      <x:c r="F65" s="32" t="n">
        <x:v>107575</x:v>
      </x:c>
      <x:c r="G65" s="32" t="n">
        <x:v>23666.5</x:v>
      </x:c>
      <x:c r="H65" s="32" t="n">
        <x:v>131241.5</x:v>
      </x:c>
      <x:c r="I65" s="31"/>
      <x:c r="J65" s="31"/>
      <x:c r="K65" s="31"/>
      <x:c r="L65" s="31"/>
    </x:row>
    <x:row r="66">
      <x:c r="A66" s="33" t="n">
        <x:v>45292</x:v>
      </x:c>
      <x:c r="B66" s="31" t="str">
        <x:v>Sales</x:v>
      </x:c>
      <x:c r="C66" s="31" t="n">
        <x:v>2</x:v>
      </x:c>
      <x:c r="D66" s="31" t="n">
        <x:v>2</x:v>
      </x:c>
      <x:c r="E66" s="31" t="n">
        <x:v>2</x:v>
      </x:c>
      <x:c r="F66" s="32" t="n">
        <x:v>19875</x:v>
      </x:c>
      <x:c r="G66" s="32" t="n">
        <x:v>4372.5</x:v>
      </x:c>
      <x:c r="H66" s="32" t="n">
        <x:v>24247.5</x:v>
      </x:c>
      <x:c r="I66" s="31"/>
      <x:c r="J66" s="31"/>
      <x:c r="K66" s="31"/>
      <x:c r="L66" s="31"/>
    </x:row>
    <x:row r="67">
      <x:c r="A67" s="33" t="n">
        <x:v>45292</x:v>
      </x:c>
      <x:c r="B67" s="31" t="str">
        <x:v>Marketing</x:v>
      </x:c>
      <x:c r="C67" s="31" t="n">
        <x:v>1</x:v>
      </x:c>
      <x:c r="D67" s="31" t="n">
        <x:v>1</x:v>
      </x:c>
      <x:c r="E67" s="31" t="n">
        <x:v>1</x:v>
      </x:c>
      <x:c r="F67" s="32" t="n">
        <x:v>7225</x:v>
      </x:c>
      <x:c r="G67" s="32" t="n">
        <x:v>1589.5</x:v>
      </x:c>
      <x:c r="H67" s="32" t="n">
        <x:v>8814.5</x:v>
      </x:c>
      <x:c r="I67" s="31"/>
      <x:c r="J67" s="31"/>
      <x:c r="K67" s="31"/>
      <x:c r="L67" s="31"/>
    </x:row>
    <x:row r="68">
      <x:c r="A68" s="33" t="n">
        <x:v>45292</x:v>
      </x:c>
      <x:c r="B68" s="31" t="str">
        <x:v>Customer Success</x:v>
      </x:c>
      <x:c r="C68" s="31" t="n">
        <x:v>5</x:v>
      </x:c>
      <x:c r="D68" s="31" t="n">
        <x:v>5</x:v>
      </x:c>
      <x:c r="E68" s="31" t="n">
        <x:v>5</x:v>
      </x:c>
      <x:c r="F68" s="32" t="n">
        <x:v>41700</x:v>
      </x:c>
      <x:c r="G68" s="32" t="n">
        <x:v>9174</x:v>
      </x:c>
      <x:c r="H68" s="32" t="n">
        <x:v>50874</x:v>
      </x:c>
      <x:c r="I68" s="31"/>
      <x:c r="J68" s="31"/>
      <x:c r="K68" s="31"/>
      <x:c r="L68" s="31"/>
    </x:row>
    <x:row r="69">
      <x:c r="A69" s="33" t="n">
        <x:v>45292</x:v>
      </x:c>
      <x:c r="B69" s="31" t="str">
        <x:v>G&amp;A</x:v>
      </x:c>
      <x:c r="C69" s="31" t="n">
        <x:v>1</x:v>
      </x:c>
      <x:c r="D69" s="31" t="n">
        <x:v>1</x:v>
      </x:c>
      <x:c r="E69" s="31" t="n">
        <x:v>1</x:v>
      </x:c>
      <x:c r="F69" s="32" t="n">
        <x:v>11641.666666666666</x:v>
      </x:c>
      <x:c r="G69" s="32" t="n">
        <x:v>2561.1666666666665</x:v>
      </x:c>
      <x:c r="H69" s="32" t="n">
        <x:v>14202.833333333332</x:v>
      </x:c>
      <x:c r="I69" s="31"/>
      <x:c r="J69" s="31"/>
      <x:c r="K69" s="31"/>
      <x:c r="L69" s="31"/>
    </x:row>
    <x:row r="70">
      <x:c r="A70" s="33" t="n">
        <x:v>45323</x:v>
      </x:c>
      <x:c r="B70" s="31" t="str">
        <x:v>Engineering</x:v>
      </x:c>
      <x:c r="C70" s="31" t="n">
        <x:v>9</x:v>
      </x:c>
      <x:c r="D70" s="31" t="n">
        <x:v>9</x:v>
      </x:c>
      <x:c r="E70" s="31" t="n">
        <x:v>9</x:v>
      </x:c>
      <x:c r="F70" s="32" t="n">
        <x:v>107575</x:v>
      </x:c>
      <x:c r="G70" s="32" t="n">
        <x:v>23666.5</x:v>
      </x:c>
      <x:c r="H70" s="32" t="n">
        <x:v>131241.5</x:v>
      </x:c>
      <x:c r="I70" s="31"/>
      <x:c r="J70" s="31"/>
      <x:c r="K70" s="31"/>
      <x:c r="L70" s="31"/>
    </x:row>
    <x:row r="71">
      <x:c r="A71" s="33" t="n">
        <x:v>45323</x:v>
      </x:c>
      <x:c r="B71" s="31" t="str">
        <x:v>Sales</x:v>
      </x:c>
      <x:c r="C71" s="31" t="n">
        <x:v>3</x:v>
      </x:c>
      <x:c r="D71" s="31" t="n">
        <x:v>4</x:v>
      </x:c>
      <x:c r="E71" s="31" t="n">
        <x:v>4</x:v>
      </x:c>
      <x:c r="F71" s="32" t="n">
        <x:v>37050</x:v>
      </x:c>
      <x:c r="G71" s="32" t="n">
        <x:v>8151</x:v>
      </x:c>
      <x:c r="H71" s="32" t="n">
        <x:v>45201</x:v>
      </x:c>
      <x:c r="I71" s="31"/>
      <x:c r="J71" s="31"/>
      <x:c r="K71" s="31"/>
      <x:c r="L71" s="31"/>
    </x:row>
    <x:row r="72">
      <x:c r="A72" s="33" t="n">
        <x:v>45323</x:v>
      </x:c>
      <x:c r="B72" s="31" t="str">
        <x:v>Marketing</x:v>
      </x:c>
      <x:c r="C72" s="31" t="n">
        <x:v>1</x:v>
      </x:c>
      <x:c r="D72" s="31" t="n">
        <x:v>1</x:v>
      </x:c>
      <x:c r="E72" s="31" t="n">
        <x:v>1</x:v>
      </x:c>
      <x:c r="F72" s="32" t="n">
        <x:v>7225</x:v>
      </x:c>
      <x:c r="G72" s="32" t="n">
        <x:v>1589.5</x:v>
      </x:c>
      <x:c r="H72" s="32" t="n">
        <x:v>8814.5</x:v>
      </x:c>
      <x:c r="I72" s="31"/>
      <x:c r="J72" s="31"/>
      <x:c r="K72" s="31"/>
      <x:c r="L72" s="31"/>
    </x:row>
    <x:row r="73">
      <x:c r="A73" s="33" t="n">
        <x:v>45323</x:v>
      </x:c>
      <x:c r="B73" s="31" t="str">
        <x:v>Customer Success</x:v>
      </x:c>
      <x:c r="C73" s="31" t="n">
        <x:v>5</x:v>
      </x:c>
      <x:c r="D73" s="31" t="n">
        <x:v>5</x:v>
      </x:c>
      <x:c r="E73" s="31" t="n">
        <x:v>5</x:v>
      </x:c>
      <x:c r="F73" s="32" t="n">
        <x:v>41700</x:v>
      </x:c>
      <x:c r="G73" s="32" t="n">
        <x:v>9174</x:v>
      </x:c>
      <x:c r="H73" s="32" t="n">
        <x:v>50874</x:v>
      </x:c>
      <x:c r="I73" s="31"/>
      <x:c r="J73" s="31"/>
      <x:c r="K73" s="31"/>
      <x:c r="L73" s="31"/>
    </x:row>
    <x:row r="74">
      <x:c r="A74" s="33" t="n">
        <x:v>45323</x:v>
      </x:c>
      <x:c r="B74" s="31" t="str">
        <x:v>G&amp;A</x:v>
      </x:c>
      <x:c r="C74" s="31" t="n">
        <x:v>1</x:v>
      </x:c>
      <x:c r="D74" s="31" t="n">
        <x:v>1</x:v>
      </x:c>
      <x:c r="E74" s="31" t="n">
        <x:v>1</x:v>
      </x:c>
      <x:c r="F74" s="32" t="n">
        <x:v>11641.666666666666</x:v>
      </x:c>
      <x:c r="G74" s="32" t="n">
        <x:v>2561.1666666666665</x:v>
      </x:c>
      <x:c r="H74" s="32" t="n">
        <x:v>14202.833333333332</x:v>
      </x:c>
      <x:c r="I74" s="31"/>
      <x:c r="J74" s="31"/>
      <x:c r="K74" s="31"/>
      <x:c r="L74" s="31"/>
    </x:row>
    <x:row r="75">
      <x:c r="A75" s="33" t="n">
        <x:v>45352</x:v>
      </x:c>
      <x:c r="B75" s="31" t="str">
        <x:v>Engineering</x:v>
      </x:c>
      <x:c r="C75" s="31" t="n">
        <x:v>9</x:v>
      </x:c>
      <x:c r="D75" s="31" t="n">
        <x:v>10</x:v>
      </x:c>
      <x:c r="E75" s="31" t="n">
        <x:v>10</x:v>
      </x:c>
      <x:c r="F75" s="32" t="n">
        <x:v>120950</x:v>
      </x:c>
      <x:c r="G75" s="32" t="n">
        <x:v>26609</x:v>
      </x:c>
      <x:c r="H75" s="32" t="n">
        <x:v>147559</x:v>
      </x:c>
      <x:c r="I75" s="31"/>
      <x:c r="J75" s="31"/>
      <x:c r="K75" s="31"/>
      <x:c r="L75" s="31"/>
    </x:row>
    <x:row r="76">
      <x:c r="A76" s="33" t="n">
        <x:v>45352</x:v>
      </x:c>
      <x:c r="B76" s="31" t="str">
        <x:v>Sales</x:v>
      </x:c>
      <x:c r="C76" s="31" t="n">
        <x:v>5</x:v>
      </x:c>
      <x:c r="D76" s="31" t="n">
        <x:v>5</x:v>
      </x:c>
      <x:c r="E76" s="31" t="n">
        <x:v>5</x:v>
      </x:c>
      <x:c r="F76" s="32" t="n">
        <x:v>45516.666666666664</x:v>
      </x:c>
      <x:c r="G76" s="32" t="n">
        <x:v>10013.666666666666</x:v>
      </x:c>
      <x:c r="H76" s="32" t="n">
        <x:v>55530.33333333333</x:v>
      </x:c>
      <x:c r="I76" s="31"/>
      <x:c r="J76" s="31"/>
      <x:c r="K76" s="31"/>
      <x:c r="L76" s="31"/>
    </x:row>
    <x:row r="77">
      <x:c r="A77" s="33" t="n">
        <x:v>45352</x:v>
      </x:c>
      <x:c r="B77" s="31" t="str">
        <x:v>Marketing</x:v>
      </x:c>
      <x:c r="C77" s="31" t="n">
        <x:v>1</x:v>
      </x:c>
      <x:c r="D77" s="31" t="n">
        <x:v>1</x:v>
      </x:c>
      <x:c r="E77" s="31" t="n">
        <x:v>1</x:v>
      </x:c>
      <x:c r="F77" s="32" t="n">
        <x:v>7225</x:v>
      </x:c>
      <x:c r="G77" s="32" t="n">
        <x:v>1589.5</x:v>
      </x:c>
      <x:c r="H77" s="32" t="n">
        <x:v>8814.5</x:v>
      </x:c>
      <x:c r="I77" s="31"/>
      <x:c r="J77" s="31"/>
      <x:c r="K77" s="31"/>
      <x:c r="L77" s="31"/>
    </x:row>
    <x:row r="78">
      <x:c r="A78" s="33" t="n">
        <x:v>45352</x:v>
      </x:c>
      <x:c r="B78" s="31" t="str">
        <x:v>Customer Success</x:v>
      </x:c>
      <x:c r="C78" s="31" t="n">
        <x:v>6</x:v>
      </x:c>
      <x:c r="D78" s="31" t="n">
        <x:v>5</x:v>
      </x:c>
      <x:c r="E78" s="31" t="n">
        <x:v>5</x:v>
      </x:c>
      <x:c r="F78" s="32" t="n">
        <x:v>41700</x:v>
      </x:c>
      <x:c r="G78" s="32" t="n">
        <x:v>9174</x:v>
      </x:c>
      <x:c r="H78" s="32" t="n">
        <x:v>50874</x:v>
      </x:c>
      <x:c r="I78" s="31"/>
      <x:c r="J78" s="31"/>
      <x:c r="K78" s="31"/>
      <x:c r="L78" s="31"/>
    </x:row>
    <x:row r="79">
      <x:c r="A79" s="33" t="n">
        <x:v>45352</x:v>
      </x:c>
      <x:c r="B79" s="31" t="str">
        <x:v>G&amp;A</x:v>
      </x:c>
      <x:c r="C79" s="31" t="n">
        <x:v>1</x:v>
      </x:c>
      <x:c r="D79" s="31" t="n">
        <x:v>1</x:v>
      </x:c>
      <x:c r="E79" s="31" t="n">
        <x:v>1</x:v>
      </x:c>
      <x:c r="F79" s="32" t="n">
        <x:v>11641.666666666666</x:v>
      </x:c>
      <x:c r="G79" s="32" t="n">
        <x:v>2561.1666666666665</x:v>
      </x:c>
      <x:c r="H79" s="32" t="n">
        <x:v>14202.833333333332</x:v>
      </x:c>
      <x:c r="I79" s="31"/>
      <x:c r="J79" s="31"/>
      <x:c r="K79" s="31"/>
      <x:c r="L79" s="31"/>
    </x:row>
    <x:row r="80">
      <x:c r="A80" s="33" t="n">
        <x:v>45383</x:v>
      </x:c>
      <x:c r="B80" s="31" t="str">
        <x:v>Engineering</x:v>
      </x:c>
      <x:c r="C80" s="31" t="n">
        <x:v>11</x:v>
      </x:c>
      <x:c r="D80" s="31" t="n">
        <x:v>12</x:v>
      </x:c>
      <x:c r="E80" s="31" t="n">
        <x:v>12</x:v>
      </x:c>
      <x:c r="F80" s="32" t="n">
        <x:v>143941.66666666666</x:v>
      </x:c>
      <x:c r="G80" s="32" t="n">
        <x:v>31667.166666666664</x:v>
      </x:c>
      <x:c r="H80" s="32" t="n">
        <x:v>175608.8333333333</x:v>
      </x:c>
      <x:c r="I80" s="31"/>
      <x:c r="J80" s="31"/>
      <x:c r="K80" s="31"/>
      <x:c r="L80" s="31"/>
    </x:row>
    <x:row r="81">
      <x:c r="A81" s="33" t="n">
        <x:v>45383</x:v>
      </x:c>
      <x:c r="B81" s="31" t="str">
        <x:v>Sales</x:v>
      </x:c>
      <x:c r="C81" s="31" t="n">
        <x:v>5</x:v>
      </x:c>
      <x:c r="D81" s="31" t="n">
        <x:v>5</x:v>
      </x:c>
      <x:c r="E81" s="31" t="n">
        <x:v>5</x:v>
      </x:c>
      <x:c r="F81" s="32" t="n">
        <x:v>45516.666666666664</x:v>
      </x:c>
      <x:c r="G81" s="32" t="n">
        <x:v>10013.666666666666</x:v>
      </x:c>
      <x:c r="H81" s="32" t="n">
        <x:v>55530.33333333333</x:v>
      </x:c>
      <x:c r="I81" s="31"/>
      <x:c r="J81" s="31"/>
      <x:c r="K81" s="31"/>
      <x:c r="L81" s="31"/>
    </x:row>
    <x:row r="82">
      <x:c r="A82" s="33" t="n">
        <x:v>45383</x:v>
      </x:c>
      <x:c r="B82" s="31" t="str">
        <x:v>Marketing</x:v>
      </x:c>
      <x:c r="C82" s="31" t="n">
        <x:v>1</x:v>
      </x:c>
      <x:c r="D82" s="31" t="n">
        <x:v>1</x:v>
      </x:c>
      <x:c r="E82" s="31" t="n">
        <x:v>1</x:v>
      </x:c>
      <x:c r="F82" s="32" t="n">
        <x:v>7225</x:v>
      </x:c>
      <x:c r="G82" s="32" t="n">
        <x:v>1589.5</x:v>
      </x:c>
      <x:c r="H82" s="32" t="n">
        <x:v>8814.5</x:v>
      </x:c>
      <x:c r="I82" s="31"/>
      <x:c r="J82" s="31"/>
      <x:c r="K82" s="31"/>
      <x:c r="L82" s="31"/>
    </x:row>
    <x:row r="83">
      <x:c r="A83" s="33" t="n">
        <x:v>45383</x:v>
      </x:c>
      <x:c r="B83" s="31" t="str">
        <x:v>Customer Success</x:v>
      </x:c>
      <x:c r="C83" s="31" t="n">
        <x:v>6</x:v>
      </x:c>
      <x:c r="D83" s="31" t="n">
        <x:v>6</x:v>
      </x:c>
      <x:c r="E83" s="31" t="n">
        <x:v>6</x:v>
      </x:c>
      <x:c r="F83" s="32" t="n">
        <x:v>49975</x:v>
      </x:c>
      <x:c r="G83" s="32" t="n">
        <x:v>10994.5</x:v>
      </x:c>
      <x:c r="H83" s="32" t="n">
        <x:v>60969.5</x:v>
      </x:c>
      <x:c r="I83" s="31"/>
      <x:c r="J83" s="31"/>
      <x:c r="K83" s="31"/>
      <x:c r="L83" s="31"/>
    </x:row>
    <x:row r="84">
      <x:c r="A84" s="33" t="n">
        <x:v>45383</x:v>
      </x:c>
      <x:c r="B84" s="31" t="str">
        <x:v>G&amp;A</x:v>
      </x:c>
      <x:c r="C84" s="31" t="n">
        <x:v>1</x:v>
      </x:c>
      <x:c r="D84" s="31" t="n">
        <x:v>1</x:v>
      </x:c>
      <x:c r="E84" s="31" t="n">
        <x:v>1</x:v>
      </x:c>
      <x:c r="F84" s="32" t="n">
        <x:v>11641.666666666666</x:v>
      </x:c>
      <x:c r="G84" s="32" t="n">
        <x:v>2561.1666666666665</x:v>
      </x:c>
      <x:c r="H84" s="32" t="n">
        <x:v>14202.833333333332</x:v>
      </x:c>
      <x:c r="I84" s="31"/>
      <x:c r="J84" s="31"/>
      <x:c r="K84" s="31"/>
      <x:c r="L84" s="31"/>
    </x:row>
    <x:row r="85">
      <x:c r="A85" s="33" t="n">
        <x:v>45413</x:v>
      </x:c>
      <x:c r="B85" s="31" t="str">
        <x:v>Engineering</x:v>
      </x:c>
      <x:c r="C85" s="31" t="n">
        <x:v>12</x:v>
      </x:c>
      <x:c r="D85" s="31" t="n">
        <x:v>12</x:v>
      </x:c>
      <x:c r="E85" s="31" t="n">
        <x:v>12</x:v>
      </x:c>
      <x:c r="F85" s="32" t="n">
        <x:v>143941.66666666666</x:v>
      </x:c>
      <x:c r="G85" s="32" t="n">
        <x:v>31667.166666666664</x:v>
      </x:c>
      <x:c r="H85" s="32" t="n">
        <x:v>175608.8333333333</x:v>
      </x:c>
      <x:c r="I85" s="31"/>
      <x:c r="J85" s="31"/>
      <x:c r="K85" s="31"/>
      <x:c r="L85" s="31"/>
    </x:row>
    <x:row r="86">
      <x:c r="A86" s="33" t="n">
        <x:v>45413</x:v>
      </x:c>
      <x:c r="B86" s="31" t="str">
        <x:v>Sales</x:v>
      </x:c>
      <x:c r="C86" s="31" t="n">
        <x:v>5</x:v>
      </x:c>
      <x:c r="D86" s="31" t="n">
        <x:v>5</x:v>
      </x:c>
      <x:c r="E86" s="31" t="n">
        <x:v>5</x:v>
      </x:c>
      <x:c r="F86" s="32" t="n">
        <x:v>45516.666666666664</x:v>
      </x:c>
      <x:c r="G86" s="32" t="n">
        <x:v>10013.666666666666</x:v>
      </x:c>
      <x:c r="H86" s="32" t="n">
        <x:v>55530.33333333333</x:v>
      </x:c>
      <x:c r="I86" s="31"/>
      <x:c r="J86" s="31"/>
      <x:c r="K86" s="31"/>
      <x:c r="L86" s="31"/>
    </x:row>
    <x:row r="87">
      <x:c r="A87" s="33" t="n">
        <x:v>45413</x:v>
      </x:c>
      <x:c r="B87" s="31" t="str">
        <x:v>Marketing</x:v>
      </x:c>
      <x:c r="C87" s="31" t="n">
        <x:v>2</x:v>
      </x:c>
      <x:c r="D87" s="31" t="n">
        <x:v>2</x:v>
      </x:c>
      <x:c r="E87" s="31" t="n">
        <x:v>2</x:v>
      </x:c>
      <x:c r="F87" s="32" t="n">
        <x:v>17091.666666666668</x:v>
      </x:c>
      <x:c r="G87" s="32" t="n">
        <x:v>3760.166666666667</x:v>
      </x:c>
      <x:c r="H87" s="32" t="n">
        <x:v>20851.833333333336</x:v>
      </x:c>
      <x:c r="I87" s="31"/>
      <x:c r="J87" s="31"/>
      <x:c r="K87" s="31"/>
      <x:c r="L87" s="31"/>
    </x:row>
    <x:row r="88">
      <x:c r="A88" s="33" t="n">
        <x:v>45413</x:v>
      </x:c>
      <x:c r="B88" s="31" t="str">
        <x:v>Customer Success</x:v>
      </x:c>
      <x:c r="C88" s="31" t="n">
        <x:v>6</x:v>
      </x:c>
      <x:c r="D88" s="31" t="n">
        <x:v>6</x:v>
      </x:c>
      <x:c r="E88" s="31" t="n">
        <x:v>6</x:v>
      </x:c>
      <x:c r="F88" s="32" t="n">
        <x:v>49975</x:v>
      </x:c>
      <x:c r="G88" s="32" t="n">
        <x:v>10994.5</x:v>
      </x:c>
      <x:c r="H88" s="32" t="n">
        <x:v>60969.5</x:v>
      </x:c>
      <x:c r="I88" s="31"/>
      <x:c r="J88" s="31"/>
      <x:c r="K88" s="31"/>
      <x:c r="L88" s="31"/>
    </x:row>
    <x:row r="89">
      <x:c r="A89" s="33" t="n">
        <x:v>45413</x:v>
      </x:c>
      <x:c r="B89" s="31" t="str">
        <x:v>G&amp;A</x:v>
      </x:c>
      <x:c r="C89" s="31" t="n">
        <x:v>1</x:v>
      </x:c>
      <x:c r="D89" s="31" t="n">
        <x:v>1</x:v>
      </x:c>
      <x:c r="E89" s="31" t="n">
        <x:v>1</x:v>
      </x:c>
      <x:c r="F89" s="32" t="n">
        <x:v>11641.666666666666</x:v>
      </x:c>
      <x:c r="G89" s="32" t="n">
        <x:v>2561.1666666666665</x:v>
      </x:c>
      <x:c r="H89" s="32" t="n">
        <x:v>14202.833333333332</x:v>
      </x:c>
      <x:c r="I89" s="31"/>
      <x:c r="J89" s="31"/>
      <x:c r="K89" s="31"/>
      <x:c r="L89" s="31"/>
    </x:row>
    <x:row r="90">
      <x:c r="A90" s="33" t="n">
        <x:v>45444</x:v>
      </x:c>
      <x:c r="B90" s="31" t="str">
        <x:v>Engineering</x:v>
      </x:c>
      <x:c r="C90" s="31" t="n">
        <x:v>12</x:v>
      </x:c>
      <x:c r="D90" s="31" t="n">
        <x:v>12</x:v>
      </x:c>
      <x:c r="E90" s="31" t="n">
        <x:v>12</x:v>
      </x:c>
      <x:c r="F90" s="32" t="n">
        <x:v>143941.66666666666</x:v>
      </x:c>
      <x:c r="G90" s="32" t="n">
        <x:v>31667.166666666664</x:v>
      </x:c>
      <x:c r="H90" s="32" t="n">
        <x:v>175608.8333333333</x:v>
      </x:c>
      <x:c r="I90" s="31"/>
      <x:c r="J90" s="31"/>
      <x:c r="K90" s="31"/>
      <x:c r="L90" s="31"/>
    </x:row>
    <x:row r="91">
      <x:c r="A91" s="33" t="n">
        <x:v>45444</x:v>
      </x:c>
      <x:c r="B91" s="31" t="str">
        <x:v>Sales</x:v>
      </x:c>
      <x:c r="C91" s="31" t="n">
        <x:v>5</x:v>
      </x:c>
      <x:c r="D91" s="31" t="n">
        <x:v>5</x:v>
      </x:c>
      <x:c r="E91" s="31" t="n">
        <x:v>5</x:v>
      </x:c>
      <x:c r="F91" s="32" t="n">
        <x:v>45516.666666666664</x:v>
      </x:c>
      <x:c r="G91" s="32" t="n">
        <x:v>10013.666666666666</x:v>
      </x:c>
      <x:c r="H91" s="32" t="n">
        <x:v>55530.33333333333</x:v>
      </x:c>
      <x:c r="I91" s="31"/>
      <x:c r="J91" s="31"/>
      <x:c r="K91" s="31"/>
      <x:c r="L91" s="31"/>
    </x:row>
    <x:row r="92">
      <x:c r="A92" s="33" t="n">
        <x:v>45444</x:v>
      </x:c>
      <x:c r="B92" s="31" t="str">
        <x:v>Marketing</x:v>
      </x:c>
      <x:c r="C92" s="31" t="n">
        <x:v>2</x:v>
      </x:c>
      <x:c r="D92" s="31" t="n">
        <x:v>2</x:v>
      </x:c>
      <x:c r="E92" s="31" t="n">
        <x:v>2</x:v>
      </x:c>
      <x:c r="F92" s="32" t="n">
        <x:v>17091.666666666668</x:v>
      </x:c>
      <x:c r="G92" s="32" t="n">
        <x:v>3760.166666666667</x:v>
      </x:c>
      <x:c r="H92" s="32" t="n">
        <x:v>20851.833333333336</x:v>
      </x:c>
      <x:c r="I92" s="31"/>
      <x:c r="J92" s="31"/>
      <x:c r="K92" s="31"/>
      <x:c r="L92" s="31"/>
    </x:row>
    <x:row r="93">
      <x:c r="A93" s="33" t="n">
        <x:v>45444</x:v>
      </x:c>
      <x:c r="B93" s="31" t="str">
        <x:v>Customer Success</x:v>
      </x:c>
      <x:c r="C93" s="31" t="n">
        <x:v>6</x:v>
      </x:c>
      <x:c r="D93" s="31" t="n">
        <x:v>6</x:v>
      </x:c>
      <x:c r="E93" s="31" t="n">
        <x:v>6</x:v>
      </x:c>
      <x:c r="F93" s="32" t="n">
        <x:v>49975</x:v>
      </x:c>
      <x:c r="G93" s="32" t="n">
        <x:v>10994.5</x:v>
      </x:c>
      <x:c r="H93" s="32" t="n">
        <x:v>60969.5</x:v>
      </x:c>
      <x:c r="I93" s="31"/>
      <x:c r="J93" s="31"/>
      <x:c r="K93" s="31"/>
      <x:c r="L93" s="31"/>
    </x:row>
    <x:row r="94">
      <x:c r="A94" s="33" t="n">
        <x:v>45444</x:v>
      </x:c>
      <x:c r="B94" s="31" t="str">
        <x:v>G&amp;A</x:v>
      </x:c>
      <x:c r="C94" s="31" t="n">
        <x:v>1</x:v>
      </x:c>
      <x:c r="D94" s="31" t="n">
        <x:v>2</x:v>
      </x:c>
      <x:c r="E94" s="31" t="n">
        <x:v>2</x:v>
      </x:c>
      <x:c r="F94" s="32" t="n">
        <x:v>19933.333333333332</x:v>
      </x:c>
      <x:c r="G94" s="32" t="n">
        <x:v>4385.333333333333</x:v>
      </x:c>
      <x:c r="H94" s="32" t="n">
        <x:v>24318.666666666664</x:v>
      </x:c>
      <x:c r="I94" s="31"/>
      <x:c r="J94" s="31"/>
      <x:c r="K94" s="31"/>
      <x:c r="L94" s="31"/>
    </x:row>
    <x:row r="95">
      <x:c r="A95" s="33" t="n">
        <x:v>45474</x:v>
      </x:c>
      <x:c r="B95" s="31" t="str">
        <x:v>Engineering</x:v>
      </x:c>
      <x:c r="C95" s="31" t="n">
        <x:v>12</x:v>
      </x:c>
      <x:c r="D95" s="31" t="n">
        <x:v>12</x:v>
      </x:c>
      <x:c r="E95" s="31" t="n">
        <x:v>12</x:v>
      </x:c>
      <x:c r="F95" s="32" t="n">
        <x:v>143941.66666666666</x:v>
      </x:c>
      <x:c r="G95" s="32" t="n">
        <x:v>31667.166666666664</x:v>
      </x:c>
      <x:c r="H95" s="32" t="n">
        <x:v>175608.8333333333</x:v>
      </x:c>
      <x:c r="I95" s="31"/>
      <x:c r="J95" s="31"/>
      <x:c r="K95" s="31"/>
      <x:c r="L95" s="31"/>
    </x:row>
    <x:row r="96">
      <x:c r="A96" s="33" t="n">
        <x:v>45474</x:v>
      </x:c>
      <x:c r="B96" s="31" t="str">
        <x:v>Sales</x:v>
      </x:c>
      <x:c r="C96" s="31" t="n">
        <x:v>5</x:v>
      </x:c>
      <x:c r="D96" s="31" t="n">
        <x:v>5</x:v>
      </x:c>
      <x:c r="E96" s="31" t="n">
        <x:v>5</x:v>
      </x:c>
      <x:c r="F96" s="32" t="n">
        <x:v>45516.666666666664</x:v>
      </x:c>
      <x:c r="G96" s="32" t="n">
        <x:v>10013.666666666666</x:v>
      </x:c>
      <x:c r="H96" s="32" t="n">
        <x:v>55530.33333333333</x:v>
      </x:c>
      <x:c r="I96" s="31"/>
      <x:c r="J96" s="31"/>
      <x:c r="K96" s="31"/>
      <x:c r="L96" s="31"/>
    </x:row>
    <x:row r="97">
      <x:c r="A97" s="33" t="n">
        <x:v>45474</x:v>
      </x:c>
      <x:c r="B97" s="31" t="str">
        <x:v>Marketing</x:v>
      </x:c>
      <x:c r="C97" s="31" t="n">
        <x:v>2</x:v>
      </x:c>
      <x:c r="D97" s="31" t="n">
        <x:v>2</x:v>
      </x:c>
      <x:c r="E97" s="31" t="n">
        <x:v>2</x:v>
      </x:c>
      <x:c r="F97" s="32" t="n">
        <x:v>17091.666666666668</x:v>
      </x:c>
      <x:c r="G97" s="32" t="n">
        <x:v>3760.166666666667</x:v>
      </x:c>
      <x:c r="H97" s="32" t="n">
        <x:v>20851.833333333336</x:v>
      </x:c>
      <x:c r="I97" s="31"/>
      <x:c r="J97" s="31"/>
      <x:c r="K97" s="31"/>
      <x:c r="L97" s="31"/>
    </x:row>
    <x:row r="98">
      <x:c r="A98" s="33" t="n">
        <x:v>45474</x:v>
      </x:c>
      <x:c r="B98" s="31" t="str">
        <x:v>Customer Success</x:v>
      </x:c>
      <x:c r="C98" s="31" t="n">
        <x:v>6</x:v>
      </x:c>
      <x:c r="D98" s="31" t="n">
        <x:v>6</x:v>
      </x:c>
      <x:c r="E98" s="31" t="n">
        <x:v>6</x:v>
      </x:c>
      <x:c r="F98" s="32" t="n">
        <x:v>49975</x:v>
      </x:c>
      <x:c r="G98" s="32" t="n">
        <x:v>10994.5</x:v>
      </x:c>
      <x:c r="H98" s="32" t="n">
        <x:v>60969.5</x:v>
      </x:c>
      <x:c r="I98" s="31"/>
      <x:c r="J98" s="31"/>
      <x:c r="K98" s="31"/>
      <x:c r="L98" s="31"/>
    </x:row>
    <x:row r="99">
      <x:c r="A99" s="33" t="n">
        <x:v>45474</x:v>
      </x:c>
      <x:c r="B99" s="31" t="str">
        <x:v>G&amp;A</x:v>
      </x:c>
      <x:c r="C99" s="31" t="n">
        <x:v>3</x:v>
      </x:c>
      <x:c r="D99" s="31" t="n">
        <x:v>2</x:v>
      </x:c>
      <x:c r="E99" s="31" t="n">
        <x:v>2</x:v>
      </x:c>
      <x:c r="F99" s="32" t="n">
        <x:v>19933.333333333332</x:v>
      </x:c>
      <x:c r="G99" s="32" t="n">
        <x:v>4385.333333333333</x:v>
      </x:c>
      <x:c r="H99" s="32" t="n">
        <x:v>24318.666666666664</x:v>
      </x:c>
      <x:c r="I99" s="31"/>
      <x:c r="J99" s="31"/>
      <x:c r="K99" s="31"/>
      <x:c r="L99" s="31"/>
    </x:row>
    <x:row r="100">
      <x:c r="A100" s="33" t="n">
        <x:v>45505</x:v>
      </x:c>
      <x:c r="B100" s="31" t="str">
        <x:v>Engineering</x:v>
      </x:c>
      <x:c r="C100" s="31" t="n">
        <x:v>12</x:v>
      </x:c>
      <x:c r="D100" s="31" t="n">
        <x:v>12</x:v>
      </x:c>
      <x:c r="E100" s="31" t="n">
        <x:v>12</x:v>
      </x:c>
      <x:c r="F100" s="32" t="n">
        <x:v>143941.66666666666</x:v>
      </x:c>
      <x:c r="G100" s="32" t="n">
        <x:v>31667.166666666664</x:v>
      </x:c>
      <x:c r="H100" s="32" t="n">
        <x:v>175608.8333333333</x:v>
      </x:c>
      <x:c r="I100" s="31"/>
      <x:c r="J100" s="31"/>
      <x:c r="K100" s="31"/>
      <x:c r="L100" s="31"/>
    </x:row>
    <x:row r="101">
      <x:c r="A101" s="33" t="n">
        <x:v>45505</x:v>
      </x:c>
      <x:c r="B101" s="31" t="str">
        <x:v>Sales</x:v>
      </x:c>
      <x:c r="C101" s="31" t="n">
        <x:v>6</x:v>
      </x:c>
      <x:c r="D101" s="31" t="n">
        <x:v>6</x:v>
      </x:c>
      <x:c r="E101" s="31" t="n">
        <x:v>6</x:v>
      </x:c>
      <x:c r="F101" s="32" t="n">
        <x:v>54941.666666666664</x:v>
      </x:c>
      <x:c r="G101" s="32" t="n">
        <x:v>12087.166666666666</x:v>
      </x:c>
      <x:c r="H101" s="32" t="n">
        <x:v>67028.83333333333</x:v>
      </x:c>
      <x:c r="I101" s="31"/>
      <x:c r="J101" s="31"/>
      <x:c r="K101" s="31"/>
      <x:c r="L101" s="31"/>
    </x:row>
    <x:row r="102">
      <x:c r="A102" s="33" t="n">
        <x:v>45505</x:v>
      </x:c>
      <x:c r="B102" s="31" t="str">
        <x:v>Marketing</x:v>
      </x:c>
      <x:c r="C102" s="31" t="n">
        <x:v>2</x:v>
      </x:c>
      <x:c r="D102" s="31" t="n">
        <x:v>2</x:v>
      </x:c>
      <x:c r="E102" s="31" t="n">
        <x:v>2</x:v>
      </x:c>
      <x:c r="F102" s="32" t="n">
        <x:v>17091.666666666668</x:v>
      </x:c>
      <x:c r="G102" s="32" t="n">
        <x:v>3760.166666666667</x:v>
      </x:c>
      <x:c r="H102" s="32" t="n">
        <x:v>20851.833333333336</x:v>
      </x:c>
      <x:c r="I102" s="31"/>
      <x:c r="J102" s="31"/>
      <x:c r="K102" s="31"/>
      <x:c r="L102" s="31"/>
    </x:row>
    <x:row r="103">
      <x:c r="A103" s="33" t="n">
        <x:v>45505</x:v>
      </x:c>
      <x:c r="B103" s="31" t="str">
        <x:v>Customer Success</x:v>
      </x:c>
      <x:c r="C103" s="31" t="n">
        <x:v>6</x:v>
      </x:c>
      <x:c r="D103" s="31" t="n">
        <x:v>6</x:v>
      </x:c>
      <x:c r="E103" s="31" t="n">
        <x:v>6</x:v>
      </x:c>
      <x:c r="F103" s="32" t="n">
        <x:v>49975</x:v>
      </x:c>
      <x:c r="G103" s="32" t="n">
        <x:v>10994.5</x:v>
      </x:c>
      <x:c r="H103" s="32" t="n">
        <x:v>60969.5</x:v>
      </x:c>
      <x:c r="I103" s="31"/>
      <x:c r="J103" s="31"/>
      <x:c r="K103" s="31"/>
      <x:c r="L103" s="31"/>
    </x:row>
    <x:row r="104">
      <x:c r="A104" s="33" t="n">
        <x:v>45505</x:v>
      </x:c>
      <x:c r="B104" s="31" t="str">
        <x:v>G&amp;A</x:v>
      </x:c>
      <x:c r="C104" s="31" t="n">
        <x:v>3</x:v>
      </x:c>
      <x:c r="D104" s="31" t="n">
        <x:v>3</x:v>
      </x:c>
      <x:c r="E104" s="31" t="n">
        <x:v>3</x:v>
      </x:c>
      <x:c r="F104" s="32" t="n">
        <x:v>29741.666666666668</x:v>
      </x:c>
      <x:c r="G104" s="32" t="n">
        <x:v>6543.166666666667</x:v>
      </x:c>
      <x:c r="H104" s="32" t="n">
        <x:v>36284.833333333336</x:v>
      </x:c>
      <x:c r="I104" s="31"/>
      <x:c r="J104" s="31"/>
      <x:c r="K104" s="31"/>
      <x:c r="L104" s="31"/>
    </x:row>
    <x:row r="105">
      <x:c r="A105" s="33" t="n">
        <x:v>45536</x:v>
      </x:c>
      <x:c r="B105" s="31" t="str">
        <x:v>Engineering</x:v>
      </x:c>
      <x:c r="C105" s="31" t="n">
        <x:v>13</x:v>
      </x:c>
      <x:c r="D105" s="31" t="n">
        <x:v>13</x:v>
      </x:c>
      <x:c r="E105" s="31" t="n">
        <x:v>13</x:v>
      </x:c>
      <x:c r="F105" s="32" t="n">
        <x:v>155716.66666666666</x:v>
      </x:c>
      <x:c r="G105" s="32" t="n">
        <x:v>34257.666666666664</x:v>
      </x:c>
      <x:c r="H105" s="32" t="n">
        <x:v>189974.3333333333</x:v>
      </x:c>
      <x:c r="I105" s="31"/>
      <x:c r="J105" s="31"/>
      <x:c r="K105" s="31"/>
      <x:c r="L105" s="31"/>
    </x:row>
    <x:row r="106">
      <x:c r="A106" s="33" t="n">
        <x:v>45536</x:v>
      </x:c>
      <x:c r="B106" s="31" t="str">
        <x:v>Sales</x:v>
      </x:c>
      <x:c r="C106" s="31" t="n">
        <x:v>6</x:v>
      </x:c>
      <x:c r="D106" s="31" t="n">
        <x:v>6</x:v>
      </x:c>
      <x:c r="E106" s="31" t="n">
        <x:v>6</x:v>
      </x:c>
      <x:c r="F106" s="32" t="n">
        <x:v>54941.666666666664</x:v>
      </x:c>
      <x:c r="G106" s="32" t="n">
        <x:v>12087.166666666666</x:v>
      </x:c>
      <x:c r="H106" s="32" t="n">
        <x:v>67028.83333333333</x:v>
      </x:c>
      <x:c r="I106" s="31"/>
      <x:c r="J106" s="31"/>
      <x:c r="K106" s="31"/>
      <x:c r="L106" s="31"/>
    </x:row>
    <x:row r="107">
      <x:c r="A107" s="33" t="n">
        <x:v>45536</x:v>
      </x:c>
      <x:c r="B107" s="31" t="str">
        <x:v>Marketing</x:v>
      </x:c>
      <x:c r="C107" s="31" t="n">
        <x:v>2</x:v>
      </x:c>
      <x:c r="D107" s="31" t="n">
        <x:v>3</x:v>
      </x:c>
      <x:c r="E107" s="31" t="n">
        <x:v>3</x:v>
      </x:c>
      <x:c r="F107" s="32" t="n">
        <x:v>26991.666666666668</x:v>
      </x:c>
      <x:c r="G107" s="32" t="n">
        <x:v>5938.166666666667</x:v>
      </x:c>
      <x:c r="H107" s="32" t="n">
        <x:v>32929.833333333336</x:v>
      </x:c>
      <x:c r="I107" s="31"/>
      <x:c r="J107" s="31"/>
      <x:c r="K107" s="31"/>
      <x:c r="L107" s="31"/>
    </x:row>
    <x:row r="108">
      <x:c r="A108" s="33" t="n">
        <x:v>45536</x:v>
      </x:c>
      <x:c r="B108" s="31" t="str">
        <x:v>Customer Success</x:v>
      </x:c>
      <x:c r="C108" s="31" t="n">
        <x:v>6</x:v>
      </x:c>
      <x:c r="D108" s="31" t="n">
        <x:v>6</x:v>
      </x:c>
      <x:c r="E108" s="31" t="n">
        <x:v>6</x:v>
      </x:c>
      <x:c r="F108" s="32" t="n">
        <x:v>49975</x:v>
      </x:c>
      <x:c r="G108" s="32" t="n">
        <x:v>10994.5</x:v>
      </x:c>
      <x:c r="H108" s="32" t="n">
        <x:v>60969.5</x:v>
      </x:c>
      <x:c r="I108" s="31"/>
      <x:c r="J108" s="31"/>
      <x:c r="K108" s="31"/>
      <x:c r="L108" s="31"/>
    </x:row>
    <x:row r="109">
      <x:c r="A109" s="33" t="n">
        <x:v>45536</x:v>
      </x:c>
      <x:c r="B109" s="31" t="str">
        <x:v>G&amp;A</x:v>
      </x:c>
      <x:c r="C109" s="31" t="n">
        <x:v>3</x:v>
      </x:c>
      <x:c r="D109" s="31" t="n">
        <x:v>3</x:v>
      </x:c>
      <x:c r="E109" s="31" t="n">
        <x:v>3</x:v>
      </x:c>
      <x:c r="F109" s="32" t="n">
        <x:v>29741.666666666668</x:v>
      </x:c>
      <x:c r="G109" s="32" t="n">
        <x:v>6543.166666666667</x:v>
      </x:c>
      <x:c r="H109" s="32" t="n">
        <x:v>36284.833333333336</x:v>
      </x:c>
      <x:c r="I109" s="31"/>
      <x:c r="J109" s="31"/>
      <x:c r="K109" s="31"/>
      <x:c r="L109" s="31"/>
    </x:row>
    <x:row r="110">
      <x:c r="A110" s="33" t="n">
        <x:v>45566</x:v>
      </x:c>
      <x:c r="B110" s="31" t="str">
        <x:v>Engineering</x:v>
      </x:c>
      <x:c r="C110" s="31" t="n">
        <x:v>14</x:v>
      </x:c>
      <x:c r="D110" s="31" t="n">
        <x:v>14</x:v>
      </x:c>
      <x:c r="E110" s="31" t="n">
        <x:v>14</x:v>
      </x:c>
      <x:c r="F110" s="32" t="n">
        <x:v>170008.33333333334</x:v>
      </x:c>
      <x:c r="G110" s="32" t="n">
        <x:v>37401.833333333336</x:v>
      </x:c>
      <x:c r="H110" s="32" t="n">
        <x:v>207410.1666666667</x:v>
      </x:c>
      <x:c r="I110" s="31"/>
      <x:c r="J110" s="31"/>
      <x:c r="K110" s="31"/>
      <x:c r="L110" s="31"/>
    </x:row>
    <x:row r="111">
      <x:c r="A111" s="33" t="n">
        <x:v>45566</x:v>
      </x:c>
      <x:c r="B111" s="31" t="str">
        <x:v>Sales</x:v>
      </x:c>
      <x:c r="C111" s="31" t="n">
        <x:v>6</x:v>
      </x:c>
      <x:c r="D111" s="31" t="n">
        <x:v>6</x:v>
      </x:c>
      <x:c r="E111" s="31" t="n">
        <x:v>6</x:v>
      </x:c>
      <x:c r="F111" s="32" t="n">
        <x:v>54941.666666666664</x:v>
      </x:c>
      <x:c r="G111" s="32" t="n">
        <x:v>12087.166666666666</x:v>
      </x:c>
      <x:c r="H111" s="32" t="n">
        <x:v>67028.83333333333</x:v>
      </x:c>
      <x:c r="I111" s="31"/>
      <x:c r="J111" s="31"/>
      <x:c r="K111" s="31"/>
      <x:c r="L111" s="31"/>
    </x:row>
    <x:row r="112">
      <x:c r="A112" s="33" t="n">
        <x:v>45566</x:v>
      </x:c>
      <x:c r="B112" s="31" t="str">
        <x:v>Marketing</x:v>
      </x:c>
      <x:c r="C112" s="31" t="n">
        <x:v>3</x:v>
      </x:c>
      <x:c r="D112" s="31" t="n">
        <x:v>3</x:v>
      </x:c>
      <x:c r="E112" s="31" t="n">
        <x:v>3</x:v>
      </x:c>
      <x:c r="F112" s="32" t="n">
        <x:v>26991.666666666668</x:v>
      </x:c>
      <x:c r="G112" s="32" t="n">
        <x:v>5938.166666666667</x:v>
      </x:c>
      <x:c r="H112" s="32" t="n">
        <x:v>32929.833333333336</x:v>
      </x:c>
      <x:c r="I112" s="31"/>
      <x:c r="J112" s="31"/>
      <x:c r="K112" s="31"/>
      <x:c r="L112" s="31"/>
    </x:row>
    <x:row r="113">
      <x:c r="A113" s="33" t="n">
        <x:v>45566</x:v>
      </x:c>
      <x:c r="B113" s="31" t="str">
        <x:v>Customer Success</x:v>
      </x:c>
      <x:c r="C113" s="31" t="n">
        <x:v>6</x:v>
      </x:c>
      <x:c r="D113" s="31" t="n">
        <x:v>6</x:v>
      </x:c>
      <x:c r="E113" s="31" t="n">
        <x:v>6</x:v>
      </x:c>
      <x:c r="F113" s="32" t="n">
        <x:v>49975</x:v>
      </x:c>
      <x:c r="G113" s="32" t="n">
        <x:v>10994.5</x:v>
      </x:c>
      <x:c r="H113" s="32" t="n">
        <x:v>60969.5</x:v>
      </x:c>
      <x:c r="I113" s="31"/>
      <x:c r="J113" s="31"/>
      <x:c r="K113" s="31"/>
      <x:c r="L113" s="31"/>
    </x:row>
    <x:row r="114">
      <x:c r="A114" s="33" t="n">
        <x:v>45566</x:v>
      </x:c>
      <x:c r="B114" s="31" t="str">
        <x:v>G&amp;A</x:v>
      </x:c>
      <x:c r="C114" s="31" t="n">
        <x:v>3</x:v>
      </x:c>
      <x:c r="D114" s="31" t="n">
        <x:v>3</x:v>
      </x:c>
      <x:c r="E114" s="31" t="n">
        <x:v>3</x:v>
      </x:c>
      <x:c r="F114" s="32" t="n">
        <x:v>29741.666666666668</x:v>
      </x:c>
      <x:c r="G114" s="32" t="n">
        <x:v>6543.166666666667</x:v>
      </x:c>
      <x:c r="H114" s="32" t="n">
        <x:v>36284.833333333336</x:v>
      </x:c>
      <x:c r="I114" s="31"/>
      <x:c r="J114" s="31"/>
      <x:c r="K114" s="31"/>
      <x:c r="L114" s="31"/>
    </x:row>
    <x:row r="115">
      <x:c r="A115" s="33" t="n">
        <x:v>45597</x:v>
      </x:c>
      <x:c r="B115" s="31" t="str">
        <x:v>Engineering</x:v>
      </x:c>
      <x:c r="C115" s="31" t="n">
        <x:v>15</x:v>
      </x:c>
      <x:c r="D115" s="31" t="n">
        <x:v>14</x:v>
      </x:c>
      <x:c r="E115" s="31" t="n">
        <x:v>14</x:v>
      </x:c>
      <x:c r="F115" s="32" t="n">
        <x:v>170008.33333333334</x:v>
      </x:c>
      <x:c r="G115" s="32" t="n">
        <x:v>37401.833333333336</x:v>
      </x:c>
      <x:c r="H115" s="32" t="n">
        <x:v>207410.1666666667</x:v>
      </x:c>
      <x:c r="I115" s="31"/>
      <x:c r="J115" s="31"/>
      <x:c r="K115" s="31"/>
      <x:c r="L115" s="31"/>
    </x:row>
    <x:row r="116">
      <x:c r="A116" s="33" t="n">
        <x:v>45597</x:v>
      </x:c>
      <x:c r="B116" s="31" t="str">
        <x:v>Sales</x:v>
      </x:c>
      <x:c r="C116" s="31" t="n">
        <x:v>6</x:v>
      </x:c>
      <x:c r="D116" s="31" t="n">
        <x:v>6</x:v>
      </x:c>
      <x:c r="E116" s="31" t="n">
        <x:v>6</x:v>
      </x:c>
      <x:c r="F116" s="32" t="n">
        <x:v>54941.666666666664</x:v>
      </x:c>
      <x:c r="G116" s="32" t="n">
        <x:v>12087.166666666666</x:v>
      </x:c>
      <x:c r="H116" s="32" t="n">
        <x:v>67028.83333333333</x:v>
      </x:c>
      <x:c r="I116" s="31"/>
      <x:c r="J116" s="31"/>
      <x:c r="K116" s="31"/>
      <x:c r="L116" s="31"/>
    </x:row>
    <x:row r="117">
      <x:c r="A117" s="33" t="n">
        <x:v>45597</x:v>
      </x:c>
      <x:c r="B117" s="31" t="str">
        <x:v>Marketing</x:v>
      </x:c>
      <x:c r="C117" s="31" t="n">
        <x:v>3</x:v>
      </x:c>
      <x:c r="D117" s="31" t="n">
        <x:v>3</x:v>
      </x:c>
      <x:c r="E117" s="31" t="n">
        <x:v>3</x:v>
      </x:c>
      <x:c r="F117" s="32" t="n">
        <x:v>26991.666666666668</x:v>
      </x:c>
      <x:c r="G117" s="32" t="n">
        <x:v>5938.166666666667</x:v>
      </x:c>
      <x:c r="H117" s="32" t="n">
        <x:v>32929.833333333336</x:v>
      </x:c>
      <x:c r="I117" s="31"/>
      <x:c r="J117" s="31"/>
      <x:c r="K117" s="31"/>
      <x:c r="L117" s="31"/>
    </x:row>
    <x:row r="118">
      <x:c r="A118" s="33" t="n">
        <x:v>45597</x:v>
      </x:c>
      <x:c r="B118" s="31" t="str">
        <x:v>Customer Success</x:v>
      </x:c>
      <x:c r="C118" s="31" t="n">
        <x:v>6</x:v>
      </x:c>
      <x:c r="D118" s="31" t="n">
        <x:v>6</x:v>
      </x:c>
      <x:c r="E118" s="31" t="n">
        <x:v>6</x:v>
      </x:c>
      <x:c r="F118" s="32" t="n">
        <x:v>49975</x:v>
      </x:c>
      <x:c r="G118" s="32" t="n">
        <x:v>10994.5</x:v>
      </x:c>
      <x:c r="H118" s="32" t="n">
        <x:v>60969.5</x:v>
      </x:c>
      <x:c r="I118" s="31"/>
      <x:c r="J118" s="31"/>
      <x:c r="K118" s="31"/>
      <x:c r="L118" s="31"/>
    </x:row>
    <x:row r="119">
      <x:c r="A119" s="33" t="n">
        <x:v>45597</x:v>
      </x:c>
      <x:c r="B119" s="31" t="str">
        <x:v>G&amp;A</x:v>
      </x:c>
      <x:c r="C119" s="31" t="n">
        <x:v>3</x:v>
      </x:c>
      <x:c r="D119" s="31" t="n">
        <x:v>3</x:v>
      </x:c>
      <x:c r="E119" s="31" t="n">
        <x:v>3</x:v>
      </x:c>
      <x:c r="F119" s="32" t="n">
        <x:v>29741.666666666668</x:v>
      </x:c>
      <x:c r="G119" s="32" t="n">
        <x:v>6543.166666666667</x:v>
      </x:c>
      <x:c r="H119" s="32" t="n">
        <x:v>36284.833333333336</x:v>
      </x:c>
      <x:c r="I119" s="31"/>
      <x:c r="J119" s="31"/>
      <x:c r="K119" s="31"/>
      <x:c r="L119" s="31"/>
    </x:row>
    <x:row r="120">
      <x:c r="A120" s="33" t="n">
        <x:v>45627</x:v>
      </x:c>
      <x:c r="B120" s="31" t="str">
        <x:v>Engineering</x:v>
      </x:c>
      <x:c r="C120" s="31" t="n">
        <x:v>15</x:v>
      </x:c>
      <x:c r="D120" s="31" t="n">
        <x:v>15</x:v>
      </x:c>
      <x:c r="E120" s="31" t="n">
        <x:v>15</x:v>
      </x:c>
      <x:c r="F120" s="32" t="n">
        <x:v>183558.33333333334</x:v>
      </x:c>
      <x:c r="G120" s="32" t="n">
        <x:v>40382.833333333336</x:v>
      </x:c>
      <x:c r="H120" s="32" t="n">
        <x:v>223941.1666666667</x:v>
      </x:c>
      <x:c r="I120" s="31"/>
      <x:c r="J120" s="31"/>
      <x:c r="K120" s="31"/>
      <x:c r="L120" s="31"/>
    </x:row>
    <x:row r="121">
      <x:c r="A121" s="33" t="n">
        <x:v>45627</x:v>
      </x:c>
      <x:c r="B121" s="31" t="str">
        <x:v>Sales</x:v>
      </x:c>
      <x:c r="C121" s="31" t="n">
        <x:v>6</x:v>
      </x:c>
      <x:c r="D121" s="31" t="n">
        <x:v>6</x:v>
      </x:c>
      <x:c r="E121" s="31" t="n">
        <x:v>6</x:v>
      </x:c>
      <x:c r="F121" s="32" t="n">
        <x:v>54941.666666666664</x:v>
      </x:c>
      <x:c r="G121" s="32" t="n">
        <x:v>12087.166666666666</x:v>
      </x:c>
      <x:c r="H121" s="32" t="n">
        <x:v>67028.83333333333</x:v>
      </x:c>
      <x:c r="I121" s="31"/>
      <x:c r="J121" s="31"/>
      <x:c r="K121" s="31"/>
      <x:c r="L121" s="31"/>
    </x:row>
    <x:row r="122">
      <x:c r="A122" s="33" t="n">
        <x:v>45627</x:v>
      </x:c>
      <x:c r="B122" s="31" t="str">
        <x:v>Marketing</x:v>
      </x:c>
      <x:c r="C122" s="31" t="n">
        <x:v>3</x:v>
      </x:c>
      <x:c r="D122" s="31" t="n">
        <x:v>3</x:v>
      </x:c>
      <x:c r="E122" s="31" t="n">
        <x:v>3</x:v>
      </x:c>
      <x:c r="F122" s="32" t="n">
        <x:v>26991.666666666668</x:v>
      </x:c>
      <x:c r="G122" s="32" t="n">
        <x:v>5938.166666666667</x:v>
      </x:c>
      <x:c r="H122" s="32" t="n">
        <x:v>32929.833333333336</x:v>
      </x:c>
      <x:c r="I122" s="31"/>
      <x:c r="J122" s="31"/>
      <x:c r="K122" s="31"/>
      <x:c r="L122" s="31"/>
    </x:row>
    <x:row r="123">
      <x:c r="A123" s="33" t="n">
        <x:v>45627</x:v>
      </x:c>
      <x:c r="B123" s="31" t="str">
        <x:v>Customer Success</x:v>
      </x:c>
      <x:c r="C123" s="31" t="n">
        <x:v>6</x:v>
      </x:c>
      <x:c r="D123" s="31" t="n">
        <x:v>6</x:v>
      </x:c>
      <x:c r="E123" s="31" t="n">
        <x:v>6</x:v>
      </x:c>
      <x:c r="F123" s="32" t="n">
        <x:v>49975</x:v>
      </x:c>
      <x:c r="G123" s="32" t="n">
        <x:v>10994.5</x:v>
      </x:c>
      <x:c r="H123" s="32" t="n">
        <x:v>60969.5</x:v>
      </x:c>
      <x:c r="I123" s="31"/>
      <x:c r="J123" s="31"/>
      <x:c r="K123" s="31"/>
      <x:c r="L123" s="31"/>
    </x:row>
    <x:row r="124">
      <x:c r="A124" s="33" t="n">
        <x:v>45627</x:v>
      </x:c>
      <x:c r="B124" s="31" t="str">
        <x:v>G&amp;A</x:v>
      </x:c>
      <x:c r="C124" s="31" t="n">
        <x:v>3</x:v>
      </x:c>
      <x:c r="D124" s="31" t="n">
        <x:v>3</x:v>
      </x:c>
      <x:c r="E124" s="31" t="n">
        <x:v>3</x:v>
      </x:c>
      <x:c r="F124" s="32" t="n">
        <x:v>29741.666666666668</x:v>
      </x:c>
      <x:c r="G124" s="32" t="n">
        <x:v>6543.166666666667</x:v>
      </x:c>
      <x:c r="H124" s="32" t="n">
        <x:v>36284.833333333336</x:v>
      </x:c>
      <x:c r="I124" s="31"/>
      <x:c r="J124" s="31"/>
      <x:c r="K124" s="31"/>
      <x:c r="L124" s="31"/>
    </x:row>
    <x:row r="125">
      <x:c r="A125" s="33" t="n">
        <x:v>45658</x:v>
      </x:c>
      <x:c r="B125" s="31" t="str">
        <x:v>Engineering</x:v>
      </x:c>
      <x:c r="C125" s="31" t="n">
        <x:v>16</x:v>
      </x:c>
      <x:c r="D125" s="31" t="n">
        <x:v>16</x:v>
      </x:c>
      <x:c r="E125" s="31" t="n">
        <x:v>16</x:v>
      </x:c>
      <x:c r="F125" s="32" t="n">
        <x:v>195816.66666666666</x:v>
      </x:c>
      <x:c r="G125" s="32" t="n">
        <x:v>43079.666666666664</x:v>
      </x:c>
      <x:c r="H125" s="32" t="n">
        <x:v>238896.3333333333</x:v>
      </x:c>
      <x:c r="I125" s="31"/>
      <x:c r="J125" s="31"/>
      <x:c r="K125" s="31"/>
      <x:c r="L125" s="31"/>
    </x:row>
    <x:row r="126">
      <x:c r="A126" s="33" t="n">
        <x:v>45658</x:v>
      </x:c>
      <x:c r="B126" s="31" t="str">
        <x:v>Sales</x:v>
      </x:c>
      <x:c r="C126" s="31" t="n">
        <x:v>7</x:v>
      </x:c>
      <x:c r="D126" s="31" t="n">
        <x:v>6</x:v>
      </x:c>
      <x:c r="E126" s="31" t="n">
        <x:v>6</x:v>
      </x:c>
      <x:c r="F126" s="32" t="n">
        <x:v>54941.666666666664</x:v>
      </x:c>
      <x:c r="G126" s="32" t="n">
        <x:v>12087.166666666666</x:v>
      </x:c>
      <x:c r="H126" s="32" t="n">
        <x:v>67028.83333333333</x:v>
      </x:c>
      <x:c r="I126" s="31"/>
      <x:c r="J126" s="31"/>
      <x:c r="K126" s="31"/>
      <x:c r="L126" s="31"/>
    </x:row>
    <x:row r="127">
      <x:c r="A127" s="33" t="n">
        <x:v>45658</x:v>
      </x:c>
      <x:c r="B127" s="31" t="str">
        <x:v>Marketing</x:v>
      </x:c>
      <x:c r="C127" s="31" t="n">
        <x:v>3</x:v>
      </x:c>
      <x:c r="D127" s="31" t="n">
        <x:v>3</x:v>
      </x:c>
      <x:c r="E127" s="31" t="n">
        <x:v>3</x:v>
      </x:c>
      <x:c r="F127" s="32" t="n">
        <x:v>26991.666666666668</x:v>
      </x:c>
      <x:c r="G127" s="32" t="n">
        <x:v>5938.166666666667</x:v>
      </x:c>
      <x:c r="H127" s="32" t="n">
        <x:v>32929.833333333336</x:v>
      </x:c>
      <x:c r="I127" s="31"/>
      <x:c r="J127" s="31"/>
      <x:c r="K127" s="31"/>
      <x:c r="L127" s="31"/>
    </x:row>
    <x:row r="128">
      <x:c r="A128" s="33" t="n">
        <x:v>45658</x:v>
      </x:c>
      <x:c r="B128" s="31" t="str">
        <x:v>Customer Success</x:v>
      </x:c>
      <x:c r="C128" s="31" t="n">
        <x:v>6</x:v>
      </x:c>
      <x:c r="D128" s="31" t="n">
        <x:v>6</x:v>
      </x:c>
      <x:c r="E128" s="31" t="n">
        <x:v>6</x:v>
      </x:c>
      <x:c r="F128" s="32" t="n">
        <x:v>49975</x:v>
      </x:c>
      <x:c r="G128" s="32" t="n">
        <x:v>10994.5</x:v>
      </x:c>
      <x:c r="H128" s="32" t="n">
        <x:v>60969.5</x:v>
      </x:c>
      <x:c r="I128" s="31"/>
      <x:c r="J128" s="31"/>
      <x:c r="K128" s="31"/>
      <x:c r="L128" s="31"/>
    </x:row>
    <x:row r="129">
      <x:c r="A129" s="33" t="n">
        <x:v>45658</x:v>
      </x:c>
      <x:c r="B129" s="31" t="str">
        <x:v>G&amp;A</x:v>
      </x:c>
      <x:c r="C129" s="31" t="n">
        <x:v>3</x:v>
      </x:c>
      <x:c r="D129" s="31" t="n">
        <x:v>3</x:v>
      </x:c>
      <x:c r="E129" s="31" t="n">
        <x:v>3</x:v>
      </x:c>
      <x:c r="F129" s="32" t="n">
        <x:v>29741.666666666668</x:v>
      </x:c>
      <x:c r="G129" s="32" t="n">
        <x:v>6543.166666666667</x:v>
      </x:c>
      <x:c r="H129" s="32" t="n">
        <x:v>36284.833333333336</x:v>
      </x:c>
      <x:c r="I129" s="31"/>
      <x:c r="J129" s="31"/>
      <x:c r="K129" s="31"/>
      <x:c r="L129" s="31"/>
    </x:row>
    <x:row r="130">
      <x:c r="A130" s="33" t="n">
        <x:v>45689</x:v>
      </x:c>
      <x:c r="B130" s="31" t="str">
        <x:v>Engineering</x:v>
      </x:c>
      <x:c r="C130" s="31" t="n">
        <x:v>17</x:v>
      </x:c>
      <x:c r="D130" s="31" t="n">
        <x:v>17</x:v>
      </x:c>
      <x:c r="E130" s="31" t="n">
        <x:v>17</x:v>
      </x:c>
      <x:c r="F130" s="32" t="n">
        <x:v>210475</x:v>
      </x:c>
      <x:c r="G130" s="32" t="n">
        <x:v>46304.5</x:v>
      </x:c>
      <x:c r="H130" s="32" t="n">
        <x:v>256779.5</x:v>
      </x:c>
      <x:c r="I130" s="31"/>
      <x:c r="J130" s="31"/>
      <x:c r="K130" s="31"/>
      <x:c r="L130" s="31"/>
    </x:row>
    <x:row r="131">
      <x:c r="A131" s="33" t="n">
        <x:v>45689</x:v>
      </x:c>
      <x:c r="B131" s="31" t="str">
        <x:v>Sales</x:v>
      </x:c>
      <x:c r="C131" s="31" t="n">
        <x:v>7</x:v>
      </x:c>
      <x:c r="D131" s="31" t="n">
        <x:v>7</x:v>
      </x:c>
      <x:c r="E131" s="31" t="n">
        <x:v>7</x:v>
      </x:c>
      <x:c r="F131" s="32" t="n">
        <x:v>66750</x:v>
      </x:c>
      <x:c r="G131" s="32" t="n">
        <x:v>14685</x:v>
      </x:c>
      <x:c r="H131" s="32" t="n">
        <x:v>81435</x:v>
      </x:c>
      <x:c r="I131" s="31"/>
      <x:c r="J131" s="31"/>
      <x:c r="K131" s="31"/>
      <x:c r="L131" s="31"/>
    </x:row>
    <x:row r="132">
      <x:c r="A132" s="33" t="n">
        <x:v>45689</x:v>
      </x:c>
      <x:c r="B132" s="31" t="str">
        <x:v>Marketing</x:v>
      </x:c>
      <x:c r="C132" s="31" t="n">
        <x:v>3</x:v>
      </x:c>
      <x:c r="D132" s="31" t="n">
        <x:v>3</x:v>
      </x:c>
      <x:c r="E132" s="31" t="n">
        <x:v>3</x:v>
      </x:c>
      <x:c r="F132" s="32" t="n">
        <x:v>26991.666666666668</x:v>
      </x:c>
      <x:c r="G132" s="32" t="n">
        <x:v>5938.166666666667</x:v>
      </x:c>
      <x:c r="H132" s="32" t="n">
        <x:v>32929.833333333336</x:v>
      </x:c>
      <x:c r="I132" s="31"/>
      <x:c r="J132" s="31"/>
      <x:c r="K132" s="31"/>
      <x:c r="L132" s="31"/>
    </x:row>
    <x:row r="133">
      <x:c r="A133" s="33" t="n">
        <x:v>45689</x:v>
      </x:c>
      <x:c r="B133" s="31" t="str">
        <x:v>Customer Success</x:v>
      </x:c>
      <x:c r="C133" s="31" t="n">
        <x:v>6</x:v>
      </x:c>
      <x:c r="D133" s="31" t="n">
        <x:v>6</x:v>
      </x:c>
      <x:c r="E133" s="31" t="n">
        <x:v>6</x:v>
      </x:c>
      <x:c r="F133" s="32" t="n">
        <x:v>49975</x:v>
      </x:c>
      <x:c r="G133" s="32" t="n">
        <x:v>10994.5</x:v>
      </x:c>
      <x:c r="H133" s="32" t="n">
        <x:v>60969.5</x:v>
      </x:c>
      <x:c r="I133" s="31"/>
      <x:c r="J133" s="31"/>
      <x:c r="K133" s="31"/>
      <x:c r="L133" s="31"/>
    </x:row>
    <x:row r="134">
      <x:c r="A134" s="33" t="n">
        <x:v>45689</x:v>
      </x:c>
      <x:c r="B134" s="31" t="str">
        <x:v>G&amp;A</x:v>
      </x:c>
      <x:c r="C134" s="31" t="n">
        <x:v>4</x:v>
      </x:c>
      <x:c r="D134" s="31" t="n">
        <x:v>4</x:v>
      </x:c>
      <x:c r="E134" s="31" t="n">
        <x:v>4</x:v>
      </x:c>
      <x:c r="F134" s="32" t="n">
        <x:v>42900</x:v>
      </x:c>
      <x:c r="G134" s="32" t="n">
        <x:v>9438</x:v>
      </x:c>
      <x:c r="H134" s="32" t="n">
        <x:v>52338</x:v>
      </x:c>
      <x:c r="I134" s="31"/>
      <x:c r="J134" s="31"/>
      <x:c r="K134" s="31"/>
      <x:c r="L134" s="31"/>
    </x:row>
    <x:row r="135">
      <x:c r="A135" s="33" t="n">
        <x:v>45717</x:v>
      </x:c>
      <x:c r="B135" s="31" t="str">
        <x:v>Engineering</x:v>
      </x:c>
      <x:c r="C135" s="31" t="n">
        <x:v>17</x:v>
      </x:c>
      <x:c r="D135" s="31" t="n">
        <x:v>17</x:v>
      </x:c>
      <x:c r="E135" s="31" t="n">
        <x:v>17</x:v>
      </x:c>
      <x:c r="F135" s="32" t="n">
        <x:v>210475</x:v>
      </x:c>
      <x:c r="G135" s="32" t="n">
        <x:v>46304.5</x:v>
      </x:c>
      <x:c r="H135" s="32" t="n">
        <x:v>256779.5</x:v>
      </x:c>
      <x:c r="I135" s="31"/>
      <x:c r="J135" s="31"/>
      <x:c r="K135" s="31"/>
      <x:c r="L135" s="31"/>
    </x:row>
    <x:row r="136">
      <x:c r="A136" s="33" t="n">
        <x:v>45717</x:v>
      </x:c>
      <x:c r="B136" s="31" t="str">
        <x:v>Sales</x:v>
      </x:c>
      <x:c r="C136" s="31" t="n">
        <x:v>7</x:v>
      </x:c>
      <x:c r="D136" s="31" t="n">
        <x:v>8</x:v>
      </x:c>
      <x:c r="E136" s="31" t="n">
        <x:v>8</x:v>
      </x:c>
      <x:c r="F136" s="32" t="n">
        <x:v>76075</x:v>
      </x:c>
      <x:c r="G136" s="32" t="n">
        <x:v>16736.5</x:v>
      </x:c>
      <x:c r="H136" s="32" t="n">
        <x:v>92811.5</x:v>
      </x:c>
      <x:c r="I136" s="31"/>
      <x:c r="J136" s="31"/>
      <x:c r="K136" s="31"/>
      <x:c r="L136" s="31"/>
    </x:row>
    <x:row r="137">
      <x:c r="A137" s="33" t="n">
        <x:v>45717</x:v>
      </x:c>
      <x:c r="B137" s="31" t="str">
        <x:v>Marketing</x:v>
      </x:c>
      <x:c r="C137" s="31" t="n">
        <x:v>3</x:v>
      </x:c>
      <x:c r="D137" s="31" t="n">
        <x:v>3</x:v>
      </x:c>
      <x:c r="E137" s="31" t="n">
        <x:v>3</x:v>
      </x:c>
      <x:c r="F137" s="32" t="n">
        <x:v>26991.666666666668</x:v>
      </x:c>
      <x:c r="G137" s="32" t="n">
        <x:v>5938.166666666667</x:v>
      </x:c>
      <x:c r="H137" s="32" t="n">
        <x:v>32929.833333333336</x:v>
      </x:c>
      <x:c r="I137" s="31"/>
      <x:c r="J137" s="31"/>
      <x:c r="K137" s="31"/>
      <x:c r="L137" s="31"/>
    </x:row>
    <x:row r="138">
      <x:c r="A138" s="33" t="n">
        <x:v>45717</x:v>
      </x:c>
      <x:c r="B138" s="31" t="str">
        <x:v>Customer Success</x:v>
      </x:c>
      <x:c r="C138" s="31" t="n">
        <x:v>6</x:v>
      </x:c>
      <x:c r="D138" s="31" t="n">
        <x:v>6</x:v>
      </x:c>
      <x:c r="E138" s="31" t="n">
        <x:v>6</x:v>
      </x:c>
      <x:c r="F138" s="32" t="n">
        <x:v>49975</x:v>
      </x:c>
      <x:c r="G138" s="32" t="n">
        <x:v>10994.5</x:v>
      </x:c>
      <x:c r="H138" s="32" t="n">
        <x:v>60969.5</x:v>
      </x:c>
      <x:c r="I138" s="31"/>
      <x:c r="J138" s="31"/>
      <x:c r="K138" s="31"/>
      <x:c r="L138" s="31"/>
    </x:row>
    <x:row r="139">
      <x:c r="A139" s="33" t="n">
        <x:v>45717</x:v>
      </x:c>
      <x:c r="B139" s="31" t="str">
        <x:v>G&amp;A</x:v>
      </x:c>
      <x:c r="C139" s="31" t="n">
        <x:v>4</x:v>
      </x:c>
      <x:c r="D139" s="31" t="n">
        <x:v>4</x:v>
      </x:c>
      <x:c r="E139" s="31" t="n">
        <x:v>4</x:v>
      </x:c>
      <x:c r="F139" s="32" t="n">
        <x:v>42900</x:v>
      </x:c>
      <x:c r="G139" s="32" t="n">
        <x:v>9438</x:v>
      </x:c>
      <x:c r="H139" s="32" t="n">
        <x:v>52338</x:v>
      </x:c>
      <x:c r="I139" s="31"/>
      <x:c r="J139" s="31"/>
      <x:c r="K139" s="31"/>
      <x:c r="L139" s="31"/>
    </x:row>
    <x:row r="140">
      <x:c r="A140" s="33" t="n">
        <x:v>45748</x:v>
      </x:c>
      <x:c r="B140" s="31" t="str">
        <x:v>Engineering</x:v>
      </x:c>
      <x:c r="C140" s="31" t="n">
        <x:v>17</x:v>
      </x:c>
      <x:c r="D140" s="31" t="n">
        <x:v>17</x:v>
      </x:c>
      <x:c r="E140" s="31" t="n">
        <x:v>17</x:v>
      </x:c>
      <x:c r="F140" s="32" t="n">
        <x:v>210475</x:v>
      </x:c>
      <x:c r="G140" s="32" t="n">
        <x:v>46304.5</x:v>
      </x:c>
      <x:c r="H140" s="32" t="n">
        <x:v>256779.5</x:v>
      </x:c>
      <x:c r="I140" s="31"/>
      <x:c r="J140" s="31"/>
      <x:c r="K140" s="31"/>
      <x:c r="L140" s="31"/>
    </x:row>
    <x:row r="141">
      <x:c r="A141" s="33" t="n">
        <x:v>45748</x:v>
      </x:c>
      <x:c r="B141" s="31" t="str">
        <x:v>Sales</x:v>
      </x:c>
      <x:c r="C141" s="31" t="n">
        <x:v>9</x:v>
      </x:c>
      <x:c r="D141" s="31" t="n">
        <x:v>9</x:v>
      </x:c>
      <x:c r="E141" s="31" t="n">
        <x:v>9</x:v>
      </x:c>
      <x:c r="F141" s="32" t="n">
        <x:v>85308.33333333333</x:v>
      </x:c>
      <x:c r="G141" s="32" t="n">
        <x:v>18767.833333333332</x:v>
      </x:c>
      <x:c r="H141" s="32" t="n">
        <x:v>104076.16666666666</x:v>
      </x:c>
      <x:c r="I141" s="31"/>
      <x:c r="J141" s="31"/>
      <x:c r="K141" s="31"/>
      <x:c r="L141" s="31"/>
    </x:row>
    <x:row r="142">
      <x:c r="A142" s="33" t="n">
        <x:v>45748</x:v>
      </x:c>
      <x:c r="B142" s="31" t="str">
        <x:v>Marketing</x:v>
      </x:c>
      <x:c r="C142" s="31" t="n">
        <x:v>3</x:v>
      </x:c>
      <x:c r="D142" s="31" t="n">
        <x:v>3</x:v>
      </x:c>
      <x:c r="E142" s="31" t="n">
        <x:v>3</x:v>
      </x:c>
      <x:c r="F142" s="32" t="n">
        <x:v>26991.666666666668</x:v>
      </x:c>
      <x:c r="G142" s="32" t="n">
        <x:v>5938.166666666667</x:v>
      </x:c>
      <x:c r="H142" s="32" t="n">
        <x:v>32929.833333333336</x:v>
      </x:c>
      <x:c r="I142" s="31"/>
      <x:c r="J142" s="31"/>
      <x:c r="K142" s="31"/>
      <x:c r="L142" s="31"/>
    </x:row>
    <x:row r="143">
      <x:c r="A143" s="33" t="n">
        <x:v>45748</x:v>
      </x:c>
      <x:c r="B143" s="31" t="str">
        <x:v>Customer Success</x:v>
      </x:c>
      <x:c r="C143" s="31" t="n">
        <x:v>6</x:v>
      </x:c>
      <x:c r="D143" s="31" t="n">
        <x:v>6</x:v>
      </x:c>
      <x:c r="E143" s="31" t="n">
        <x:v>6</x:v>
      </x:c>
      <x:c r="F143" s="32" t="n">
        <x:v>49975</x:v>
      </x:c>
      <x:c r="G143" s="32" t="n">
        <x:v>10994.5</x:v>
      </x:c>
      <x:c r="H143" s="32" t="n">
        <x:v>60969.5</x:v>
      </x:c>
      <x:c r="I143" s="31"/>
      <x:c r="J143" s="31"/>
      <x:c r="K143" s="31"/>
      <x:c r="L143" s="31"/>
    </x:row>
    <x:row r="144">
      <x:c r="A144" s="33" t="n">
        <x:v>45748</x:v>
      </x:c>
      <x:c r="B144" s="31" t="str">
        <x:v>G&amp;A</x:v>
      </x:c>
      <x:c r="C144" s="31" t="n">
        <x:v>4</x:v>
      </x:c>
      <x:c r="D144" s="31" t="n">
        <x:v>4</x:v>
      </x:c>
      <x:c r="E144" s="31" t="n">
        <x:v>4</x:v>
      </x:c>
      <x:c r="F144" s="32" t="n">
        <x:v>42900</x:v>
      </x:c>
      <x:c r="G144" s="32" t="n">
        <x:v>9438</x:v>
      </x:c>
      <x:c r="H144" s="32" t="n">
        <x:v>52338</x:v>
      </x:c>
      <x:c r="I144" s="31"/>
      <x:c r="J144" s="31"/>
      <x:c r="K144" s="31"/>
      <x:c r="L144" s="31"/>
    </x:row>
    <x:row r="145">
      <x:c r="A145" s="33" t="n">
        <x:v>45778</x:v>
      </x:c>
      <x:c r="B145" s="31" t="str">
        <x:v>Engineering</x:v>
      </x:c>
      <x:c r="C145" s="31" t="n">
        <x:v>17</x:v>
      </x:c>
      <x:c r="D145" s="31" t="n">
        <x:v>17</x:v>
      </x:c>
      <x:c r="E145" s="31" t="n">
        <x:v>17</x:v>
      </x:c>
      <x:c r="F145" s="32" t="n">
        <x:v>210475</x:v>
      </x:c>
      <x:c r="G145" s="32" t="n">
        <x:v>46304.5</x:v>
      </x:c>
      <x:c r="H145" s="32" t="n">
        <x:v>256779.5</x:v>
      </x:c>
      <x:c r="I145" s="31"/>
      <x:c r="J145" s="31"/>
      <x:c r="K145" s="31"/>
      <x:c r="L145" s="31"/>
    </x:row>
    <x:row r="146">
      <x:c r="A146" s="33" t="n">
        <x:v>45778</x:v>
      </x:c>
      <x:c r="B146" s="31" t="str">
        <x:v>Sales</x:v>
      </x:c>
      <x:c r="C146" s="31" t="n">
        <x:v>9</x:v>
      </x:c>
      <x:c r="D146" s="31" t="n">
        <x:v>9</x:v>
      </x:c>
      <x:c r="E146" s="31" t="n">
        <x:v>9</x:v>
      </x:c>
      <x:c r="F146" s="32" t="n">
        <x:v>85308.33333333333</x:v>
      </x:c>
      <x:c r="G146" s="32" t="n">
        <x:v>18767.833333333332</x:v>
      </x:c>
      <x:c r="H146" s="32" t="n">
        <x:v>104076.16666666666</x:v>
      </x:c>
      <x:c r="I146" s="31"/>
      <x:c r="J146" s="31"/>
      <x:c r="K146" s="31"/>
      <x:c r="L146" s="31"/>
    </x:row>
    <x:row r="147">
      <x:c r="A147" s="33" t="n">
        <x:v>45778</x:v>
      </x:c>
      <x:c r="B147" s="31" t="str">
        <x:v>Marketing</x:v>
      </x:c>
      <x:c r="C147" s="31" t="n">
        <x:v>3</x:v>
      </x:c>
      <x:c r="D147" s="31" t="n">
        <x:v>3</x:v>
      </x:c>
      <x:c r="E147" s="31" t="n">
        <x:v>3</x:v>
      </x:c>
      <x:c r="F147" s="32" t="n">
        <x:v>26991.666666666668</x:v>
      </x:c>
      <x:c r="G147" s="32" t="n">
        <x:v>5938.166666666667</x:v>
      </x:c>
      <x:c r="H147" s="32" t="n">
        <x:v>32929.833333333336</x:v>
      </x:c>
      <x:c r="I147" s="31"/>
      <x:c r="J147" s="31"/>
      <x:c r="K147" s="31"/>
      <x:c r="L147" s="31"/>
    </x:row>
    <x:row r="148">
      <x:c r="A148" s="33" t="n">
        <x:v>45778</x:v>
      </x:c>
      <x:c r="B148" s="31" t="str">
        <x:v>Customer Success</x:v>
      </x:c>
      <x:c r="C148" s="31" t="n">
        <x:v>6</x:v>
      </x:c>
      <x:c r="D148" s="31" t="n">
        <x:v>6</x:v>
      </x:c>
      <x:c r="E148" s="31" t="n">
        <x:v>6</x:v>
      </x:c>
      <x:c r="F148" s="32" t="n">
        <x:v>49975</x:v>
      </x:c>
      <x:c r="G148" s="32" t="n">
        <x:v>10994.5</x:v>
      </x:c>
      <x:c r="H148" s="32" t="n">
        <x:v>60969.5</x:v>
      </x:c>
      <x:c r="I148" s="31"/>
      <x:c r="J148" s="31"/>
      <x:c r="K148" s="31"/>
      <x:c r="L148" s="31"/>
    </x:row>
    <x:row r="149">
      <x:c r="A149" s="33" t="n">
        <x:v>45778</x:v>
      </x:c>
      <x:c r="B149" s="31" t="str">
        <x:v>G&amp;A</x:v>
      </x:c>
      <x:c r="C149" s="31" t="n">
        <x:v>4</x:v>
      </x:c>
      <x:c r="D149" s="31" t="n">
        <x:v>4</x:v>
      </x:c>
      <x:c r="E149" s="31" t="n">
        <x:v>4</x:v>
      </x:c>
      <x:c r="F149" s="32" t="n">
        <x:v>42900</x:v>
      </x:c>
      <x:c r="G149" s="32" t="n">
        <x:v>9438</x:v>
      </x:c>
      <x:c r="H149" s="32" t="n">
        <x:v>52338</x:v>
      </x:c>
      <x:c r="I149" s="31"/>
      <x:c r="J149" s="31"/>
      <x:c r="K149" s="31"/>
      <x:c r="L149" s="31"/>
    </x:row>
    <x:row r="150">
      <x:c r="A150" s="33" t="n">
        <x:v>45809</x:v>
      </x:c>
      <x:c r="B150" s="31" t="str">
        <x:v>Engineering</x:v>
      </x:c>
      <x:c r="C150" s="31" t="n">
        <x:v>17</x:v>
      </x:c>
      <x:c r="D150" s="31" t="n">
        <x:v>17</x:v>
      </x:c>
      <x:c r="E150" s="31" t="n">
        <x:v>17</x:v>
      </x:c>
      <x:c r="F150" s="32" t="n">
        <x:v>210475</x:v>
      </x:c>
      <x:c r="G150" s="32" t="n">
        <x:v>46304.5</x:v>
      </x:c>
      <x:c r="H150" s="32" t="n">
        <x:v>256779.5</x:v>
      </x:c>
      <x:c r="I150" s="31"/>
      <x:c r="J150" s="31"/>
      <x:c r="K150" s="31"/>
      <x:c r="L150" s="31"/>
    </x:row>
    <x:row r="151">
      <x:c r="A151" s="33" t="n">
        <x:v>45809</x:v>
      </x:c>
      <x:c r="B151" s="31" t="str">
        <x:v>Sales</x:v>
      </x:c>
      <x:c r="C151" s="31" t="n">
        <x:v>9</x:v>
      </x:c>
      <x:c r="D151" s="31" t="n">
        <x:v>9</x:v>
      </x:c>
      <x:c r="E151" s="31" t="n">
        <x:v>9</x:v>
      </x:c>
      <x:c r="F151" s="32" t="n">
        <x:v>85308.33333333333</x:v>
      </x:c>
      <x:c r="G151" s="32" t="n">
        <x:v>18767.833333333332</x:v>
      </x:c>
      <x:c r="H151" s="32" t="n">
        <x:v>104076.16666666666</x:v>
      </x:c>
      <x:c r="I151" s="31"/>
      <x:c r="J151" s="31"/>
      <x:c r="K151" s="31"/>
      <x:c r="L151" s="31"/>
    </x:row>
    <x:row r="152">
      <x:c r="A152" s="33" t="n">
        <x:v>45809</x:v>
      </x:c>
      <x:c r="B152" s="31" t="str">
        <x:v>Marketing</x:v>
      </x:c>
      <x:c r="C152" s="31" t="n">
        <x:v>3</x:v>
      </x:c>
      <x:c r="D152" s="31" t="n">
        <x:v>3</x:v>
      </x:c>
      <x:c r="E152" s="31" t="n">
        <x:v>3</x:v>
      </x:c>
      <x:c r="F152" s="32" t="n">
        <x:v>26991.666666666668</x:v>
      </x:c>
      <x:c r="G152" s="32" t="n">
        <x:v>5938.166666666667</x:v>
      </x:c>
      <x:c r="H152" s="32" t="n">
        <x:v>32929.833333333336</x:v>
      </x:c>
      <x:c r="I152" s="31"/>
      <x:c r="J152" s="31"/>
      <x:c r="K152" s="31"/>
      <x:c r="L152" s="31"/>
    </x:row>
    <x:row r="153">
      <x:c r="A153" s="33" t="n">
        <x:v>45809</x:v>
      </x:c>
      <x:c r="B153" s="31" t="str">
        <x:v>Customer Success</x:v>
      </x:c>
      <x:c r="C153" s="31" t="n">
        <x:v>6</x:v>
      </x:c>
      <x:c r="D153" s="31" t="n">
        <x:v>6</x:v>
      </x:c>
      <x:c r="E153" s="31" t="n">
        <x:v>6</x:v>
      </x:c>
      <x:c r="F153" s="32" t="n">
        <x:v>49975</x:v>
      </x:c>
      <x:c r="G153" s="32" t="n">
        <x:v>10994.5</x:v>
      </x:c>
      <x:c r="H153" s="32" t="n">
        <x:v>60969.5</x:v>
      </x:c>
      <x:c r="I153" s="31"/>
      <x:c r="J153" s="31"/>
      <x:c r="K153" s="31"/>
      <x:c r="L153" s="31"/>
    </x:row>
    <x:row r="154">
      <x:c r="A154" s="33" t="n">
        <x:v>45809</x:v>
      </x:c>
      <x:c r="B154" s="31" t="str">
        <x:v>G&amp;A</x:v>
      </x:c>
      <x:c r="C154" s="31" t="n">
        <x:v>4</x:v>
      </x:c>
      <x:c r="D154" s="31" t="n">
        <x:v>4</x:v>
      </x:c>
      <x:c r="E154" s="31" t="n">
        <x:v>4</x:v>
      </x:c>
      <x:c r="F154" s="32" t="n">
        <x:v>42900</x:v>
      </x:c>
      <x:c r="G154" s="32" t="n">
        <x:v>9438</x:v>
      </x:c>
      <x:c r="H154" s="32" t="n">
        <x:v>52338</x:v>
      </x:c>
      <x:c r="I154" s="31"/>
      <x:c r="J154" s="31"/>
      <x:c r="K154" s="31"/>
      <x:c r="L154" s="31"/>
    </x:row>
    <x:row r="155">
      <x:c r="A155" s="33" t="n">
        <x:v>45839</x:v>
      </x:c>
      <x:c r="B155" s="31" t="str">
        <x:v>Engineering</x:v>
      </x:c>
      <x:c r="C155" s="31" t="n">
        <x:v>17</x:v>
      </x:c>
      <x:c r="D155" s="31" t="n">
        <x:v>17</x:v>
      </x:c>
      <x:c r="E155" s="31" t="n">
        <x:v>17</x:v>
      </x:c>
      <x:c r="F155" s="32" t="n">
        <x:v>210475</x:v>
      </x:c>
      <x:c r="G155" s="32" t="n">
        <x:v>46304.5</x:v>
      </x:c>
      <x:c r="H155" s="32" t="n">
        <x:v>256779.5</x:v>
      </x:c>
      <x:c r="I155" s="31"/>
      <x:c r="J155" s="31"/>
      <x:c r="K155" s="31"/>
      <x:c r="L155" s="31"/>
    </x:row>
    <x:row r="156">
      <x:c r="A156" s="33" t="n">
        <x:v>45839</x:v>
      </x:c>
      <x:c r="B156" s="31" t="str">
        <x:v>Sales</x:v>
      </x:c>
      <x:c r="C156" s="31" t="n">
        <x:v>9</x:v>
      </x:c>
      <x:c r="D156" s="31" t="n">
        <x:v>9</x:v>
      </x:c>
      <x:c r="E156" s="31" t="n">
        <x:v>9</x:v>
      </x:c>
      <x:c r="F156" s="32" t="n">
        <x:v>85308.33333333333</x:v>
      </x:c>
      <x:c r="G156" s="32" t="n">
        <x:v>18767.833333333332</x:v>
      </x:c>
      <x:c r="H156" s="32" t="n">
        <x:v>104076.16666666666</x:v>
      </x:c>
      <x:c r="I156" s="31"/>
      <x:c r="J156" s="31"/>
      <x:c r="K156" s="31"/>
      <x:c r="L156" s="31"/>
    </x:row>
    <x:row r="157">
      <x:c r="A157" s="33" t="n">
        <x:v>45839</x:v>
      </x:c>
      <x:c r="B157" s="31" t="str">
        <x:v>Marketing</x:v>
      </x:c>
      <x:c r="C157" s="31" t="n">
        <x:v>3</x:v>
      </x:c>
      <x:c r="D157" s="31" t="n">
        <x:v>3</x:v>
      </x:c>
      <x:c r="E157" s="31" t="n">
        <x:v>3</x:v>
      </x:c>
      <x:c r="F157" s="32" t="n">
        <x:v>26991.666666666668</x:v>
      </x:c>
      <x:c r="G157" s="32" t="n">
        <x:v>5938.166666666667</x:v>
      </x:c>
      <x:c r="H157" s="32" t="n">
        <x:v>32929.833333333336</x:v>
      </x:c>
      <x:c r="I157" s="31"/>
      <x:c r="J157" s="31"/>
      <x:c r="K157" s="31"/>
      <x:c r="L157" s="31"/>
    </x:row>
    <x:row r="158">
      <x:c r="A158" s="33" t="n">
        <x:v>45839</x:v>
      </x:c>
      <x:c r="B158" s="31" t="str">
        <x:v>Customer Success</x:v>
      </x:c>
      <x:c r="C158" s="31" t="n">
        <x:v>6</x:v>
      </x:c>
      <x:c r="D158" s="31" t="n">
        <x:v>6</x:v>
      </x:c>
      <x:c r="E158" s="31" t="n">
        <x:v>6</x:v>
      </x:c>
      <x:c r="F158" s="32" t="n">
        <x:v>49975</x:v>
      </x:c>
      <x:c r="G158" s="32" t="n">
        <x:v>10994.5</x:v>
      </x:c>
      <x:c r="H158" s="32" t="n">
        <x:v>60969.5</x:v>
      </x:c>
      <x:c r="I158" s="31"/>
      <x:c r="J158" s="31"/>
      <x:c r="K158" s="31"/>
      <x:c r="L158" s="31"/>
    </x:row>
    <x:row r="159">
      <x:c r="A159" s="33" t="n">
        <x:v>45839</x:v>
      </x:c>
      <x:c r="B159" s="31" t="str">
        <x:v>G&amp;A</x:v>
      </x:c>
      <x:c r="C159" s="31" t="n">
        <x:v>4</x:v>
      </x:c>
      <x:c r="D159" s="31" t="n">
        <x:v>4</x:v>
      </x:c>
      <x:c r="E159" s="31" t="n">
        <x:v>4</x:v>
      </x:c>
      <x:c r="F159" s="32" t="n">
        <x:v>42900</x:v>
      </x:c>
      <x:c r="G159" s="32" t="n">
        <x:v>9438</x:v>
      </x:c>
      <x:c r="H159" s="32" t="n">
        <x:v>52338</x:v>
      </x:c>
      <x:c r="I159" s="31"/>
      <x:c r="J159" s="31"/>
      <x:c r="K159" s="31"/>
      <x:c r="L159" s="31"/>
    </x:row>
    <x:row r="160">
      <x:c r="A160" s="33" t="n">
        <x:v>45870</x:v>
      </x:c>
      <x:c r="B160" s="31" t="str">
        <x:v>Engineering</x:v>
      </x:c>
      <x:c r="C160" s="31" t="n">
        <x:v>17</x:v>
      </x:c>
      <x:c r="D160" s="31" t="n">
        <x:v>17</x:v>
      </x:c>
      <x:c r="E160" s="31" t="n">
        <x:v>17</x:v>
      </x:c>
      <x:c r="F160" s="32" t="n">
        <x:v>210475</x:v>
      </x:c>
      <x:c r="G160" s="32" t="n">
        <x:v>46304.5</x:v>
      </x:c>
      <x:c r="H160" s="32" t="n">
        <x:v>256779.5</x:v>
      </x:c>
      <x:c r="I160" s="31"/>
      <x:c r="J160" s="31"/>
      <x:c r="K160" s="31"/>
      <x:c r="L160" s="31"/>
    </x:row>
    <x:row r="161">
      <x:c r="A161" s="33" t="n">
        <x:v>45870</x:v>
      </x:c>
      <x:c r="B161" s="31" t="str">
        <x:v>Sales</x:v>
      </x:c>
      <x:c r="C161" s="31" t="n">
        <x:v>9</x:v>
      </x:c>
      <x:c r="D161" s="31" t="n">
        <x:v>9</x:v>
      </x:c>
      <x:c r="E161" s="31" t="n">
        <x:v>9</x:v>
      </x:c>
      <x:c r="F161" s="32" t="n">
        <x:v>85308.33333333333</x:v>
      </x:c>
      <x:c r="G161" s="32" t="n">
        <x:v>18767.833333333332</x:v>
      </x:c>
      <x:c r="H161" s="32" t="n">
        <x:v>104076.16666666666</x:v>
      </x:c>
      <x:c r="I161" s="31"/>
      <x:c r="J161" s="31"/>
      <x:c r="K161" s="31"/>
      <x:c r="L161" s="31"/>
    </x:row>
    <x:row r="162">
      <x:c r="A162" s="33" t="n">
        <x:v>45870</x:v>
      </x:c>
      <x:c r="B162" s="31" t="str">
        <x:v>Marketing</x:v>
      </x:c>
      <x:c r="C162" s="31" t="n">
        <x:v>3</x:v>
      </x:c>
      <x:c r="D162" s="31" t="n">
        <x:v>3</x:v>
      </x:c>
      <x:c r="E162" s="31" t="n">
        <x:v>3</x:v>
      </x:c>
      <x:c r="F162" s="32" t="n">
        <x:v>26991.666666666668</x:v>
      </x:c>
      <x:c r="G162" s="32" t="n">
        <x:v>5938.166666666667</x:v>
      </x:c>
      <x:c r="H162" s="32" t="n">
        <x:v>32929.833333333336</x:v>
      </x:c>
      <x:c r="I162" s="31"/>
      <x:c r="J162" s="31"/>
      <x:c r="K162" s="31"/>
      <x:c r="L162" s="31"/>
    </x:row>
    <x:row r="163">
      <x:c r="A163" s="33" t="n">
        <x:v>45870</x:v>
      </x:c>
      <x:c r="B163" s="31" t="str">
        <x:v>Customer Success</x:v>
      </x:c>
      <x:c r="C163" s="31" t="n">
        <x:v>6</x:v>
      </x:c>
      <x:c r="D163" s="31" t="n">
        <x:v>6</x:v>
      </x:c>
      <x:c r="E163" s="31" t="n">
        <x:v>6</x:v>
      </x:c>
      <x:c r="F163" s="32" t="n">
        <x:v>49975</x:v>
      </x:c>
      <x:c r="G163" s="32" t="n">
        <x:v>10994.5</x:v>
      </x:c>
      <x:c r="H163" s="32" t="n">
        <x:v>60969.5</x:v>
      </x:c>
      <x:c r="I163" s="31"/>
      <x:c r="J163" s="31"/>
      <x:c r="K163" s="31"/>
      <x:c r="L163" s="31"/>
    </x:row>
    <x:row r="164">
      <x:c r="A164" s="33" t="n">
        <x:v>45870</x:v>
      </x:c>
      <x:c r="B164" s="31" t="str">
        <x:v>G&amp;A</x:v>
      </x:c>
      <x:c r="C164" s="31" t="n">
        <x:v>4</x:v>
      </x:c>
      <x:c r="D164" s="31" t="n">
        <x:v>4</x:v>
      </x:c>
      <x:c r="E164" s="31" t="n">
        <x:v>4</x:v>
      </x:c>
      <x:c r="F164" s="32" t="n">
        <x:v>42900</x:v>
      </x:c>
      <x:c r="G164" s="32" t="n">
        <x:v>9438</x:v>
      </x:c>
      <x:c r="H164" s="32" t="n">
        <x:v>52338</x:v>
      </x:c>
      <x:c r="I164" s="31"/>
      <x:c r="J164" s="31"/>
      <x:c r="K164" s="31"/>
      <x:c r="L164" s="31"/>
    </x:row>
    <x:row r="165">
      <x:c r="A165" s="33" t="n">
        <x:v>45901</x:v>
      </x:c>
      <x:c r="B165" s="31" t="str">
        <x:v>Engineering</x:v>
      </x:c>
      <x:c r="C165" s="31" t="n">
        <x:v>17</x:v>
      </x:c>
      <x:c r="D165" s="31" t="n">
        <x:v>17</x:v>
      </x:c>
      <x:c r="E165" s="31" t="n">
        <x:v>17</x:v>
      </x:c>
      <x:c r="F165" s="32" t="n">
        <x:v>210475</x:v>
      </x:c>
      <x:c r="G165" s="32" t="n">
        <x:v>46304.5</x:v>
      </x:c>
      <x:c r="H165" s="32" t="n">
        <x:v>256779.5</x:v>
      </x:c>
      <x:c r="I165" s="31"/>
      <x:c r="J165" s="31"/>
      <x:c r="K165" s="31"/>
      <x:c r="L165" s="31"/>
    </x:row>
    <x:row r="166">
      <x:c r="A166" s="33" t="n">
        <x:v>45901</x:v>
      </x:c>
      <x:c r="B166" s="31" t="str">
        <x:v>Sales</x:v>
      </x:c>
      <x:c r="C166" s="31" t="n">
        <x:v>9</x:v>
      </x:c>
      <x:c r="D166" s="31" t="n">
        <x:v>9</x:v>
      </x:c>
      <x:c r="E166" s="31" t="n">
        <x:v>9</x:v>
      </x:c>
      <x:c r="F166" s="32" t="n">
        <x:v>85308.33333333333</x:v>
      </x:c>
      <x:c r="G166" s="32" t="n">
        <x:v>18767.833333333332</x:v>
      </x:c>
      <x:c r="H166" s="32" t="n">
        <x:v>104076.16666666666</x:v>
      </x:c>
      <x:c r="I166" s="31"/>
      <x:c r="J166" s="31"/>
      <x:c r="K166" s="31"/>
      <x:c r="L166" s="31"/>
    </x:row>
    <x:row r="167">
      <x:c r="A167" s="33" t="n">
        <x:v>45901</x:v>
      </x:c>
      <x:c r="B167" s="31" t="str">
        <x:v>Marketing</x:v>
      </x:c>
      <x:c r="C167" s="31" t="n">
        <x:v>4</x:v>
      </x:c>
      <x:c r="D167" s="31" t="n">
        <x:v>5</x:v>
      </x:c>
      <x:c r="E167" s="31" t="n">
        <x:v>5</x:v>
      </x:c>
      <x:c r="F167" s="32" t="n">
        <x:v>46208.333333333336</x:v>
      </x:c>
      <x:c r="G167" s="32" t="n">
        <x:v>10165.833333333334</x:v>
      </x:c>
      <x:c r="H167" s="32" t="n">
        <x:v>56374.16666666667</x:v>
      </x:c>
      <x:c r="I167" s="31"/>
      <x:c r="J167" s="31"/>
      <x:c r="K167" s="31"/>
      <x:c r="L167" s="31"/>
    </x:row>
    <x:row r="168">
      <x:c r="A168" s="33" t="n">
        <x:v>45901</x:v>
      </x:c>
      <x:c r="B168" s="31" t="str">
        <x:v>Customer Success</x:v>
      </x:c>
      <x:c r="C168" s="31" t="n">
        <x:v>6</x:v>
      </x:c>
      <x:c r="D168" s="31" t="n">
        <x:v>6</x:v>
      </x:c>
      <x:c r="E168" s="31" t="n">
        <x:v>6</x:v>
      </x:c>
      <x:c r="F168" s="32" t="n">
        <x:v>49975</x:v>
      </x:c>
      <x:c r="G168" s="32" t="n">
        <x:v>10994.5</x:v>
      </x:c>
      <x:c r="H168" s="32" t="n">
        <x:v>60969.5</x:v>
      </x:c>
      <x:c r="I168" s="31"/>
      <x:c r="J168" s="31"/>
      <x:c r="K168" s="31"/>
      <x:c r="L168" s="31"/>
    </x:row>
    <x:row r="169">
      <x:c r="A169" s="33" t="n">
        <x:v>45901</x:v>
      </x:c>
      <x:c r="B169" s="31" t="str">
        <x:v>G&amp;A</x:v>
      </x:c>
      <x:c r="C169" s="31" t="n">
        <x:v>4</x:v>
      </x:c>
      <x:c r="D169" s="31" t="n">
        <x:v>4</x:v>
      </x:c>
      <x:c r="E169" s="31" t="n">
        <x:v>4</x:v>
      </x:c>
      <x:c r="F169" s="32" t="n">
        <x:v>42900</x:v>
      </x:c>
      <x:c r="G169" s="32" t="n">
        <x:v>9438</x:v>
      </x:c>
      <x:c r="H169" s="32" t="n">
        <x:v>52338</x:v>
      </x:c>
      <x:c r="I169" s="31"/>
      <x:c r="J169" s="31"/>
      <x:c r="K169" s="31"/>
      <x:c r="L169" s="31"/>
    </x:row>
    <x:row r="170">
      <x:c r="A170" s="33" t="n">
        <x:v>45931</x:v>
      </x:c>
      <x:c r="B170" s="31" t="str">
        <x:v>Engineering</x:v>
      </x:c>
      <x:c r="C170" s="31" t="n">
        <x:v>17</x:v>
      </x:c>
      <x:c r="D170" s="31" t="n">
        <x:v>17</x:v>
      </x:c>
      <x:c r="E170" s="31" t="n">
        <x:v>17</x:v>
      </x:c>
      <x:c r="F170" s="32" t="n">
        <x:v>210475</x:v>
      </x:c>
      <x:c r="G170" s="32" t="n">
        <x:v>46304.5</x:v>
      </x:c>
      <x:c r="H170" s="32" t="n">
        <x:v>256779.5</x:v>
      </x:c>
      <x:c r="I170" s="31"/>
      <x:c r="J170" s="31"/>
      <x:c r="K170" s="31"/>
      <x:c r="L170" s="31"/>
    </x:row>
    <x:row r="171">
      <x:c r="A171" s="33" t="n">
        <x:v>45931</x:v>
      </x:c>
      <x:c r="B171" s="31" t="str">
        <x:v>Sales</x:v>
      </x:c>
      <x:c r="C171" s="31" t="n">
        <x:v>9</x:v>
      </x:c>
      <x:c r="D171" s="31" t="n">
        <x:v>9</x:v>
      </x:c>
      <x:c r="E171" s="31" t="n">
        <x:v>9</x:v>
      </x:c>
      <x:c r="F171" s="32" t="n">
        <x:v>85308.33333333333</x:v>
      </x:c>
      <x:c r="G171" s="32" t="n">
        <x:v>18767.833333333332</x:v>
      </x:c>
      <x:c r="H171" s="32" t="n">
        <x:v>104076.16666666666</x:v>
      </x:c>
      <x:c r="I171" s="31"/>
      <x:c r="J171" s="31"/>
      <x:c r="K171" s="31"/>
      <x:c r="L171" s="31"/>
    </x:row>
    <x:row r="172">
      <x:c r="A172" s="33" t="n">
        <x:v>45931</x:v>
      </x:c>
      <x:c r="B172" s="31" t="str">
        <x:v>Marketing</x:v>
      </x:c>
      <x:c r="C172" s="31" t="n">
        <x:v>5</x:v>
      </x:c>
      <x:c r="D172" s="31" t="n">
        <x:v>5</x:v>
      </x:c>
      <x:c r="E172" s="31" t="n">
        <x:v>5</x:v>
      </x:c>
      <x:c r="F172" s="32" t="n">
        <x:v>46208.333333333336</x:v>
      </x:c>
      <x:c r="G172" s="32" t="n">
        <x:v>10165.833333333334</x:v>
      </x:c>
      <x:c r="H172" s="32" t="n">
        <x:v>56374.16666666667</x:v>
      </x:c>
      <x:c r="I172" s="31"/>
      <x:c r="J172" s="31"/>
      <x:c r="K172" s="31"/>
      <x:c r="L172" s="31"/>
    </x:row>
    <x:row r="173">
      <x:c r="A173" s="33" t="n">
        <x:v>45931</x:v>
      </x:c>
      <x:c r="B173" s="31" t="str">
        <x:v>Customer Success</x:v>
      </x:c>
      <x:c r="C173" s="31" t="n">
        <x:v>6</x:v>
      </x:c>
      <x:c r="D173" s="31" t="n">
        <x:v>6</x:v>
      </x:c>
      <x:c r="E173" s="31" t="n">
        <x:v>6</x:v>
      </x:c>
      <x:c r="F173" s="32" t="n">
        <x:v>49975</x:v>
      </x:c>
      <x:c r="G173" s="32" t="n">
        <x:v>10994.5</x:v>
      </x:c>
      <x:c r="H173" s="32" t="n">
        <x:v>60969.5</x:v>
      </x:c>
      <x:c r="I173" s="31"/>
      <x:c r="J173" s="31"/>
      <x:c r="K173" s="31"/>
      <x:c r="L173" s="31"/>
    </x:row>
    <x:row r="174">
      <x:c r="A174" s="33" t="n">
        <x:v>45931</x:v>
      </x:c>
      <x:c r="B174" s="31" t="str">
        <x:v>G&amp;A</x:v>
      </x:c>
      <x:c r="C174" s="31" t="n">
        <x:v>4</x:v>
      </x:c>
      <x:c r="D174" s="31" t="n">
        <x:v>4</x:v>
      </x:c>
      <x:c r="E174" s="31" t="n">
        <x:v>4</x:v>
      </x:c>
      <x:c r="F174" s="32" t="n">
        <x:v>42900</x:v>
      </x:c>
      <x:c r="G174" s="32" t="n">
        <x:v>9438</x:v>
      </x:c>
      <x:c r="H174" s="32" t="n">
        <x:v>52338</x:v>
      </x:c>
      <x:c r="I174" s="31"/>
      <x:c r="J174" s="31"/>
      <x:c r="K174" s="31"/>
      <x:c r="L174" s="31"/>
    </x:row>
    <x:row r="175">
      <x:c r="A175" s="33" t="n">
        <x:v>45962</x:v>
      </x:c>
      <x:c r="B175" s="31" t="str">
        <x:v>Engineering</x:v>
      </x:c>
      <x:c r="C175" s="31" t="n">
        <x:v>18</x:v>
      </x:c>
      <x:c r="D175" s="31" t="n">
        <x:v>17</x:v>
      </x:c>
      <x:c r="E175" s="31" t="n">
        <x:v>17</x:v>
      </x:c>
      <x:c r="F175" s="32" t="n">
        <x:v>210475</x:v>
      </x:c>
      <x:c r="G175" s="32" t="n">
        <x:v>46304.5</x:v>
      </x:c>
      <x:c r="H175" s="32" t="n">
        <x:v>256779.5</x:v>
      </x:c>
      <x:c r="I175" s="31"/>
      <x:c r="J175" s="31"/>
      <x:c r="K175" s="31"/>
      <x:c r="L175" s="31"/>
    </x:row>
    <x:row r="176">
      <x:c r="A176" s="33" t="n">
        <x:v>45962</x:v>
      </x:c>
      <x:c r="B176" s="31" t="str">
        <x:v>Sales</x:v>
      </x:c>
      <x:c r="C176" s="31" t="n">
        <x:v>9</x:v>
      </x:c>
      <x:c r="D176" s="31" t="n">
        <x:v>9</x:v>
      </x:c>
      <x:c r="E176" s="31" t="n">
        <x:v>9</x:v>
      </x:c>
      <x:c r="F176" s="32" t="n">
        <x:v>85308.33333333333</x:v>
      </x:c>
      <x:c r="G176" s="32" t="n">
        <x:v>18767.833333333332</x:v>
      </x:c>
      <x:c r="H176" s="32" t="n">
        <x:v>104076.16666666666</x:v>
      </x:c>
      <x:c r="I176" s="31"/>
      <x:c r="J176" s="31"/>
      <x:c r="K176" s="31"/>
      <x:c r="L176" s="31"/>
    </x:row>
    <x:row r="177">
      <x:c r="A177" s="33" t="n">
        <x:v>45962</x:v>
      </x:c>
      <x:c r="B177" s="31" t="str">
        <x:v>Marketing</x:v>
      </x:c>
      <x:c r="C177" s="31" t="n">
        <x:v>5</x:v>
      </x:c>
      <x:c r="D177" s="31" t="n">
        <x:v>5</x:v>
      </x:c>
      <x:c r="E177" s="31" t="n">
        <x:v>5</x:v>
      </x:c>
      <x:c r="F177" s="32" t="n">
        <x:v>46208.333333333336</x:v>
      </x:c>
      <x:c r="G177" s="32" t="n">
        <x:v>10165.833333333334</x:v>
      </x:c>
      <x:c r="H177" s="32" t="n">
        <x:v>56374.16666666667</x:v>
      </x:c>
      <x:c r="I177" s="31"/>
      <x:c r="J177" s="31"/>
      <x:c r="K177" s="31"/>
      <x:c r="L177" s="31"/>
    </x:row>
    <x:row r="178">
      <x:c r="A178" s="33" t="n">
        <x:v>45962</x:v>
      </x:c>
      <x:c r="B178" s="31" t="str">
        <x:v>Customer Success</x:v>
      </x:c>
      <x:c r="C178" s="31" t="n">
        <x:v>6</x:v>
      </x:c>
      <x:c r="D178" s="31" t="n">
        <x:v>6</x:v>
      </x:c>
      <x:c r="E178" s="31" t="n">
        <x:v>6</x:v>
      </x:c>
      <x:c r="F178" s="32" t="n">
        <x:v>49975</x:v>
      </x:c>
      <x:c r="G178" s="32" t="n">
        <x:v>10994.5</x:v>
      </x:c>
      <x:c r="H178" s="32" t="n">
        <x:v>60969.5</x:v>
      </x:c>
      <x:c r="I178" s="31"/>
      <x:c r="J178" s="31"/>
      <x:c r="K178" s="31"/>
      <x:c r="L178" s="31"/>
    </x:row>
    <x:row r="179">
      <x:c r="A179" s="33" t="n">
        <x:v>45962</x:v>
      </x:c>
      <x:c r="B179" s="31" t="str">
        <x:v>G&amp;A</x:v>
      </x:c>
      <x:c r="C179" s="31" t="n">
        <x:v>4</x:v>
      </x:c>
      <x:c r="D179" s="31" t="n">
        <x:v>4</x:v>
      </x:c>
      <x:c r="E179" s="31" t="n">
        <x:v>4</x:v>
      </x:c>
      <x:c r="F179" s="32" t="n">
        <x:v>42900</x:v>
      </x:c>
      <x:c r="G179" s="32" t="n">
        <x:v>9438</x:v>
      </x:c>
      <x:c r="H179" s="32" t="n">
        <x:v>52338</x:v>
      </x:c>
      <x:c r="I179" s="31"/>
      <x:c r="J179" s="31"/>
      <x:c r="K179" s="31"/>
      <x:c r="L179" s="31"/>
    </x:row>
    <x:row r="180">
      <x:c r="A180" s="33" t="n">
        <x:v>45992</x:v>
      </x:c>
      <x:c r="B180" s="31" t="str">
        <x:v>Engineering</x:v>
      </x:c>
      <x:c r="C180" s="31" t="n">
        <x:v>18</x:v>
      </x:c>
      <x:c r="D180" s="31" t="n">
        <x:v>18</x:v>
      </x:c>
      <x:c r="E180" s="31" t="n">
        <x:v>18</x:v>
      </x:c>
      <x:c r="F180" s="32" t="n">
        <x:v>225083.33333333334</x:v>
      </x:c>
      <x:c r="G180" s="32" t="n">
        <x:v>49518.333333333336</x:v>
      </x:c>
      <x:c r="H180" s="32" t="n">
        <x:v>274601.6666666667</x:v>
      </x:c>
      <x:c r="I180" s="31"/>
      <x:c r="J180" s="31"/>
      <x:c r="K180" s="31"/>
      <x:c r="L180" s="31"/>
    </x:row>
    <x:row r="181">
      <x:c r="A181" s="33" t="n">
        <x:v>45992</x:v>
      </x:c>
      <x:c r="B181" s="31" t="str">
        <x:v>Sales</x:v>
      </x:c>
      <x:c r="C181" s="31" t="n">
        <x:v>9</x:v>
      </x:c>
      <x:c r="D181" s="31" t="n">
        <x:v>9</x:v>
      </x:c>
      <x:c r="E181" s="31" t="n">
        <x:v>9</x:v>
      </x:c>
      <x:c r="F181" s="32" t="n">
        <x:v>85308.33333333333</x:v>
      </x:c>
      <x:c r="G181" s="32" t="n">
        <x:v>18767.833333333332</x:v>
      </x:c>
      <x:c r="H181" s="32" t="n">
        <x:v>104076.16666666666</x:v>
      </x:c>
      <x:c r="I181" s="31"/>
      <x:c r="J181" s="31"/>
      <x:c r="K181" s="31"/>
      <x:c r="L181" s="31"/>
    </x:row>
    <x:row r="182">
      <x:c r="A182" s="33" t="n">
        <x:v>45992</x:v>
      </x:c>
      <x:c r="B182" s="31" t="str">
        <x:v>Marketing</x:v>
      </x:c>
      <x:c r="C182" s="31" t="n">
        <x:v>5</x:v>
      </x:c>
      <x:c r="D182" s="31" t="n">
        <x:v>5</x:v>
      </x:c>
      <x:c r="E182" s="31" t="n">
        <x:v>5</x:v>
      </x:c>
      <x:c r="F182" s="32" t="n">
        <x:v>46208.333333333336</x:v>
      </x:c>
      <x:c r="G182" s="32" t="n">
        <x:v>10165.833333333334</x:v>
      </x:c>
      <x:c r="H182" s="32" t="n">
        <x:v>56374.16666666667</x:v>
      </x:c>
      <x:c r="I182" s="31"/>
      <x:c r="J182" s="31"/>
      <x:c r="K182" s="31"/>
      <x:c r="L182" s="31"/>
    </x:row>
    <x:row r="183">
      <x:c r="A183" s="33" t="n">
        <x:v>45992</x:v>
      </x:c>
      <x:c r="B183" s="31" t="str">
        <x:v>Customer Success</x:v>
      </x:c>
      <x:c r="C183" s="31" t="n">
        <x:v>6</x:v>
      </x:c>
      <x:c r="D183" s="31" t="n">
        <x:v>6</x:v>
      </x:c>
      <x:c r="E183" s="31" t="n">
        <x:v>6</x:v>
      </x:c>
      <x:c r="F183" s="32" t="n">
        <x:v>49975</x:v>
      </x:c>
      <x:c r="G183" s="32" t="n">
        <x:v>10994.5</x:v>
      </x:c>
      <x:c r="H183" s="32" t="n">
        <x:v>60969.5</x:v>
      </x:c>
      <x:c r="I183" s="31"/>
      <x:c r="J183" s="31"/>
      <x:c r="K183" s="31"/>
      <x:c r="L183" s="31"/>
    </x:row>
    <x:row r="184">
      <x:c r="A184" s="33" t="n">
        <x:v>45992</x:v>
      </x:c>
      <x:c r="B184" s="31" t="str">
        <x:v>G&amp;A</x:v>
      </x:c>
      <x:c r="C184" s="31" t="n">
        <x:v>4</x:v>
      </x:c>
      <x:c r="D184" s="31" t="n">
        <x:v>4</x:v>
      </x:c>
      <x:c r="E184" s="31" t="n">
        <x:v>4</x:v>
      </x:c>
      <x:c r="F184" s="32" t="n">
        <x:v>42900</x:v>
      </x:c>
      <x:c r="G184" s="32" t="n">
        <x:v>9438</x:v>
      </x:c>
      <x:c r="H184" s="32" t="n">
        <x:v>52338</x:v>
      </x:c>
      <x:c r="I184" s="31"/>
      <x:c r="J184" s="31"/>
      <x:c r="K184" s="31"/>
      <x:c r="L184" s="31"/>
    </x:row>
    <x:row r="185">
      <x:c r="A185" s="33" t="n">
        <x:v>46023</x:v>
      </x:c>
      <x:c r="B185" s="31" t="str">
        <x:v>Engineering</x:v>
      </x:c>
      <x:c r="C185" s="31" t="n">
        <x:v>18</x:v>
      </x:c>
      <x:c r="D185" s="31" t="n">
        <x:v>18</x:v>
      </x:c>
      <x:c r="E185" s="31" t="n">
        <x:v>18</x:v>
      </x:c>
      <x:c r="F185" s="32" t="n">
        <x:v>225083.33333333334</x:v>
      </x:c>
      <x:c r="G185" s="32" t="n">
        <x:v>49518.333333333336</x:v>
      </x:c>
      <x:c r="H185" s="32" t="n">
        <x:v>274601.6666666667</x:v>
      </x:c>
      <x:c r="I185" s="31"/>
      <x:c r="J185" s="31"/>
      <x:c r="K185" s="31"/>
      <x:c r="L185" s="31"/>
    </x:row>
    <x:row r="186">
      <x:c r="A186" s="33" t="n">
        <x:v>46023</x:v>
      </x:c>
      <x:c r="B186" s="31" t="str">
        <x:v>Sales</x:v>
      </x:c>
      <x:c r="C186" s="31" t="n">
        <x:v>9</x:v>
      </x:c>
      <x:c r="D186" s="31" t="n">
        <x:v>9</x:v>
      </x:c>
      <x:c r="E186" s="31" t="n">
        <x:v>9</x:v>
      </x:c>
      <x:c r="F186" s="32" t="n">
        <x:v>85308.33333333333</x:v>
      </x:c>
      <x:c r="G186" s="32" t="n">
        <x:v>18767.833333333332</x:v>
      </x:c>
      <x:c r="H186" s="32" t="n">
        <x:v>104076.16666666666</x:v>
      </x:c>
      <x:c r="I186" s="31"/>
      <x:c r="J186" s="31"/>
      <x:c r="K186" s="31"/>
      <x:c r="L186" s="31"/>
    </x:row>
    <x:row r="187">
      <x:c r="A187" s="33" t="n">
        <x:v>46023</x:v>
      </x:c>
      <x:c r="B187" s="31" t="str">
        <x:v>Marketing</x:v>
      </x:c>
      <x:c r="C187" s="31" t="n">
        <x:v>6</x:v>
      </x:c>
      <x:c r="D187" s="31" t="n">
        <x:v>6</x:v>
      </x:c>
      <x:c r="E187" s="31" t="n">
        <x:v>6</x:v>
      </x:c>
      <x:c r="F187" s="32" t="n">
        <x:v>54850</x:v>
      </x:c>
      <x:c r="G187" s="32" t="n">
        <x:v>12067</x:v>
      </x:c>
      <x:c r="H187" s="32" t="n">
        <x:v>66917</x:v>
      </x:c>
      <x:c r="I187" s="31"/>
      <x:c r="J187" s="31"/>
      <x:c r="K187" s="31"/>
      <x:c r="L187" s="31"/>
    </x:row>
    <x:row r="188">
      <x:c r="A188" s="33" t="n">
        <x:v>46023</x:v>
      </x:c>
      <x:c r="B188" s="31" t="str">
        <x:v>Customer Success</x:v>
      </x:c>
      <x:c r="C188" s="31" t="n">
        <x:v>7</x:v>
      </x:c>
      <x:c r="D188" s="31" t="n">
        <x:v>7</x:v>
      </x:c>
      <x:c r="E188" s="31" t="n">
        <x:v>7</x:v>
      </x:c>
      <x:c r="F188" s="32" t="n">
        <x:v>58650</x:v>
      </x:c>
      <x:c r="G188" s="32" t="n">
        <x:v>12903</x:v>
      </x:c>
      <x:c r="H188" s="32" t="n">
        <x:v>71553</x:v>
      </x:c>
      <x:c r="I188" s="31"/>
      <x:c r="J188" s="31"/>
      <x:c r="K188" s="31"/>
      <x:c r="L188" s="31"/>
    </x:row>
    <x:row r="189">
      <x:c r="A189" s="33" t="n">
        <x:v>46023</x:v>
      </x:c>
      <x:c r="B189" s="31" t="str">
        <x:v>G&amp;A</x:v>
      </x:c>
      <x:c r="C189" s="31" t="n">
        <x:v>5</x:v>
      </x:c>
      <x:c r="D189" s="31" t="n">
        <x:v>4</x:v>
      </x:c>
      <x:c r="E189" s="31" t="n">
        <x:v>4</x:v>
      </x:c>
      <x:c r="F189" s="32" t="n">
        <x:v>42900</x:v>
      </x:c>
      <x:c r="G189" s="32" t="n">
        <x:v>9438</x:v>
      </x:c>
      <x:c r="H189" s="32" t="n">
        <x:v>52338</x:v>
      </x:c>
      <x:c r="I189" s="31"/>
      <x:c r="J189" s="31"/>
      <x:c r="K189" s="31"/>
      <x:c r="L189" s="31"/>
    </x:row>
    <x:row r="190">
      <x:c r="A190" s="33" t="n">
        <x:v>46054</x:v>
      </x:c>
      <x:c r="B190" s="31" t="str">
        <x:v>Engineering</x:v>
      </x:c>
      <x:c r="C190" s="31" t="n">
        <x:v>19</x:v>
      </x:c>
      <x:c r="D190" s="31" t="n">
        <x:v>19</x:v>
      </x:c>
      <x:c r="E190" s="31" t="n">
        <x:v>19</x:v>
      </x:c>
      <x:c r="F190" s="32" t="n">
        <x:v>239408.33333333334</x:v>
      </x:c>
      <x:c r="G190" s="32" t="n">
        <x:v>52669.833333333336</x:v>
      </x:c>
      <x:c r="H190" s="32" t="n">
        <x:v>292078.1666666667</x:v>
      </x:c>
      <x:c r="I190" s="31"/>
      <x:c r="J190" s="31"/>
      <x:c r="K190" s="31"/>
      <x:c r="L190" s="31"/>
    </x:row>
    <x:row r="191">
      <x:c r="A191" s="33" t="n">
        <x:v>46054</x:v>
      </x:c>
      <x:c r="B191" s="31" t="str">
        <x:v>Sales</x:v>
      </x:c>
      <x:c r="C191" s="31" t="n">
        <x:v>10</x:v>
      </x:c>
      <x:c r="D191" s="31" t="n">
        <x:v>9</x:v>
      </x:c>
      <x:c r="E191" s="31" t="n">
        <x:v>9</x:v>
      </x:c>
      <x:c r="F191" s="32" t="n">
        <x:v>85308.33333333333</x:v>
      </x:c>
      <x:c r="G191" s="32" t="n">
        <x:v>18767.833333333332</x:v>
      </x:c>
      <x:c r="H191" s="32" t="n">
        <x:v>104076.16666666666</x:v>
      </x:c>
      <x:c r="I191" s="31"/>
      <x:c r="J191" s="31"/>
      <x:c r="K191" s="31"/>
      <x:c r="L191" s="31"/>
    </x:row>
    <x:row r="192">
      <x:c r="A192" s="33" t="n">
        <x:v>46054</x:v>
      </x:c>
      <x:c r="B192" s="31" t="str">
        <x:v>Marketing</x:v>
      </x:c>
      <x:c r="C192" s="31" t="n">
        <x:v>7</x:v>
      </x:c>
      <x:c r="D192" s="31" t="n">
        <x:v>6</x:v>
      </x:c>
      <x:c r="E192" s="31" t="n">
        <x:v>6</x:v>
      </x:c>
      <x:c r="F192" s="32" t="n">
        <x:v>54850</x:v>
      </x:c>
      <x:c r="G192" s="32" t="n">
        <x:v>12067</x:v>
      </x:c>
      <x:c r="H192" s="32" t="n">
        <x:v>66917</x:v>
      </x:c>
      <x:c r="I192" s="31"/>
      <x:c r="J192" s="31"/>
      <x:c r="K192" s="31"/>
      <x:c r="L192" s="31"/>
    </x:row>
    <x:row r="193">
      <x:c r="A193" s="33" t="n">
        <x:v>46054</x:v>
      </x:c>
      <x:c r="B193" s="31" t="str">
        <x:v>Customer Success</x:v>
      </x:c>
      <x:c r="C193" s="31" t="n">
        <x:v>7</x:v>
      </x:c>
      <x:c r="D193" s="31" t="n">
        <x:v>7</x:v>
      </x:c>
      <x:c r="E193" s="31" t="n">
        <x:v>7</x:v>
      </x:c>
      <x:c r="F193" s="32" t="n">
        <x:v>58650</x:v>
      </x:c>
      <x:c r="G193" s="32" t="n">
        <x:v>12903</x:v>
      </x:c>
      <x:c r="H193" s="32" t="n">
        <x:v>71553</x:v>
      </x:c>
      <x:c r="I193" s="31"/>
      <x:c r="J193" s="31"/>
      <x:c r="K193" s="31"/>
      <x:c r="L193" s="31"/>
    </x:row>
    <x:row r="194">
      <x:c r="A194" s="33" t="n">
        <x:v>46054</x:v>
      </x:c>
      <x:c r="B194" s="31" t="str">
        <x:v>G&amp;A</x:v>
      </x:c>
      <x:c r="C194" s="31" t="n">
        <x:v>5</x:v>
      </x:c>
      <x:c r="D194" s="31" t="n">
        <x:v>5</x:v>
      </x:c>
      <x:c r="E194" s="31" t="n">
        <x:v>5</x:v>
      </x:c>
      <x:c r="F194" s="32" t="n">
        <x:v>51333.333333333336</x:v>
      </x:c>
      <x:c r="G194" s="32" t="n">
        <x:v>11293.333333333334</x:v>
      </x:c>
      <x:c r="H194" s="32" t="n">
        <x:v>62626.66666666667</x:v>
      </x:c>
      <x:c r="I194" s="31"/>
      <x:c r="J194" s="31"/>
      <x:c r="K194" s="31"/>
      <x:c r="L194" s="31"/>
    </x:row>
    <x:row r="195">
      <x:c r="A195" s="33" t="n">
        <x:v>46082</x:v>
      </x:c>
      <x:c r="B195" s="31" t="str">
        <x:v>Engineering</x:v>
      </x:c>
      <x:c r="C195" s="31" t="n">
        <x:v>19</x:v>
      </x:c>
      <x:c r="D195" s="31" t="n">
        <x:v>19</x:v>
      </x:c>
      <x:c r="E195" s="31" t="n">
        <x:v>19</x:v>
      </x:c>
      <x:c r="F195" s="32" t="n">
        <x:v>239408.33333333334</x:v>
      </x:c>
      <x:c r="G195" s="32" t="n">
        <x:v>52669.833333333336</x:v>
      </x:c>
      <x:c r="H195" s="32" t="n">
        <x:v>292078.1666666667</x:v>
      </x:c>
      <x:c r="I195" s="31"/>
      <x:c r="J195" s="31"/>
      <x:c r="K195" s="31"/>
      <x:c r="L195" s="31"/>
    </x:row>
    <x:row r="196">
      <x:c r="A196" s="33" t="n">
        <x:v>46082</x:v>
      </x:c>
      <x:c r="B196" s="31" t="str">
        <x:v>Sales</x:v>
      </x:c>
      <x:c r="C196" s="31" t="n">
        <x:v>10</x:v>
      </x:c>
      <x:c r="D196" s="31" t="n">
        <x:v>10</x:v>
      </x:c>
      <x:c r="E196" s="31" t="n">
        <x:v>10</x:v>
      </x:c>
      <x:c r="F196" s="32" t="n">
        <x:v>95633.33333333333</x:v>
      </x:c>
      <x:c r="G196" s="32" t="n">
        <x:v>21039.333333333332</x:v>
      </x:c>
      <x:c r="H196" s="32" t="n">
        <x:v>116672.66666666666</x:v>
      </x:c>
      <x:c r="I196" s="31"/>
      <x:c r="J196" s="31"/>
      <x:c r="K196" s="31"/>
      <x:c r="L196" s="31"/>
    </x:row>
    <x:row r="197">
      <x:c r="A197" s="33" t="n">
        <x:v>46082</x:v>
      </x:c>
      <x:c r="B197" s="31" t="str">
        <x:v>Marketing</x:v>
      </x:c>
      <x:c r="C197" s="31" t="n">
        <x:v>7</x:v>
      </x:c>
      <x:c r="D197" s="31" t="n">
        <x:v>7</x:v>
      </x:c>
      <x:c r="E197" s="31" t="n">
        <x:v>7</x:v>
      </x:c>
      <x:c r="F197" s="32" t="n">
        <x:v>62550</x:v>
      </x:c>
      <x:c r="G197" s="32" t="n">
        <x:v>13761</x:v>
      </x:c>
      <x:c r="H197" s="32" t="n">
        <x:v>76311</x:v>
      </x:c>
      <x:c r="I197" s="31"/>
      <x:c r="J197" s="31"/>
      <x:c r="K197" s="31"/>
      <x:c r="L197" s="31"/>
    </x:row>
    <x:row r="198">
      <x:c r="A198" s="33" t="n">
        <x:v>46082</x:v>
      </x:c>
      <x:c r="B198" s="31" t="str">
        <x:v>Customer Success</x:v>
      </x:c>
      <x:c r="C198" s="31" t="n">
        <x:v>7</x:v>
      </x:c>
      <x:c r="D198" s="31" t="n">
        <x:v>7</x:v>
      </x:c>
      <x:c r="E198" s="31" t="n">
        <x:v>7</x:v>
      </x:c>
      <x:c r="F198" s="32" t="n">
        <x:v>58650</x:v>
      </x:c>
      <x:c r="G198" s="32" t="n">
        <x:v>12903</x:v>
      </x:c>
      <x:c r="H198" s="32" t="n">
        <x:v>71553</x:v>
      </x:c>
      <x:c r="I198" s="31"/>
      <x:c r="J198" s="31"/>
      <x:c r="K198" s="31"/>
      <x:c r="L198" s="31"/>
    </x:row>
    <x:row r="199">
      <x:c r="A199" s="33" t="n">
        <x:v>46082</x:v>
      </x:c>
      <x:c r="B199" s="31" t="str">
        <x:v>G&amp;A</x:v>
      </x:c>
      <x:c r="C199" s="31" t="n">
        <x:v>5</x:v>
      </x:c>
      <x:c r="D199" s="31" t="n">
        <x:v>5</x:v>
      </x:c>
      <x:c r="E199" s="31" t="n">
        <x:v>5</x:v>
      </x:c>
      <x:c r="F199" s="32" t="n">
        <x:v>51333.333333333336</x:v>
      </x:c>
      <x:c r="G199" s="32" t="n">
        <x:v>11293.333333333334</x:v>
      </x:c>
      <x:c r="H199" s="32" t="n">
        <x:v>62626.66666666667</x:v>
      </x:c>
      <x:c r="I199" s="31"/>
      <x:c r="J199" s="31"/>
      <x:c r="K199" s="31"/>
      <x:c r="L199" s="31"/>
    </x:row>
    <x:row r="200">
      <x:c r="A200" s="33" t="n">
        <x:v>46113</x:v>
      </x:c>
      <x:c r="B200" s="31" t="str">
        <x:v>Engineering</x:v>
      </x:c>
      <x:c r="C200" s="31" t="n">
        <x:v>19</x:v>
      </x:c>
      <x:c r="D200" s="31" t="n">
        <x:v>19</x:v>
      </x:c>
      <x:c r="E200" s="31" t="n">
        <x:v>19</x:v>
      </x:c>
      <x:c r="F200" s="32" t="n">
        <x:v>239408.33333333334</x:v>
      </x:c>
      <x:c r="G200" s="32" t="n">
        <x:v>52669.833333333336</x:v>
      </x:c>
      <x:c r="H200" s="32" t="n">
        <x:v>292078.1666666667</x:v>
      </x:c>
      <x:c r="I200" s="31"/>
      <x:c r="J200" s="31"/>
      <x:c r="K200" s="31"/>
      <x:c r="L200" s="31"/>
    </x:row>
    <x:row r="201">
      <x:c r="A201" s="33" t="n">
        <x:v>46113</x:v>
      </x:c>
      <x:c r="B201" s="31" t="str">
        <x:v>Sales</x:v>
      </x:c>
      <x:c r="C201" s="31" t="n">
        <x:v>11</x:v>
      </x:c>
      <x:c r="D201" s="31" t="n">
        <x:v>11</x:v>
      </x:c>
      <x:c r="E201" s="31" t="n">
        <x:v>11</x:v>
      </x:c>
      <x:c r="F201" s="32" t="n">
        <x:v>103833.33333333333</x:v>
      </x:c>
      <x:c r="G201" s="32" t="n">
        <x:v>22843.333333333332</x:v>
      </x:c>
      <x:c r="H201" s="32" t="n">
        <x:v>126676.66666666666</x:v>
      </x:c>
      <x:c r="I201" s="31"/>
      <x:c r="J201" s="31"/>
      <x:c r="K201" s="31"/>
      <x:c r="L201" s="31"/>
    </x:row>
    <x:row r="202">
      <x:c r="A202" s="33" t="n">
        <x:v>46113</x:v>
      </x:c>
      <x:c r="B202" s="31" t="str">
        <x:v>Marketing</x:v>
      </x:c>
      <x:c r="C202" s="31" t="n">
        <x:v>7</x:v>
      </x:c>
      <x:c r="D202" s="31" t="n">
        <x:v>7</x:v>
      </x:c>
      <x:c r="E202" s="31" t="n">
        <x:v>7</x:v>
      </x:c>
      <x:c r="F202" s="32" t="n">
        <x:v>62550</x:v>
      </x:c>
      <x:c r="G202" s="32" t="n">
        <x:v>13761</x:v>
      </x:c>
      <x:c r="H202" s="32" t="n">
        <x:v>76311</x:v>
      </x:c>
      <x:c r="I202" s="31"/>
      <x:c r="J202" s="31"/>
      <x:c r="K202" s="31"/>
      <x:c r="L202" s="31"/>
    </x:row>
    <x:row r="203">
      <x:c r="A203" s="33" t="n">
        <x:v>46113</x:v>
      </x:c>
      <x:c r="B203" s="31" t="str">
        <x:v>Customer Success</x:v>
      </x:c>
      <x:c r="C203" s="31" t="n">
        <x:v>8</x:v>
      </x:c>
      <x:c r="D203" s="31" t="n">
        <x:v>7</x:v>
      </x:c>
      <x:c r="E203" s="31" t="n">
        <x:v>7</x:v>
      </x:c>
      <x:c r="F203" s="32" t="n">
        <x:v>58650</x:v>
      </x:c>
      <x:c r="G203" s="32" t="n">
        <x:v>12903</x:v>
      </x:c>
      <x:c r="H203" s="32" t="n">
        <x:v>71553</x:v>
      </x:c>
      <x:c r="I203" s="31"/>
      <x:c r="J203" s="31"/>
      <x:c r="K203" s="31"/>
      <x:c r="L203" s="31"/>
    </x:row>
    <x:row r="204">
      <x:c r="A204" s="33" t="n">
        <x:v>46113</x:v>
      </x:c>
      <x:c r="B204" s="31" t="str">
        <x:v>G&amp;A</x:v>
      </x:c>
      <x:c r="C204" s="31" t="n">
        <x:v>6</x:v>
      </x:c>
      <x:c r="D204" s="31" t="n">
        <x:v>5</x:v>
      </x:c>
      <x:c r="E204" s="31" t="n">
        <x:v>5</x:v>
      </x:c>
      <x:c r="F204" s="32" t="n">
        <x:v>51333.333333333336</x:v>
      </x:c>
      <x:c r="G204" s="32" t="n">
        <x:v>11293.333333333334</x:v>
      </x:c>
      <x:c r="H204" s="32" t="n">
        <x:v>62626.66666666667</x:v>
      </x:c>
      <x:c r="I204" s="31"/>
      <x:c r="J204" s="31"/>
      <x:c r="K204" s="31"/>
      <x:c r="L204" s="31"/>
    </x:row>
    <x:row r="205">
      <x:c r="A205" s="33" t="n">
        <x:v>46143</x:v>
      </x:c>
      <x:c r="B205" s="31" t="str">
        <x:v>Engineering</x:v>
      </x:c>
      <x:c r="C205" s="31" t="n">
        <x:v>19</x:v>
      </x:c>
      <x:c r="D205" s="31" t="n">
        <x:v>19</x:v>
      </x:c>
      <x:c r="E205" s="31" t="n">
        <x:v>19</x:v>
      </x:c>
      <x:c r="F205" s="32" t="n">
        <x:v>239408.33333333334</x:v>
      </x:c>
      <x:c r="G205" s="32" t="n">
        <x:v>52669.833333333336</x:v>
      </x:c>
      <x:c r="H205" s="32" t="n">
        <x:v>292078.1666666667</x:v>
      </x:c>
      <x:c r="I205" s="31"/>
      <x:c r="J205" s="31"/>
      <x:c r="K205" s="31"/>
      <x:c r="L205" s="31"/>
    </x:row>
    <x:row r="206">
      <x:c r="A206" s="33" t="n">
        <x:v>46143</x:v>
      </x:c>
      <x:c r="B206" s="31" t="str">
        <x:v>Sales</x:v>
      </x:c>
      <x:c r="C206" s="31" t="n">
        <x:v>12</x:v>
      </x:c>
      <x:c r="D206" s="31" t="n">
        <x:v>11</x:v>
      </x:c>
      <x:c r="E206" s="31" t="n">
        <x:v>11</x:v>
      </x:c>
      <x:c r="F206" s="32" t="n">
        <x:v>103833.33333333333</x:v>
      </x:c>
      <x:c r="G206" s="32" t="n">
        <x:v>22843.333333333332</x:v>
      </x:c>
      <x:c r="H206" s="32" t="n">
        <x:v>126676.66666666666</x:v>
      </x:c>
      <x:c r="I206" s="31"/>
      <x:c r="J206" s="31"/>
      <x:c r="K206" s="31"/>
      <x:c r="L206" s="31"/>
    </x:row>
    <x:row r="207">
      <x:c r="A207" s="33" t="n">
        <x:v>46143</x:v>
      </x:c>
      <x:c r="B207" s="31" t="str">
        <x:v>Marketing</x:v>
      </x:c>
      <x:c r="C207" s="31" t="n">
        <x:v>7</x:v>
      </x:c>
      <x:c r="D207" s="31" t="n">
        <x:v>7</x:v>
      </x:c>
      <x:c r="E207" s="31" t="n">
        <x:v>7</x:v>
      </x:c>
      <x:c r="F207" s="32" t="n">
        <x:v>62550</x:v>
      </x:c>
      <x:c r="G207" s="32" t="n">
        <x:v>13761</x:v>
      </x:c>
      <x:c r="H207" s="32" t="n">
        <x:v>76311</x:v>
      </x:c>
      <x:c r="I207" s="31"/>
      <x:c r="J207" s="31"/>
      <x:c r="K207" s="31"/>
      <x:c r="L207" s="31"/>
    </x:row>
    <x:row r="208">
      <x:c r="A208" s="33" t="n">
        <x:v>46143</x:v>
      </x:c>
      <x:c r="B208" s="31" t="str">
        <x:v>Customer Success</x:v>
      </x:c>
      <x:c r="C208" s="31" t="n">
        <x:v>8</x:v>
      </x:c>
      <x:c r="D208" s="31" t="n">
        <x:v>8</x:v>
      </x:c>
      <x:c r="E208" s="31" t="n">
        <x:v>8</x:v>
      </x:c>
      <x:c r="F208" s="32" t="n">
        <x:v>67108.33333333333</x:v>
      </x:c>
      <x:c r="G208" s="32" t="n">
        <x:v>14763.833333333332</x:v>
      </x:c>
      <x:c r="H208" s="32" t="n">
        <x:v>81872.16666666666</x:v>
      </x:c>
      <x:c r="I208" s="31"/>
      <x:c r="J208" s="31"/>
      <x:c r="K208" s="31"/>
      <x:c r="L208" s="31"/>
    </x:row>
    <x:row r="209">
      <x:c r="A209" s="33" t="n">
        <x:v>46143</x:v>
      </x:c>
      <x:c r="B209" s="31" t="str">
        <x:v>G&amp;A</x:v>
      </x:c>
      <x:c r="C209" s="31" t="n">
        <x:v>6</x:v>
      </x:c>
      <x:c r="D209" s="31" t="n">
        <x:v>6</x:v>
      </x:c>
      <x:c r="E209" s="31" t="n">
        <x:v>6</x:v>
      </x:c>
      <x:c r="F209" s="32" t="n">
        <x:v>61716.666666666664</x:v>
      </x:c>
      <x:c r="G209" s="32" t="n">
        <x:v>13577.666666666666</x:v>
      </x:c>
      <x:c r="H209" s="32" t="n">
        <x:v>75294.33333333333</x:v>
      </x:c>
      <x:c r="I209" s="31"/>
      <x:c r="J209" s="31"/>
      <x:c r="K209" s="31"/>
      <x:c r="L209" s="31"/>
    </x:row>
    <x:row r="210">
      <x:c r="A210" s="33" t="n">
        <x:v>46174</x:v>
      </x:c>
      <x:c r="B210" s="31" t="str">
        <x:v>Engineering</x:v>
      </x:c>
      <x:c r="C210" s="31" t="n">
        <x:v>19</x:v>
      </x:c>
      <x:c r="D210" s="31" t="n">
        <x:v>19</x:v>
      </x:c>
      <x:c r="E210" s="31" t="n">
        <x:v>19</x:v>
      </x:c>
      <x:c r="F210" s="32" t="n">
        <x:v>239408.33333333334</x:v>
      </x:c>
      <x:c r="G210" s="32" t="n">
        <x:v>52669.833333333336</x:v>
      </x:c>
      <x:c r="H210" s="32" t="n">
        <x:v>292078.1666666667</x:v>
      </x:c>
      <x:c r="I210" s="31"/>
      <x:c r="J210" s="31"/>
      <x:c r="K210" s="31"/>
      <x:c r="L210" s="31"/>
    </x:row>
    <x:row r="211">
      <x:c r="A211" s="33" t="n">
        <x:v>46174</x:v>
      </x:c>
      <x:c r="B211" s="31" t="str">
        <x:v>Sales</x:v>
      </x:c>
      <x:c r="C211" s="31" t="n">
        <x:v>12</x:v>
      </x:c>
      <x:c r="D211" s="31" t="n">
        <x:v>12</x:v>
      </x:c>
      <x:c r="E211" s="31" t="n">
        <x:v>12</x:v>
      </x:c>
      <x:c r="F211" s="32" t="n">
        <x:v>115225</x:v>
      </x:c>
      <x:c r="G211" s="32" t="n">
        <x:v>25349.5</x:v>
      </x:c>
      <x:c r="H211" s="32" t="n">
        <x:v>140574.5</x:v>
      </x:c>
      <x:c r="I211" s="31"/>
      <x:c r="J211" s="31"/>
      <x:c r="K211" s="31"/>
      <x:c r="L211" s="31"/>
    </x:row>
    <x:row r="212">
      <x:c r="A212" s="33" t="n">
        <x:v>46174</x:v>
      </x:c>
      <x:c r="B212" s="31" t="str">
        <x:v>Marketing</x:v>
      </x:c>
      <x:c r="C212" s="31" t="n">
        <x:v>7</x:v>
      </x:c>
      <x:c r="D212" s="31" t="n">
        <x:v>7</x:v>
      </x:c>
      <x:c r="E212" s="31" t="n">
        <x:v>7</x:v>
      </x:c>
      <x:c r="F212" s="32" t="n">
        <x:v>62550</x:v>
      </x:c>
      <x:c r="G212" s="32" t="n">
        <x:v>13761</x:v>
      </x:c>
      <x:c r="H212" s="32" t="n">
        <x:v>76311</x:v>
      </x:c>
      <x:c r="I212" s="31"/>
      <x:c r="J212" s="31"/>
      <x:c r="K212" s="31"/>
      <x:c r="L212" s="31"/>
    </x:row>
    <x:row r="213">
      <x:c r="A213" s="33" t="n">
        <x:v>46174</x:v>
      </x:c>
      <x:c r="B213" s="31" t="str">
        <x:v>Customer Success</x:v>
      </x:c>
      <x:c r="C213" s="31" t="n">
        <x:v>8</x:v>
      </x:c>
      <x:c r="D213" s="31" t="n">
        <x:v>8</x:v>
      </x:c>
      <x:c r="E213" s="31" t="n">
        <x:v>8</x:v>
      </x:c>
      <x:c r="F213" s="32" t="n">
        <x:v>67108.33333333333</x:v>
      </x:c>
      <x:c r="G213" s="32" t="n">
        <x:v>14763.833333333332</x:v>
      </x:c>
      <x:c r="H213" s="32" t="n">
        <x:v>81872.16666666666</x:v>
      </x:c>
      <x:c r="I213" s="31"/>
      <x:c r="J213" s="31"/>
      <x:c r="K213" s="31"/>
      <x:c r="L213" s="31"/>
    </x:row>
    <x:row r="214">
      <x:c r="A214" s="33" t="n">
        <x:v>46174</x:v>
      </x:c>
      <x:c r="B214" s="31" t="str">
        <x:v>G&amp;A</x:v>
      </x:c>
      <x:c r="C214" s="31" t="n">
        <x:v>6</x:v>
      </x:c>
      <x:c r="D214" s="31" t="n">
        <x:v>6</x:v>
      </x:c>
      <x:c r="E214" s="31" t="n">
        <x:v>6</x:v>
      </x:c>
      <x:c r="F214" s="32" t="n">
        <x:v>61716.666666666664</x:v>
      </x:c>
      <x:c r="G214" s="32" t="n">
        <x:v>13577.666666666666</x:v>
      </x:c>
      <x:c r="H214" s="32" t="n">
        <x:v>75294.33333333333</x:v>
      </x:c>
      <x:c r="I214" s="31"/>
      <x:c r="J214" s="31"/>
      <x:c r="K214" s="31"/>
      <x:c r="L214" s="31"/>
    </x:row>
    <x:row r="215">
      <x:c r="A215" s="33" t="n">
        <x:v>46204</x:v>
      </x:c>
      <x:c r="B215" s="31" t="str">
        <x:v>Engineering</x:v>
      </x:c>
      <x:c r="C215" s="31" t="n">
        <x:v>19</x:v>
      </x:c>
      <x:c r="D215" s="31" t="n">
        <x:v>19</x:v>
      </x:c>
      <x:c r="E215" s="31" t="n">
        <x:v>19</x:v>
      </x:c>
      <x:c r="F215" s="32" t="n">
        <x:v>239408.33333333334</x:v>
      </x:c>
      <x:c r="G215" s="32" t="n">
        <x:v>52669.833333333336</x:v>
      </x:c>
      <x:c r="H215" s="32" t="n">
        <x:v>292078.1666666667</x:v>
      </x:c>
      <x:c r="I215" s="31"/>
      <x:c r="J215" s="31"/>
      <x:c r="K215" s="31"/>
      <x:c r="L215" s="31"/>
    </x:row>
    <x:row r="216">
      <x:c r="A216" s="33" t="n">
        <x:v>46204</x:v>
      </x:c>
      <x:c r="B216" s="31" t="str">
        <x:v>Sales</x:v>
      </x:c>
      <x:c r="C216" s="31" t="n">
        <x:v>12</x:v>
      </x:c>
      <x:c r="D216" s="31" t="n">
        <x:v>12</x:v>
      </x:c>
      <x:c r="E216" s="31" t="n">
        <x:v>12</x:v>
      </x:c>
      <x:c r="F216" s="32" t="n">
        <x:v>115225</x:v>
      </x:c>
      <x:c r="G216" s="32" t="n">
        <x:v>25349.5</x:v>
      </x:c>
      <x:c r="H216" s="32" t="n">
        <x:v>140574.5</x:v>
      </x:c>
      <x:c r="I216" s="31"/>
      <x:c r="J216" s="31"/>
      <x:c r="K216" s="31"/>
      <x:c r="L216" s="31"/>
    </x:row>
    <x:row r="217">
      <x:c r="A217" s="33" t="n">
        <x:v>46204</x:v>
      </x:c>
      <x:c r="B217" s="31" t="str">
        <x:v>Marketing</x:v>
      </x:c>
      <x:c r="C217" s="31" t="n">
        <x:v>7</x:v>
      </x:c>
      <x:c r="D217" s="31" t="n">
        <x:v>7</x:v>
      </x:c>
      <x:c r="E217" s="31" t="n">
        <x:v>7</x:v>
      </x:c>
      <x:c r="F217" s="32" t="n">
        <x:v>62550</x:v>
      </x:c>
      <x:c r="G217" s="32" t="n">
        <x:v>13761</x:v>
      </x:c>
      <x:c r="H217" s="32" t="n">
        <x:v>76311</x:v>
      </x:c>
      <x:c r="I217" s="31"/>
      <x:c r="J217" s="31"/>
      <x:c r="K217" s="31"/>
      <x:c r="L217" s="31"/>
    </x:row>
    <x:row r="218">
      <x:c r="A218" s="33" t="n">
        <x:v>46204</x:v>
      </x:c>
      <x:c r="B218" s="31" t="str">
        <x:v>Customer Success</x:v>
      </x:c>
      <x:c r="C218" s="31" t="n">
        <x:v>8</x:v>
      </x:c>
      <x:c r="D218" s="31" t="n">
        <x:v>8</x:v>
      </x:c>
      <x:c r="E218" s="31" t="n">
        <x:v>8</x:v>
      </x:c>
      <x:c r="F218" s="32" t="n">
        <x:v>67108.33333333333</x:v>
      </x:c>
      <x:c r="G218" s="32" t="n">
        <x:v>14763.833333333332</x:v>
      </x:c>
      <x:c r="H218" s="32" t="n">
        <x:v>81872.16666666666</x:v>
      </x:c>
      <x:c r="I218" s="31"/>
      <x:c r="J218" s="31"/>
      <x:c r="K218" s="31"/>
      <x:c r="L218" s="31"/>
    </x:row>
    <x:row r="219">
      <x:c r="A219" s="33" t="n">
        <x:v>46204</x:v>
      </x:c>
      <x:c r="B219" s="31" t="str">
        <x:v>G&amp;A</x:v>
      </x:c>
      <x:c r="C219" s="31" t="n">
        <x:v>6</x:v>
      </x:c>
      <x:c r="D219" s="31" t="n">
        <x:v>6</x:v>
      </x:c>
      <x:c r="E219" s="31" t="n">
        <x:v>6</x:v>
      </x:c>
      <x:c r="F219" s="32" t="n">
        <x:v>61716.666666666664</x:v>
      </x:c>
      <x:c r="G219" s="32" t="n">
        <x:v>13577.666666666666</x:v>
      </x:c>
      <x:c r="H219" s="32" t="n">
        <x:v>75294.33333333333</x:v>
      </x:c>
      <x:c r="I219" s="31"/>
      <x:c r="J219" s="31"/>
      <x:c r="K219" s="31"/>
      <x:c r="L219" s="31"/>
    </x:row>
    <x:row r="220">
      <x:c r="A220" s="33" t="n">
        <x:v>46235</x:v>
      </x:c>
      <x:c r="B220" s="31" t="str">
        <x:v>Engineering</x:v>
      </x:c>
      <x:c r="C220" s="31" t="n">
        <x:v>19</x:v>
      </x:c>
      <x:c r="D220" s="31" t="n">
        <x:v>19</x:v>
      </x:c>
      <x:c r="E220" s="31" t="n">
        <x:v>19</x:v>
      </x:c>
      <x:c r="F220" s="32" t="n">
        <x:v>239408.33333333334</x:v>
      </x:c>
      <x:c r="G220" s="32" t="n">
        <x:v>52669.833333333336</x:v>
      </x:c>
      <x:c r="H220" s="32" t="n">
        <x:v>292078.1666666667</x:v>
      </x:c>
      <x:c r="I220" s="31"/>
      <x:c r="J220" s="31"/>
      <x:c r="K220" s="31"/>
      <x:c r="L220" s="31"/>
    </x:row>
    <x:row r="221">
      <x:c r="A221" s="33" t="n">
        <x:v>46235</x:v>
      </x:c>
      <x:c r="B221" s="31" t="str">
        <x:v>Sales</x:v>
      </x:c>
      <x:c r="C221" s="31" t="n">
        <x:v>12</x:v>
      </x:c>
      <x:c r="D221" s="31" t="n">
        <x:v>12</x:v>
      </x:c>
      <x:c r="E221" s="31" t="n">
        <x:v>12</x:v>
      </x:c>
      <x:c r="F221" s="32" t="n">
        <x:v>115225</x:v>
      </x:c>
      <x:c r="G221" s="32" t="n">
        <x:v>25349.5</x:v>
      </x:c>
      <x:c r="H221" s="32" t="n">
        <x:v>140574.5</x:v>
      </x:c>
      <x:c r="I221" s="31"/>
      <x:c r="J221" s="31"/>
      <x:c r="K221" s="31"/>
      <x:c r="L221" s="31"/>
    </x:row>
    <x:row r="222">
      <x:c r="A222" s="33" t="n">
        <x:v>46235</x:v>
      </x:c>
      <x:c r="B222" s="31" t="str">
        <x:v>Marketing</x:v>
      </x:c>
      <x:c r="C222" s="31" t="n">
        <x:v>7</x:v>
      </x:c>
      <x:c r="D222" s="31" t="n">
        <x:v>7</x:v>
      </x:c>
      <x:c r="E222" s="31" t="n">
        <x:v>7</x:v>
      </x:c>
      <x:c r="F222" s="32" t="n">
        <x:v>62550</x:v>
      </x:c>
      <x:c r="G222" s="32" t="n">
        <x:v>13761</x:v>
      </x:c>
      <x:c r="H222" s="32" t="n">
        <x:v>76311</x:v>
      </x:c>
      <x:c r="I222" s="31"/>
      <x:c r="J222" s="31"/>
      <x:c r="K222" s="31"/>
      <x:c r="L222" s="31"/>
    </x:row>
    <x:row r="223">
      <x:c r="A223" s="33" t="n">
        <x:v>46235</x:v>
      </x:c>
      <x:c r="B223" s="31" t="str">
        <x:v>Customer Success</x:v>
      </x:c>
      <x:c r="C223" s="31" t="n">
        <x:v>8</x:v>
      </x:c>
      <x:c r="D223" s="31" t="n">
        <x:v>8</x:v>
      </x:c>
      <x:c r="E223" s="31" t="n">
        <x:v>8</x:v>
      </x:c>
      <x:c r="F223" s="32" t="n">
        <x:v>67108.33333333333</x:v>
      </x:c>
      <x:c r="G223" s="32" t="n">
        <x:v>14763.833333333332</x:v>
      </x:c>
      <x:c r="H223" s="32" t="n">
        <x:v>81872.16666666666</x:v>
      </x:c>
      <x:c r="I223" s="31"/>
      <x:c r="J223" s="31"/>
      <x:c r="K223" s="31"/>
      <x:c r="L223" s="31"/>
    </x:row>
    <x:row r="224">
      <x:c r="A224" s="33" t="n">
        <x:v>46235</x:v>
      </x:c>
      <x:c r="B224" s="31" t="str">
        <x:v>G&amp;A</x:v>
      </x:c>
      <x:c r="C224" s="31" t="n">
        <x:v>6</x:v>
      </x:c>
      <x:c r="D224" s="31" t="n">
        <x:v>6</x:v>
      </x:c>
      <x:c r="E224" s="31" t="n">
        <x:v>6</x:v>
      </x:c>
      <x:c r="F224" s="32" t="n">
        <x:v>61716.666666666664</x:v>
      </x:c>
      <x:c r="G224" s="32" t="n">
        <x:v>13577.666666666666</x:v>
      </x:c>
      <x:c r="H224" s="32" t="n">
        <x:v>75294.33333333333</x:v>
      </x:c>
      <x:c r="I224" s="31"/>
      <x:c r="J224" s="31"/>
      <x:c r="K224" s="31"/>
      <x:c r="L224" s="31"/>
    </x:row>
    <x:row r="225">
      <x:c r="A225" s="33" t="n">
        <x:v>46266</x:v>
      </x:c>
      <x:c r="B225" s="31" t="str">
        <x:v>Engineering</x:v>
      </x:c>
      <x:c r="C225" s="31" t="n">
        <x:v>19</x:v>
      </x:c>
      <x:c r="D225" s="31" t="n">
        <x:v>19</x:v>
      </x:c>
      <x:c r="E225" s="31" t="n">
        <x:v>19</x:v>
      </x:c>
      <x:c r="F225" s="32" t="n">
        <x:v>239408.33333333334</x:v>
      </x:c>
      <x:c r="G225" s="32" t="n">
        <x:v>52669.833333333336</x:v>
      </x:c>
      <x:c r="H225" s="32" t="n">
        <x:v>292078.1666666667</x:v>
      </x:c>
      <x:c r="I225" s="31"/>
      <x:c r="J225" s="31"/>
      <x:c r="K225" s="31"/>
      <x:c r="L225" s="31"/>
    </x:row>
    <x:row r="226">
      <x:c r="A226" s="33" t="n">
        <x:v>46266</x:v>
      </x:c>
      <x:c r="B226" s="31" t="str">
        <x:v>Sales</x:v>
      </x:c>
      <x:c r="C226" s="31" t="n">
        <x:v>12</x:v>
      </x:c>
      <x:c r="D226" s="31" t="n">
        <x:v>12</x:v>
      </x:c>
      <x:c r="E226" s="31" t="n">
        <x:v>12</x:v>
      </x:c>
      <x:c r="F226" s="32" t="n">
        <x:v>115225</x:v>
      </x:c>
      <x:c r="G226" s="32" t="n">
        <x:v>25349.5</x:v>
      </x:c>
      <x:c r="H226" s="32" t="n">
        <x:v>140574.5</x:v>
      </x:c>
      <x:c r="I226" s="31"/>
      <x:c r="J226" s="31"/>
      <x:c r="K226" s="31"/>
      <x:c r="L226" s="31"/>
    </x:row>
    <x:row r="227">
      <x:c r="A227" s="33" t="n">
        <x:v>46266</x:v>
      </x:c>
      <x:c r="B227" s="31" t="str">
        <x:v>Marketing</x:v>
      </x:c>
      <x:c r="C227" s="31" t="n">
        <x:v>7</x:v>
      </x:c>
      <x:c r="D227" s="31" t="n">
        <x:v>7</x:v>
      </x:c>
      <x:c r="E227" s="31" t="n">
        <x:v>7</x:v>
      </x:c>
      <x:c r="F227" s="32" t="n">
        <x:v>62550</x:v>
      </x:c>
      <x:c r="G227" s="32" t="n">
        <x:v>13761</x:v>
      </x:c>
      <x:c r="H227" s="32" t="n">
        <x:v>76311</x:v>
      </x:c>
      <x:c r="I227" s="31"/>
      <x:c r="J227" s="31"/>
      <x:c r="K227" s="31"/>
      <x:c r="L227" s="31"/>
    </x:row>
    <x:row r="228">
      <x:c r="A228" s="33" t="n">
        <x:v>46266</x:v>
      </x:c>
      <x:c r="B228" s="31" t="str">
        <x:v>Customer Success</x:v>
      </x:c>
      <x:c r="C228" s="31" t="n">
        <x:v>8</x:v>
      </x:c>
      <x:c r="D228" s="31" t="n">
        <x:v>8</x:v>
      </x:c>
      <x:c r="E228" s="31" t="n">
        <x:v>8</x:v>
      </x:c>
      <x:c r="F228" s="32" t="n">
        <x:v>67108.33333333333</x:v>
      </x:c>
      <x:c r="G228" s="32" t="n">
        <x:v>14763.833333333332</x:v>
      </x:c>
      <x:c r="H228" s="32" t="n">
        <x:v>81872.16666666666</x:v>
      </x:c>
      <x:c r="I228" s="31"/>
      <x:c r="J228" s="31"/>
      <x:c r="K228" s="31"/>
      <x:c r="L228" s="31"/>
    </x:row>
    <x:row r="229">
      <x:c r="A229" s="33" t="n">
        <x:v>46266</x:v>
      </x:c>
      <x:c r="B229" s="31" t="str">
        <x:v>G&amp;A</x:v>
      </x:c>
      <x:c r="C229" s="31" t="n">
        <x:v>6</x:v>
      </x:c>
      <x:c r="D229" s="31" t="n">
        <x:v>6</x:v>
      </x:c>
      <x:c r="E229" s="31" t="n">
        <x:v>6</x:v>
      </x:c>
      <x:c r="F229" s="32" t="n">
        <x:v>61716.666666666664</x:v>
      </x:c>
      <x:c r="G229" s="32" t="n">
        <x:v>13577.666666666666</x:v>
      </x:c>
      <x:c r="H229" s="32" t="n">
        <x:v>75294.33333333333</x:v>
      </x:c>
      <x:c r="I229" s="31"/>
      <x:c r="J229" s="31"/>
      <x:c r="K229" s="31"/>
      <x:c r="L229" s="31"/>
    </x:row>
    <x:row r="230">
      <x:c r="A230" s="33" t="n">
        <x:v>46296</x:v>
      </x:c>
      <x:c r="B230" s="31" t="str">
        <x:v>Engineering</x:v>
      </x:c>
      <x:c r="C230" s="31" t="n">
        <x:v>19</x:v>
      </x:c>
      <x:c r="D230" s="31" t="n">
        <x:v>19</x:v>
      </x:c>
      <x:c r="E230" s="31" t="n">
        <x:v>19</x:v>
      </x:c>
      <x:c r="F230" s="32" t="n">
        <x:v>239408.33333333334</x:v>
      </x:c>
      <x:c r="G230" s="32" t="n">
        <x:v>52669.833333333336</x:v>
      </x:c>
      <x:c r="H230" s="32" t="n">
        <x:v>292078.1666666667</x:v>
      </x:c>
      <x:c r="I230" s="31"/>
      <x:c r="J230" s="31"/>
      <x:c r="K230" s="31"/>
      <x:c r="L230" s="31"/>
    </x:row>
    <x:row r="231">
      <x:c r="A231" s="33" t="n">
        <x:v>46296</x:v>
      </x:c>
      <x:c r="B231" s="31" t="str">
        <x:v>Sales</x:v>
      </x:c>
      <x:c r="C231" s="31" t="n">
        <x:v>12</x:v>
      </x:c>
      <x:c r="D231" s="31" t="n">
        <x:v>12</x:v>
      </x:c>
      <x:c r="E231" s="31" t="n">
        <x:v>12</x:v>
      </x:c>
      <x:c r="F231" s="32" t="n">
        <x:v>115225</x:v>
      </x:c>
      <x:c r="G231" s="32" t="n">
        <x:v>25349.5</x:v>
      </x:c>
      <x:c r="H231" s="32" t="n">
        <x:v>140574.5</x:v>
      </x:c>
      <x:c r="I231" s="31"/>
      <x:c r="J231" s="31"/>
      <x:c r="K231" s="31"/>
      <x:c r="L231" s="31"/>
    </x:row>
    <x:row r="232">
      <x:c r="A232" s="33" t="n">
        <x:v>46296</x:v>
      </x:c>
      <x:c r="B232" s="31" t="str">
        <x:v>Marketing</x:v>
      </x:c>
      <x:c r="C232" s="31" t="n">
        <x:v>7</x:v>
      </x:c>
      <x:c r="D232" s="31" t="n">
        <x:v>7</x:v>
      </x:c>
      <x:c r="E232" s="31" t="n">
        <x:v>7</x:v>
      </x:c>
      <x:c r="F232" s="32" t="n">
        <x:v>62550</x:v>
      </x:c>
      <x:c r="G232" s="32" t="n">
        <x:v>13761</x:v>
      </x:c>
      <x:c r="H232" s="32" t="n">
        <x:v>76311</x:v>
      </x:c>
      <x:c r="I232" s="31"/>
      <x:c r="J232" s="31"/>
      <x:c r="K232" s="31"/>
      <x:c r="L232" s="31"/>
    </x:row>
    <x:row r="233">
      <x:c r="A233" s="33" t="n">
        <x:v>46296</x:v>
      </x:c>
      <x:c r="B233" s="31" t="str">
        <x:v>Customer Success</x:v>
      </x:c>
      <x:c r="C233" s="31" t="n">
        <x:v>8</x:v>
      </x:c>
      <x:c r="D233" s="31" t="n">
        <x:v>8</x:v>
      </x:c>
      <x:c r="E233" s="31" t="n">
        <x:v>8</x:v>
      </x:c>
      <x:c r="F233" s="32" t="n">
        <x:v>67108.33333333333</x:v>
      </x:c>
      <x:c r="G233" s="32" t="n">
        <x:v>14763.833333333332</x:v>
      </x:c>
      <x:c r="H233" s="32" t="n">
        <x:v>81872.16666666666</x:v>
      </x:c>
      <x:c r="I233" s="31"/>
      <x:c r="J233" s="31"/>
      <x:c r="K233" s="31"/>
      <x:c r="L233" s="31"/>
    </x:row>
    <x:row r="234">
      <x:c r="A234" s="33" t="n">
        <x:v>46296</x:v>
      </x:c>
      <x:c r="B234" s="31" t="str">
        <x:v>G&amp;A</x:v>
      </x:c>
      <x:c r="C234" s="31" t="n">
        <x:v>6</x:v>
      </x:c>
      <x:c r="D234" s="31" t="n">
        <x:v>6</x:v>
      </x:c>
      <x:c r="E234" s="31" t="n">
        <x:v>6</x:v>
      </x:c>
      <x:c r="F234" s="32" t="n">
        <x:v>61716.666666666664</x:v>
      </x:c>
      <x:c r="G234" s="32" t="n">
        <x:v>13577.666666666666</x:v>
      </x:c>
      <x:c r="H234" s="32" t="n">
        <x:v>75294.33333333333</x:v>
      </x:c>
      <x:c r="I234" s="31"/>
      <x:c r="J234" s="31"/>
      <x:c r="K234" s="31"/>
      <x:c r="L234" s="31"/>
    </x:row>
    <x:row r="235">
      <x:c r="A235" s="33" t="n">
        <x:v>46327</x:v>
      </x:c>
      <x:c r="B235" s="31" t="str">
        <x:v>Engineering</x:v>
      </x:c>
      <x:c r="C235" s="31" t="n">
        <x:v>19</x:v>
      </x:c>
      <x:c r="D235" s="31" t="n">
        <x:v>19</x:v>
      </x:c>
      <x:c r="E235" s="31" t="n">
        <x:v>19</x:v>
      </x:c>
      <x:c r="F235" s="32" t="n">
        <x:v>239408.33333333334</x:v>
      </x:c>
      <x:c r="G235" s="32" t="n">
        <x:v>52669.833333333336</x:v>
      </x:c>
      <x:c r="H235" s="32" t="n">
        <x:v>292078.1666666667</x:v>
      </x:c>
      <x:c r="I235" s="31"/>
      <x:c r="J235" s="31"/>
      <x:c r="K235" s="31"/>
      <x:c r="L235" s="31"/>
    </x:row>
    <x:row r="236">
      <x:c r="A236" s="33" t="n">
        <x:v>46327</x:v>
      </x:c>
      <x:c r="B236" s="31" t="str">
        <x:v>Sales</x:v>
      </x:c>
      <x:c r="C236" s="31" t="n">
        <x:v>12</x:v>
      </x:c>
      <x:c r="D236" s="31" t="n">
        <x:v>12</x:v>
      </x:c>
      <x:c r="E236" s="31" t="n">
        <x:v>12</x:v>
      </x:c>
      <x:c r="F236" s="32" t="n">
        <x:v>115225</x:v>
      </x:c>
      <x:c r="G236" s="32" t="n">
        <x:v>25349.5</x:v>
      </x:c>
      <x:c r="H236" s="32" t="n">
        <x:v>140574.5</x:v>
      </x:c>
      <x:c r="I236" s="31"/>
      <x:c r="J236" s="31"/>
      <x:c r="K236" s="31"/>
      <x:c r="L236" s="31"/>
    </x:row>
    <x:row r="237">
      <x:c r="A237" s="33" t="n">
        <x:v>46327</x:v>
      </x:c>
      <x:c r="B237" s="31" t="str">
        <x:v>Marketing</x:v>
      </x:c>
      <x:c r="C237" s="31" t="n">
        <x:v>7</x:v>
      </x:c>
      <x:c r="D237" s="31" t="n">
        <x:v>7</x:v>
      </x:c>
      <x:c r="E237" s="31" t="n">
        <x:v>7</x:v>
      </x:c>
      <x:c r="F237" s="32" t="n">
        <x:v>62550</x:v>
      </x:c>
      <x:c r="G237" s="32" t="n">
        <x:v>13761</x:v>
      </x:c>
      <x:c r="H237" s="32" t="n">
        <x:v>76311</x:v>
      </x:c>
      <x:c r="I237" s="31"/>
      <x:c r="J237" s="31"/>
      <x:c r="K237" s="31"/>
      <x:c r="L237" s="31"/>
    </x:row>
    <x:row r="238">
      <x:c r="A238" s="33" t="n">
        <x:v>46327</x:v>
      </x:c>
      <x:c r="B238" s="31" t="str">
        <x:v>Customer Success</x:v>
      </x:c>
      <x:c r="C238" s="31" t="n">
        <x:v>8</x:v>
      </x:c>
      <x:c r="D238" s="31" t="n">
        <x:v>8</x:v>
      </x:c>
      <x:c r="E238" s="31" t="n">
        <x:v>8</x:v>
      </x:c>
      <x:c r="F238" s="32" t="n">
        <x:v>67108.33333333333</x:v>
      </x:c>
      <x:c r="G238" s="32" t="n">
        <x:v>14763.833333333332</x:v>
      </x:c>
      <x:c r="H238" s="32" t="n">
        <x:v>81872.16666666666</x:v>
      </x:c>
      <x:c r="I238" s="31"/>
      <x:c r="J238" s="31"/>
      <x:c r="K238" s="31"/>
      <x:c r="L238" s="31"/>
    </x:row>
    <x:row r="239">
      <x:c r="A239" s="33" t="n">
        <x:v>46327</x:v>
      </x:c>
      <x:c r="B239" s="31" t="str">
        <x:v>G&amp;A</x:v>
      </x:c>
      <x:c r="C239" s="31" t="n">
        <x:v>6</x:v>
      </x:c>
      <x:c r="D239" s="31" t="n">
        <x:v>6</x:v>
      </x:c>
      <x:c r="E239" s="31" t="n">
        <x:v>6</x:v>
      </x:c>
      <x:c r="F239" s="32" t="n">
        <x:v>61716.666666666664</x:v>
      </x:c>
      <x:c r="G239" s="32" t="n">
        <x:v>13577.666666666666</x:v>
      </x:c>
      <x:c r="H239" s="32" t="n">
        <x:v>75294.33333333333</x:v>
      </x:c>
      <x:c r="I239" s="31"/>
      <x:c r="J239" s="31"/>
      <x:c r="K239" s="31"/>
      <x:c r="L239" s="31"/>
    </x:row>
    <x:row r="240">
      <x:c r="A240" s="33" t="n">
        <x:v>46357</x:v>
      </x:c>
      <x:c r="B240" s="31" t="str">
        <x:v>Engineering</x:v>
      </x:c>
      <x:c r="C240" s="31" t="n">
        <x:v>19</x:v>
      </x:c>
      <x:c r="D240" s="31" t="n">
        <x:v>19</x:v>
      </x:c>
      <x:c r="E240" s="31" t="n">
        <x:v>19</x:v>
      </x:c>
      <x:c r="F240" s="32" t="n">
        <x:v>239408.33333333334</x:v>
      </x:c>
      <x:c r="G240" s="32" t="n">
        <x:v>52669.833333333336</x:v>
      </x:c>
      <x:c r="H240" s="32" t="n">
        <x:v>292078.1666666667</x:v>
      </x:c>
      <x:c r="I240" s="31"/>
      <x:c r="J240" s="31"/>
      <x:c r="K240" s="31"/>
      <x:c r="L240" s="31"/>
    </x:row>
    <x:row r="241">
      <x:c r="A241" s="33" t="n">
        <x:v>46357</x:v>
      </x:c>
      <x:c r="B241" s="31" t="str">
        <x:v>Sales</x:v>
      </x:c>
      <x:c r="C241" s="31" t="n">
        <x:v>12</x:v>
      </x:c>
      <x:c r="D241" s="31" t="n">
        <x:v>12</x:v>
      </x:c>
      <x:c r="E241" s="31" t="n">
        <x:v>12</x:v>
      </x:c>
      <x:c r="F241" s="32" t="n">
        <x:v>115225</x:v>
      </x:c>
      <x:c r="G241" s="32" t="n">
        <x:v>25349.5</x:v>
      </x:c>
      <x:c r="H241" s="32" t="n">
        <x:v>140574.5</x:v>
      </x:c>
      <x:c r="I241" s="31"/>
      <x:c r="J241" s="31"/>
      <x:c r="K241" s="31"/>
      <x:c r="L241" s="31"/>
    </x:row>
    <x:row r="242">
      <x:c r="A242" s="33" t="n">
        <x:v>46357</x:v>
      </x:c>
      <x:c r="B242" s="31" t="str">
        <x:v>Marketing</x:v>
      </x:c>
      <x:c r="C242" s="31" t="n">
        <x:v>7</x:v>
      </x:c>
      <x:c r="D242" s="31" t="n">
        <x:v>7</x:v>
      </x:c>
      <x:c r="E242" s="31" t="n">
        <x:v>7</x:v>
      </x:c>
      <x:c r="F242" s="32" t="n">
        <x:v>62550</x:v>
      </x:c>
      <x:c r="G242" s="32" t="n">
        <x:v>13761</x:v>
      </x:c>
      <x:c r="H242" s="32" t="n">
        <x:v>76311</x:v>
      </x:c>
      <x:c r="I242" s="31"/>
      <x:c r="J242" s="31"/>
      <x:c r="K242" s="31"/>
      <x:c r="L242" s="31"/>
    </x:row>
    <x:row r="243">
      <x:c r="A243" s="33" t="n">
        <x:v>46357</x:v>
      </x:c>
      <x:c r="B243" s="31" t="str">
        <x:v>Customer Success</x:v>
      </x:c>
      <x:c r="C243" s="31" t="n">
        <x:v>8</x:v>
      </x:c>
      <x:c r="D243" s="31" t="n">
        <x:v>8</x:v>
      </x:c>
      <x:c r="E243" s="31" t="n">
        <x:v>8</x:v>
      </x:c>
      <x:c r="F243" s="32" t="n">
        <x:v>67108.33333333333</x:v>
      </x:c>
      <x:c r="G243" s="32" t="n">
        <x:v>14763.833333333332</x:v>
      </x:c>
      <x:c r="H243" s="32" t="n">
        <x:v>81872.16666666666</x:v>
      </x:c>
      <x:c r="I243" s="31"/>
      <x:c r="J243" s="31"/>
      <x:c r="K243" s="31"/>
      <x:c r="L243" s="31"/>
    </x:row>
    <x:row r="244">
      <x:c r="A244" s="33" t="n">
        <x:v>46357</x:v>
      </x:c>
      <x:c r="B244" s="31" t="str">
        <x:v>G&amp;A</x:v>
      </x:c>
      <x:c r="C244" s="31" t="n">
        <x:v>6</x:v>
      </x:c>
      <x:c r="D244" s="31" t="n">
        <x:v>6</x:v>
      </x:c>
      <x:c r="E244" s="31" t="n">
        <x:v>6</x:v>
      </x:c>
      <x:c r="F244" s="32" t="n">
        <x:v>61716.666666666664</x:v>
      </x:c>
      <x:c r="G244" s="32" t="n">
        <x:v>13577.666666666666</x:v>
      </x:c>
      <x:c r="H244" s="32" t="n">
        <x:v>75294.33333333333</x:v>
      </x:c>
      <x:c r="I244" s="31"/>
      <x:c r="J244" s="31"/>
      <x:c r="K244" s="31"/>
      <x:c r="L244" s="31"/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customHeight="1">
      <x:c r="A1" s="24" t="str">
        <x:v>Budget versus actuals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31"/>
      <x:c r="N1" s="31"/>
    </x:row>
    <x:row r="2" ht="22" customHeight="1">
      <x:c r="A2" s="30" t="str">
        <x:v>Favorable variance is positive for revenue and when actual expense is below budget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1"/>
      <x:c r="N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</x:row>
    <x:row r="4">
      <x:c r="A4" s="27" t="str">
        <x:v>Month</x:v>
      </x:c>
      <x:c r="B4" s="27" t="str">
        <x:v>Budget revenue</x:v>
      </x:c>
      <x:c r="C4" s="27" t="str">
        <x:v>Actual revenue</x:v>
      </x:c>
      <x:c r="D4" s="27" t="str">
        <x:v>Revenue var</x:v>
      </x:c>
      <x:c r="E4" s="27" t="str">
        <x:v>Budget COGS</x:v>
      </x:c>
      <x:c r="F4" s="27" t="str">
        <x:v>Actual COGS</x:v>
      </x:c>
      <x:c r="G4" s="27" t="str">
        <x:v>COGS var</x:v>
      </x:c>
      <x:c r="H4" s="27" t="str">
        <x:v>Budget payroll</x:v>
      </x:c>
      <x:c r="I4" s="27" t="str">
        <x:v>Actual payroll</x:v>
      </x:c>
      <x:c r="J4" s="27" t="str">
        <x:v>Payroll var</x:v>
      </x:c>
      <x:c r="K4" s="27" t="str">
        <x:v>Budget other opex</x:v>
      </x:c>
      <x:c r="L4" s="27" t="str">
        <x:v>Actual other opex</x:v>
      </x:c>
      <x:c r="M4" s="27" t="str">
        <x:v>Opex var</x:v>
      </x:c>
      <x:c r="N4" s="27" t="str">
        <x:v>Operating variance</x:v>
      </x:c>
    </x:row>
    <x:row r="5">
      <x:c r="A5" s="33" t="n">
        <x:f>'Actuals Data'!A2</x:f>
        <x:v>44927</x:v>
      </x:c>
      <x:c r="B5" s="32" t="n">
        <x:f>'Actuals Data'!B2</x:f>
        <x:v>126075.48682926831</x:v>
      </x:c>
      <x:c r="C5" s="32" t="n">
        <x:f>'Actuals Data'!F2</x:f>
        <x:v>129227.37400000001</x:v>
      </x:c>
      <x:c r="D5" s="32" t="n">
        <x:f>C5-B5</x:f>
        <x:v>3151.887170731701</x:v>
      </x:c>
      <x:c r="E5" s="32" t="n">
        <x:f>'Actuals Data'!C2</x:f>
        <x:v>23954.342497560978</x:v>
      </x:c>
      <x:c r="F5" s="32" t="n">
        <x:f>'Actuals Data'!G2</x:f>
        <x:v>25139.068437545437</x:v>
      </x:c>
      <x:c r="G5" s="32" t="n">
        <x:f>E5-F5</x:f>
        <x:v>-1184.7259399844588</x:v>
      </x:c>
      <x:c r="H5" s="32" t="n">
        <x:f>'Actuals Data'!D2</x:f>
        <x:v>26049.440000000002</x:v>
      </x:c>
      <x:c r="I5" s="32" t="n">
        <x:f>'Actuals Data'!H2</x:f>
        <x:v>25538.666666666668</x:v>
      </x:c>
      <x:c r="J5" s="32" t="n">
        <x:f>H5-I5</x:f>
        <x:v>510.77333333333445</x:v>
      </x:c>
      <x:c r="K5" s="32" t="n">
        <x:f>'Actuals Data'!E2</x:f>
        <x:v>179861.15</x:v>
      </x:c>
      <x:c r="L5" s="32" t="n">
        <x:f>'Actuals Data'!I2</x:f>
        <x:v>192394.77</x:v>
      </x:c>
      <x:c r="M5" s="32" t="n">
        <x:f>K5-L5</x:f>
        <x:v>-12533.619999999995</x:v>
      </x:c>
      <x:c r="N5" s="32" t="n">
        <x:f>D5+G5+J5+M5</x:f>
        <x:v>-10055.685435919419</x:v>
      </x:c>
    </x:row>
    <x:row r="6">
      <x:c r="A6" s="33" t="n">
        <x:f>'Actuals Data'!A3</x:f>
        <x:v>44958</x:v>
      </x:c>
      <x:c r="B6" s="32" t="n">
        <x:f>'Actuals Data'!B3</x:f>
        <x:v>129969.06536585366</x:v>
      </x:c>
      <x:c r="C6" s="32" t="n">
        <x:f>'Actuals Data'!F3</x:f>
        <x:v>133218.292</x:v>
      </x:c>
      <x:c r="D6" s="32" t="n">
        <x:f>C6-B6</x:f>
        <x:v>3249.2266341463255</x:v>
      </x:c>
      <x:c r="E6" s="32" t="n">
        <x:f>'Actuals Data'!C3</x:f>
        <x:v>24694.122419512198</x:v>
      </x:c>
      <x:c r="F6" s="32" t="n">
        <x:f>'Actuals Data'!G3</x:f>
        <x:v>26235.80744369323</x:v>
      </x:c>
      <x:c r="G6" s="32" t="n">
        <x:f>E6-F6</x:f>
        <x:v>-1541.6850241810316</x:v>
      </x:c>
      <x:c r="H6" s="32" t="n">
        <x:f>'Actuals Data'!D3</x:f>
        <x:v>26049.440000000002</x:v>
      </x:c>
      <x:c r="I6" s="32" t="n">
        <x:f>'Actuals Data'!H3</x:f>
        <x:v>25538.666666666668</x:v>
      </x:c>
      <x:c r="J6" s="32" t="n">
        <x:f>H6-I6</x:f>
        <x:v>510.77333333333445</x:v>
      </x:c>
      <x:c r="K6" s="32" t="n">
        <x:f>'Actuals Data'!E3</x:f>
        <x:v>182300.1</x:v>
      </x:c>
      <x:c r="L6" s="32" t="n">
        <x:f>'Actuals Data'!I3</x:f>
        <x:v>189729.39</x:v>
      </x:c>
      <x:c r="M6" s="32" t="n">
        <x:f>K6-L6</x:f>
        <x:v>-7429.290000000008</x:v>
      </x:c>
      <x:c r="N6" s="32" t="n">
        <x:f>D6+G6+J6+M6</x:f>
        <x:v>-5210.97505670138</x:v>
      </x:c>
    </x:row>
    <x:row r="7">
      <x:c r="A7" s="33" t="n">
        <x:f>'Actuals Data'!A4</x:f>
        <x:v>44986</x:v>
      </x:c>
      <x:c r="B7" s="32" t="n">
        <x:f>'Actuals Data'!B4</x:f>
        <x:v>134014.04682926828</x:v>
      </x:c>
      <x:c r="C7" s="32" t="n">
        <x:f>'Actuals Data'!F4</x:f>
        <x:v>137364.398</x:v>
      </x:c>
      <x:c r="D7" s="32" t="n">
        <x:f>C7-B7</x:f>
        <x:v>3350.3511707317084</x:v>
      </x:c>
      <x:c r="E7" s="32" t="n">
        <x:f>'Actuals Data'!C4</x:f>
        <x:v>25462.668897560972</x:v>
      </x:c>
      <x:c r="F7" s="32" t="n">
        <x:f>'Actuals Data'!G4</x:f>
        <x:v>26942.87426197609</x:v>
      </x:c>
      <x:c r="G7" s="32" t="n">
        <x:f>E7-F7</x:f>
        <x:v>-1480.2053644151165</x:v>
      </x:c>
      <x:c r="H7" s="32" t="n">
        <x:f>'Actuals Data'!D4</x:f>
        <x:v>51808.52</x:v>
      </x:c>
      <x:c r="I7" s="32" t="n">
        <x:f>'Actuals Data'!H4</x:f>
        <x:v>50792.666666666664</x:v>
      </x:c>
      <x:c r="J7" s="32" t="n">
        <x:f>H7-I7</x:f>
        <x:v>1015.8533333333326</x:v>
      </x:c>
      <x:c r="K7" s="32" t="n">
        <x:f>'Actuals Data'!E4</x:f>
        <x:v>184756.91</x:v>
      </x:c>
      <x:c r="L7" s="32" t="n">
        <x:f>'Actuals Data'!I4</x:f>
        <x:v>202374.15000000002</x:v>
      </x:c>
      <x:c r="M7" s="32" t="n">
        <x:f>K7-L7</x:f>
        <x:v>-17617.24000000002</x:v>
      </x:c>
      <x:c r="N7" s="32" t="n">
        <x:f>D7+G7+J7+M7</x:f>
        <x:v>-14731.240860350095</x:v>
      </x:c>
    </x:row>
    <x:row r="8">
      <x:c r="A8" s="33" t="n">
        <x:f>'Actuals Data'!A5</x:f>
        <x:v>45017</x:v>
      </x:c>
      <x:c r="B8" s="32" t="n">
        <x:f>'Actuals Data'!B5</x:f>
        <x:v>138500.1873170732</x:v>
      </x:c>
      <x:c r="C8" s="32" t="n">
        <x:f>'Actuals Data'!F5</x:f>
        <x:v>141962.692</x:v>
      </x:c>
      <x:c r="D8" s="32" t="n">
        <x:f>C8-B8</x:f>
        <x:v>3462.5046829268103</x:v>
      </x:c>
      <x:c r="E8" s="32" t="n">
        <x:f>'Actuals Data'!C5</x:f>
        <x:v>26315.035590243908</x:v>
      </x:c>
      <x:c r="F8" s="32" t="n">
        <x:f>'Actuals Data'!G5</x:f>
        <x:v>27766.614897090363</x:v>
      </x:c>
      <x:c r="G8" s="32" t="n">
        <x:f>E8-F8</x:f>
        <x:v>-1451.5793068464554</x:v>
      </x:c>
      <x:c r="H8" s="32" t="n">
        <x:f>'Actuals Data'!D5</x:f>
        <x:v>78355.72</x:v>
      </x:c>
      <x:c r="I8" s="32" t="n">
        <x:f>'Actuals Data'!H5</x:f>
        <x:v>76819.33333333333</x:v>
      </x:c>
      <x:c r="J8" s="32" t="n">
        <x:f>H8-I8</x:f>
        <x:v>1536.3866666666727</x:v>
      </x:c>
      <x:c r="K8" s="32" t="n">
        <x:f>'Actuals Data'!E5</x:f>
        <x:v>187265.71</x:v>
      </x:c>
      <x:c r="L8" s="32" t="n">
        <x:f>'Actuals Data'!I5</x:f>
        <x:v>195793.90999999997</x:v>
      </x:c>
      <x:c r="M8" s="32" t="n">
        <x:f>K8-L8</x:f>
        <x:v>-8528.199999999983</x:v>
      </x:c>
      <x:c r="N8" s="32" t="n">
        <x:f>D8+G8+J8+M8</x:f>
        <x:v>-4980.887957252955</x:v>
      </x:c>
    </x:row>
    <x:row r="9">
      <x:c r="A9" s="33" t="n">
        <x:f>'Actuals Data'!A6</x:f>
        <x:v>45047</x:v>
      </x:c>
      <x:c r="B9" s="32" t="n">
        <x:f>'Actuals Data'!B6</x:f>
        <x:v>143082.9131707317</x:v>
      </x:c>
      <x:c r="C9" s="32" t="n">
        <x:f>'Actuals Data'!F6</x:f>
        <x:v>146659.986</x:v>
      </x:c>
      <x:c r="D9" s="32" t="n">
        <x:f>C9-B9</x:f>
        <x:v>3577.0728292682907</x:v>
      </x:c>
      <x:c r="E9" s="32" t="n">
        <x:f>'Actuals Data'!C6</x:f>
        <x:v>27185.753502439027</x:v>
      </x:c>
      <x:c r="F9" s="32" t="n">
        <x:f>'Actuals Data'!G6</x:f>
        <x:v>28226.834987727336</x:v>
      </x:c>
      <x:c r="G9" s="32" t="n">
        <x:f>E9-F9</x:f>
        <x:v>-1041.0814852883086</x:v>
      </x:c>
      <x:c r="H9" s="32" t="n">
        <x:f>'Actuals Data'!D6</x:f>
        <x:v>86952.44999999998</x:v>
      </x:c>
      <x:c r="I9" s="32" t="n">
        <x:f>'Actuals Data'!H6</x:f>
        <x:v>85247.49999999999</x:v>
      </x:c>
      <x:c r="J9" s="32" t="n">
        <x:f>H9-I9</x:f>
        <x:v>1704.949999999997</x:v>
      </x:c>
      <x:c r="K9" s="32" t="n">
        <x:f>'Actuals Data'!E6</x:f>
        <x:v>189785.9</x:v>
      </x:c>
      <x:c r="L9" s="32" t="n">
        <x:f>'Actuals Data'!I6</x:f>
        <x:v>194423.65</x:v>
      </x:c>
      <x:c r="M9" s="32" t="n">
        <x:f>K9-L9</x:f>
        <x:v>-4637.75</x:v>
      </x:c>
      <x:c r="N9" s="32" t="n">
        <x:f>D9+G9+J9+M9</x:f>
        <x:v>-396.80865602002086</x:v>
      </x:c>
    </x:row>
    <x:row r="10">
      <x:c r="A10" s="33" t="n">
        <x:f>'Actuals Data'!A7</x:f>
        <x:v>45078</x:v>
      </x:c>
      <x:c r="B10" s="32" t="n">
        <x:f>'Actuals Data'!B7</x:f>
        <x:v>146438.7473170732</x:v>
      </x:c>
      <x:c r="C10" s="32" t="n">
        <x:f>'Actuals Data'!F7</x:f>
        <x:v>150099.71600000001</x:v>
      </x:c>
      <x:c r="D10" s="32" t="n">
        <x:f>C10-B10</x:f>
        <x:v>3660.9686829268176</x:v>
      </x:c>
      <x:c r="E10" s="32" t="n">
        <x:f>'Actuals Data'!C7</x:f>
        <x:v>27823.36199024391</x:v>
      </x:c>
      <x:c r="F10" s="32" t="n">
        <x:f>'Actuals Data'!G7</x:f>
        <x:v>28137.588811688594</x:v>
      </x:c>
      <x:c r="G10" s="32" t="n">
        <x:f>E10-F10</x:f>
        <x:v>-314.2268214446849</x:v>
      </x:c>
      <x:c r="H10" s="32" t="n">
        <x:f>'Actuals Data'!D7</x:f>
        <x:v>95943.23999999999</x:v>
      </x:c>
      <x:c r="I10" s="32" t="n">
        <x:f>'Actuals Data'!H7</x:f>
        <x:v>94061.99999999999</x:v>
      </x:c>
      <x:c r="J10" s="32" t="n">
        <x:f>H10-I10</x:f>
        <x:v>1881.2400000000052</x:v>
      </x:c>
      <x:c r="K10" s="32" t="n">
        <x:f>'Actuals Data'!E7</x:f>
        <x:v>192161.47</x:v>
      </x:c>
      <x:c r="L10" s="32" t="n">
        <x:f>'Actuals Data'!I7</x:f>
        <x:v>197565.34999999998</x:v>
      </x:c>
      <x:c r="M10" s="32" t="n">
        <x:f>K10-L10</x:f>
        <x:v>-5403.879999999976</x:v>
      </x:c>
      <x:c r="N10" s="32" t="n">
        <x:f>D10+G10+J10+M10</x:f>
        <x:v>-175.89813851783765</x:v>
      </x:c>
    </x:row>
    <x:row r="11">
      <x:c r="A11" s="33" t="n">
        <x:f>'Actuals Data'!A8</x:f>
        <x:v>45108</x:v>
      </x:c>
      <x:c r="B11" s="32" t="n">
        <x:f>'Actuals Data'!B8</x:f>
        <x:v>151366.0468292683</x:v>
      </x:c>
      <x:c r="C11" s="32" t="n">
        <x:f>'Actuals Data'!F8</x:f>
        <x:v>155150.198</x:v>
      </x:c>
      <x:c r="D11" s="32" t="n">
        <x:f>C11-B11</x:f>
        <x:v>3784.1511707316968</x:v>
      </x:c>
      <x:c r="E11" s="32" t="n">
        <x:f>'Actuals Data'!C8</x:f>
        <x:v>28759.548897560977</x:v>
      </x:c>
      <x:c r="F11" s="32" t="n">
        <x:f>'Actuals Data'!G8</x:f>
        <x:v>28697.49768090802</x:v>
      </x:c>
      <x:c r="G11" s="32" t="n">
        <x:f>E11-F11</x:f>
        <x:v>62.05121665295519</x:v>
      </x:c>
      <x:c r="H11" s="32" t="n">
        <x:f>'Actuals Data'!D8</x:f>
        <x:v>107028.77</x:v>
      </x:c>
      <x:c r="I11" s="32" t="n">
        <x:f>'Actuals Data'!H8</x:f>
        <x:v>104930.16666666667</x:v>
      </x:c>
      <x:c r="J11" s="32" t="n">
        <x:f>H11-I11</x:f>
        <x:v>2098.6033333333326</x:v>
      </x:c>
      <x:c r="K11" s="32" t="n">
        <x:f>'Actuals Data'!E8</x:f>
        <x:v>194722.27000000002</x:v>
      </x:c>
      <x:c r="L11" s="32" t="n">
        <x:f>'Actuals Data'!I8</x:f>
        <x:v>206306.94</x:v>
      </x:c>
      <x:c r="M11" s="32" t="n">
        <x:f>K11-L11</x:f>
        <x:v>-11584.669999999984</x:v>
      </x:c>
      <x:c r="N11" s="32" t="n">
        <x:f>D11+G11+J11+M11</x:f>
        <x:v>-5639.864279281999</x:v>
      </x:c>
    </x:row>
    <x:row r="12">
      <x:c r="A12" s="33" t="n">
        <x:f>'Actuals Data'!A9</x:f>
        <x:v>45139</x:v>
      </x:c>
      <x:c r="B12" s="32" t="n">
        <x:f>'Actuals Data'!B9</x:f>
        <x:v>155507.6136585366</x:v>
      </x:c>
      <x:c r="C12" s="32" t="n">
        <x:f>'Actuals Data'!F9</x:f>
        <x:v>159395.304</x:v>
      </x:c>
      <x:c r="D12" s="32" t="n">
        <x:f>C12-B12</x:f>
        <x:v>3887.6903414634</x:v>
      </x:c>
      <x:c r="E12" s="32" t="n">
        <x:f>'Actuals Data'!C9</x:f>
        <x:v>29546.446595121954</x:v>
      </x:c>
      <x:c r="F12" s="32" t="n">
        <x:f>'Actuals Data'!G9</x:f>
        <x:v>29096.198872689623</x:v>
      </x:c>
      <x:c r="G12" s="32" t="n">
        <x:f>E12-F12</x:f>
        <x:v>450.2477224323302</x:v>
      </x:c>
      <x:c r="H12" s="32" t="n">
        <x:f>'Actuals Data'!D9</x:f>
        <x:v>134260.39</x:v>
      </x:c>
      <x:c r="I12" s="32" t="n">
        <x:f>'Actuals Data'!H9</x:f>
        <x:v>131627.83333333334</x:v>
      </x:c>
      <x:c r="J12" s="32" t="n">
        <x:f>H12-I12</x:f>
        <x:v>2632.556666666671</x:v>
      </x:c>
      <x:c r="K12" s="32" t="n">
        <x:f>'Actuals Data'!E9</x:f>
        <x:v>197190.46</x:v>
      </x:c>
      <x:c r="L12" s="32" t="n">
        <x:f>'Actuals Data'!I9</x:f>
        <x:v>202968.04</x:v>
      </x:c>
      <x:c r="M12" s="32" t="n">
        <x:f>K12-L12</x:f>
        <x:v>-5777.580000000016</x:v>
      </x:c>
      <x:c r="N12" s="32" t="n">
        <x:f>D12+G12+J12+M12</x:f>
        <x:v>1192.9147305623846</x:v>
      </x:c>
    </x:row>
    <x:row r="13">
      <x:c r="A13" s="33" t="n">
        <x:f>'Actuals Data'!A10</x:f>
        <x:v>45170</x:v>
      </x:c>
      <x:c r="B13" s="32" t="n">
        <x:f>'Actuals Data'!B10</x:f>
        <x:v>158573.69170731708</x:v>
      </x:c>
      <x:c r="C13" s="32" t="n">
        <x:f>'Actuals Data'!F10</x:f>
        <x:v>162538.03399999999</x:v>
      </x:c>
      <x:c r="D13" s="32" t="n">
        <x:f>C13-B13</x:f>
        <x:v>3964.342292682908</x:v>
      </x:c>
      <x:c r="E13" s="32" t="n">
        <x:f>'Actuals Data'!C10</x:f>
        <x:v>30129.001424390244</x:v>
      </x:c>
      <x:c r="F13" s="32" t="n">
        <x:f>'Actuals Data'!G10</x:f>
        <x:v>28745.25795203866</x:v>
      </x:c>
      <x:c r="G13" s="32" t="n">
        <x:f>E13-F13</x:f>
        <x:v>1383.7434723515835</x:v>
      </x:c>
      <x:c r="H13" s="32" t="n">
        <x:f>'Actuals Data'!D10</x:f>
        <x:v>191637.6</x:v>
      </x:c>
      <x:c r="I13" s="32" t="n">
        <x:f>'Actuals Data'!H10</x:f>
        <x:v>187880</x:v>
      </x:c>
      <x:c r="J13" s="32" t="n">
        <x:f>H13-I13</x:f>
        <x:v>3757.600000000006</x:v>
      </x:c>
      <x:c r="K13" s="32" t="n">
        <x:f>'Actuals Data'!E10</x:f>
        <x:v>199531.87</x:v>
      </x:c>
      <x:c r="L13" s="32" t="n">
        <x:f>'Actuals Data'!I10</x:f>
        <x:v>201065.87</x:v>
      </x:c>
      <x:c r="M13" s="32" t="n">
        <x:f>K13-L13</x:f>
        <x:v>-1534</x:v>
      </x:c>
      <x:c r="N13" s="32" t="n">
        <x:f>D13+G13+J13+M13</x:f>
        <x:v>7571.685765034497</x:v>
      </x:c>
    </x:row>
    <x:row r="14">
      <x:c r="A14" s="33" t="n">
        <x:f>'Actuals Data'!A11</x:f>
        <x:v>45200</x:v>
      </x:c>
      <x:c r="B14" s="32" t="n">
        <x:f>'Actuals Data'!B11</x:f>
        <x:v>161984.34341463415</x:v>
      </x:c>
      <x:c r="C14" s="32" t="n">
        <x:f>'Actuals Data'!F11</x:f>
        <x:v>166033.952</x:v>
      </x:c>
      <x:c r="D14" s="32" t="n">
        <x:f>C14-B14</x:f>
        <x:v>4049.608585365844</x:v>
      </x:c>
      <x:c r="E14" s="32" t="n">
        <x:f>'Actuals Data'!C11</x:f>
        <x:v>30777.025248780486</x:v>
      </x:c>
      <x:c r="F14" s="32" t="n">
        <x:f>'Actuals Data'!G11</x:f>
        <x:v>30817.35790032903</x:v>
      </x:c>
      <x:c r="G14" s="32" t="n">
        <x:f>E14-F14</x:f>
        <x:v>-40.332651548542344</x:v>
      </x:c>
      <x:c r="H14" s="32" t="n">
        <x:f>'Actuals Data'!D11</x:f>
        <x:v>205958.57000000004</x:v>
      </x:c>
      <x:c r="I14" s="32" t="n">
        <x:f>'Actuals Data'!H11</x:f>
        <x:v>201920.1666666667</x:v>
      </x:c>
      <x:c r="J14" s="32" t="n">
        <x:f>H14-I14</x:f>
        <x:v>4038.40333333335</x:v>
      </x:c>
      <x:c r="K14" s="32" t="n">
        <x:f>'Actuals Data'!E11</x:f>
        <x:v>201913.9</x:v>
      </x:c>
      <x:c r="L14" s="32" t="n">
        <x:f>'Actuals Data'!I11</x:f>
        <x:v>211603.28000000003</x:v>
      </x:c>
      <x:c r="M14" s="32" t="n">
        <x:f>K14-L14</x:f>
        <x:v>-9689.380000000034</x:v>
      </x:c>
      <x:c r="N14" s="32" t="n">
        <x:f>D14+G14+J14+M14</x:f>
        <x:v>-1641.700732849382</x:v>
      </x:c>
    </x:row>
    <x:row r="15">
      <x:c r="A15" s="33" t="n">
        <x:f>'Actuals Data'!A12</x:f>
        <x:v>45231</x:v>
      </x:c>
      <x:c r="B15" s="32" t="n">
        <x:f>'Actuals Data'!B12</x:f>
        <x:v>166277.31317073174</x:v>
      </x:c>
      <x:c r="C15" s="32" t="n">
        <x:f>'Actuals Data'!F12</x:f>
        <x:v>170434.246</x:v>
      </x:c>
      <x:c r="D15" s="32" t="n">
        <x:f>C15-B15</x:f>
        <x:v>4156.932829268277</x:v>
      </x:c>
      <x:c r="E15" s="32" t="n">
        <x:f>'Actuals Data'!C12</x:f>
        <x:v>31592.68950243903</x:v>
      </x:c>
      <x:c r="F15" s="32" t="n">
        <x:f>'Actuals Data'!G12</x:f>
        <x:v>31873.22627343761</x:v>
      </x:c>
      <x:c r="G15" s="32" t="n">
        <x:f>E15-F15</x:f>
        <x:v>-280.5367709985803</x:v>
      </x:c>
      <x:c r="H15" s="32" t="n">
        <x:f>'Actuals Data'!D12</x:f>
        <x:v>219408.46000000002</x:v>
      </x:c>
      <x:c r="I15" s="32" t="n">
        <x:f>'Actuals Data'!H12</x:f>
        <x:v>215106.33333333334</x:v>
      </x:c>
      <x:c r="J15" s="32" t="n">
        <x:f>H15-I15</x:f>
        <x:v>4302.126666666678</x:v>
      </x:c>
      <x:c r="K15" s="32" t="n">
        <x:f>'Actuals Data'!E12</x:f>
        <x:v>204399.94</x:v>
      </x:c>
      <x:c r="L15" s="32" t="n">
        <x:f>'Actuals Data'!I12</x:f>
        <x:v>215453.89</x:v>
      </x:c>
      <x:c r="M15" s="32" t="n">
        <x:f>K15-L15</x:f>
        <x:v>-11053.950000000012</x:v>
      </x:c>
      <x:c r="N15" s="32" t="n">
        <x:f>D15+G15+J15+M15</x:f>
        <x:v>-2875.4272750636374</x:v>
      </x:c>
    </x:row>
    <x:row r="16">
      <x:c r="A16" s="33" t="n">
        <x:f>'Actuals Data'!A13</x:f>
        <x:v>45261</x:v>
      </x:c>
      <x:c r="B16" s="32" t="n">
        <x:f>'Actuals Data'!B13</x:f>
        <x:v>170860.03902439028</x:v>
      </x:c>
      <x:c r="C16" s="32" t="n">
        <x:f>'Actuals Data'!F13</x:f>
        <x:v>175131.54</x:v>
      </x:c>
      <x:c r="D16" s="32" t="n">
        <x:f>C16-B16</x:f>
        <x:v>4271.500975609728</x:v>
      </x:c>
      <x:c r="E16" s="32" t="n">
        <x:f>'Actuals Data'!C13</x:f>
        <x:v>32463.407414634155</x:v>
      </x:c>
      <x:c r="F16" s="32" t="n">
        <x:f>'Actuals Data'!G13</x:f>
        <x:v>32882.099569894155</x:v>
      </x:c>
      <x:c r="G16" s="32" t="n">
        <x:f>E16-F16</x:f>
        <x:v>-418.6921552599997</x:v>
      </x:c>
      <x:c r="H16" s="32" t="n">
        <x:f>'Actuals Data'!D13</x:f>
        <x:v>219408.46000000002</x:v>
      </x:c>
      <x:c r="I16" s="32" t="n">
        <x:f>'Actuals Data'!H13</x:f>
        <x:v>215106.33333333334</x:v>
      </x:c>
      <x:c r="J16" s="32" t="n">
        <x:f>H16-I16</x:f>
        <x:v>4302.126666666678</x:v>
      </x:c>
      <x:c r="K16" s="32" t="n">
        <x:f>'Actuals Data'!E13</x:f>
        <x:v>206920.13</x:v>
      </x:c>
      <x:c r="L16" s="32" t="n">
        <x:f>'Actuals Data'!I13</x:f>
        <x:v>218920.39</x:v>
      </x:c>
      <x:c r="M16" s="32" t="n">
        <x:f>K16-L16</x:f>
        <x:v>-12000.26000000001</x:v>
      </x:c>
      <x:c r="N16" s="32" t="n">
        <x:f>D16+G16+J16+M16</x:f>
        <x:v>-3845.324512983603</x:v>
      </x:c>
    </x:row>
    <x:row r="17">
      <x:c r="A17" s="33" t="n">
        <x:f>'Actuals Data'!A14</x:f>
        <x:v>45292</x:v>
      </x:c>
      <x:c r="B17" s="32" t="n">
        <x:f>'Actuals Data'!B14</x:f>
        <x:v>181026.69620487807</x:v>
      </x:c>
      <x:c r="C17" s="32" t="n">
        <x:f>'Actuals Data'!F14</x:f>
        <x:v>185552.36361</x:v>
      </x:c>
      <x:c r="D17" s="32" t="n">
        <x:f>C17-B17</x:f>
        <x:v>4525.667405121931</x:v>
      </x:c>
      <x:c r="E17" s="32" t="n">
        <x:f>'Actuals Data'!C14</x:f>
        <x:v>34395.07227892683</x:v>
      </x:c>
      <x:c r="F17" s="32" t="n">
        <x:f>'Actuals Data'!G14</x:f>
        <x:v>35674.36360349156</x:v>
      </x:c>
      <x:c r="G17" s="32" t="n">
        <x:f>E17-F17</x:f>
        <x:v>-1279.2913245647287</x:v>
      </x:c>
      <x:c r="H17" s="32" t="n">
        <x:f>'Actuals Data'!D14</x:f>
        <x:v>233967.94</x:v>
      </x:c>
      <x:c r="I17" s="32" t="n">
        <x:f>'Actuals Data'!H14</x:f>
        <x:v>229380.33333333334</x:v>
      </x:c>
      <x:c r="J17" s="32" t="n">
        <x:f>H17-I17</x:f>
        <x:v>4587.606666666659</x:v>
      </x:c>
      <x:c r="K17" s="32" t="n">
        <x:f>'Actuals Data'!E14</x:f>
        <x:v>210098.52000000002</x:v>
      </x:c>
      <x:c r="L17" s="32" t="n">
        <x:f>'Actuals Data'!I14</x:f>
        <x:v>227149.54000000004</x:v>
      </x:c>
      <x:c r="M17" s="32" t="n">
        <x:f>K17-L17</x:f>
        <x:v>-17051.02000000002</x:v>
      </x:c>
      <x:c r="N17" s="32" t="n">
        <x:f>D17+G17+J17+M17</x:f>
        <x:v>-9217.037252776157</x:v>
      </x:c>
    </x:row>
    <x:row r="18">
      <x:c r="A18" s="33" t="n">
        <x:f>'Actuals Data'!A15</x:f>
        <x:v>45323</x:v>
      </x:c>
      <x:c r="B18" s="32" t="n">
        <x:f>'Actuals Data'!B15</x:f>
        <x:v>185669.8516097561</x:v>
      </x:c>
      <x:c r="C18" s="32" t="n">
        <x:f>'Actuals Data'!F15</x:f>
        <x:v>190311.5979</x:v>
      </x:c>
      <x:c r="D18" s="32" t="n">
        <x:f>C18-B18</x:f>
        <x:v>4641.7462902439</x:v>
      </x:c>
      <x:c r="E18" s="32" t="n">
        <x:f>'Actuals Data'!C15</x:f>
        <x:v>35277.271805853656</x:v>
      </x:c>
      <x:c r="F18" s="32" t="n">
        <x:f>'Actuals Data'!G15</x:f>
        <x:v>37214.34935992303</x:v>
      </x:c>
      <x:c r="G18" s="32" t="n">
        <x:f>E18-F18</x:f>
        <x:v>-1937.0775540693721</x:v>
      </x:c>
      <x:c r="H18" s="32" t="n">
        <x:f>'Actuals Data'!D15</x:f>
        <x:v>255340.51</x:v>
      </x:c>
      <x:c r="I18" s="32" t="n">
        <x:f>'Actuals Data'!H15</x:f>
        <x:v>250333.83333333334</x:v>
      </x:c>
      <x:c r="J18" s="32" t="n">
        <x:f>H18-I18</x:f>
        <x:v>5006.676666666666</x:v>
      </x:c>
      <x:c r="K18" s="32" t="n">
        <x:f>'Actuals Data'!E15</x:f>
        <x:v>212625.83000000002</x:v>
      </x:c>
      <x:c r="L18" s="32" t="n">
        <x:f>'Actuals Data'!I15</x:f>
        <x:v>231262.74</x:v>
      </x:c>
      <x:c r="M18" s="32" t="n">
        <x:f>K18-L18</x:f>
        <x:v>-18636.909999999974</x:v>
      </x:c>
      <x:c r="N18" s="32" t="n">
        <x:f>D18+G18+J18+M18</x:f>
        <x:v>-10925.56459715878</x:v>
      </x:c>
    </x:row>
    <x:row r="19">
      <x:c r="A19" s="33" t="n">
        <x:f>'Actuals Data'!A16</x:f>
        <x:v>45352</x:v>
      </x:c>
      <x:c r="B19" s="32" t="n">
        <x:f>'Actuals Data'!B16</x:f>
        <x:v>191426.137902439</x:v>
      </x:c>
      <x:c r="C19" s="32" t="n">
        <x:f>'Actuals Data'!F16</x:f>
        <x:v>196211.79134999996</x:v>
      </x:c>
      <x:c r="D19" s="32" t="n">
        <x:f>C19-B19</x:f>
        <x:v>4785.653447560966</x:v>
      </x:c>
      <x:c r="E19" s="32" t="n">
        <x:f>'Actuals Data'!C16</x:f>
        <x:v>36370.96620146341</x:v>
      </x:c>
      <x:c r="F19" s="32" t="n">
        <x:f>'Actuals Data'!G16</x:f>
        <x:v>39598.54746943632</x:v>
      </x:c>
      <x:c r="G19" s="32" t="n">
        <x:f>E19-F19</x:f>
        <x:v>-3227.5812679729133</x:v>
      </x:c>
      <x:c r="H19" s="32" t="n">
        <x:f>'Actuals Data'!D16</x:f>
        <x:v>282520.27999999997</x:v>
      </x:c>
      <x:c r="I19" s="32" t="n">
        <x:f>'Actuals Data'!H16</x:f>
        <x:v>276980.6666666666</x:v>
      </x:c>
      <x:c r="J19" s="32" t="n">
        <x:f>H19-I19</x:f>
        <x:v>5539.613333333342</x:v>
      </x:c>
      <x:c r="K19" s="32" t="n">
        <x:f>'Actuals Data'!E16</x:f>
        <x:v>215284.36</x:v>
      </x:c>
      <x:c r="L19" s="32" t="n">
        <x:f>'Actuals Data'!I16</x:f>
        <x:v>226317.15</x:v>
      </x:c>
      <x:c r="M19" s="32" t="n">
        <x:f>K19-L19</x:f>
        <x:v>-11032.790000000008</x:v>
      </x:c>
      <x:c r="N19" s="32" t="n">
        <x:f>D19+G19+J19+M19</x:f>
        <x:v>-3935.1044870786136</x:v>
      </x:c>
    </x:row>
    <x:row r="20">
      <x:c r="A20" s="33" t="n">
        <x:f>'Actuals Data'!A17</x:f>
        <x:v>45383</x:v>
      </x:c>
      <x:c r="B20" s="32" t="n">
        <x:f>'Actuals Data'!B17</x:f>
        <x:v>198372.71458536587</x:v>
      </x:c>
      <x:c r="C20" s="32" t="n">
        <x:f>'Actuals Data'!F17</x:f>
        <x:v>203332.03245</x:v>
      </x:c>
      <x:c r="D20" s="32" t="n">
        <x:f>C20-B20</x:f>
        <x:v>4959.317864634126</x:v>
      </x:c>
      <x:c r="E20" s="32" t="n">
        <x:f>'Actuals Data'!C17</x:f>
        <x:v>37690.81577121952</x:v>
      </x:c>
      <x:c r="F20" s="32" t="n">
        <x:f>'Actuals Data'!G17</x:f>
        <x:v>40863.809971661925</x:v>
      </x:c>
      <x:c r="G20" s="32" t="n">
        <x:f>E20-F20</x:f>
        <x:v>-3172.9942004424083</x:v>
      </x:c>
      <x:c r="H20" s="32" t="n">
        <x:f>'Actuals Data'!D17</x:f>
        <x:v>321428.51999999996</x:v>
      </x:c>
      <x:c r="I20" s="32" t="n">
        <x:f>'Actuals Data'!H17</x:f>
        <x:v>315125.99999999994</x:v>
      </x:c>
      <x:c r="J20" s="32" t="n">
        <x:f>H20-I20</x:f>
        <x:v>6302.520000000019</x:v>
      </x:c>
      <x:c r="K20" s="32" t="n">
        <x:f>'Actuals Data'!E17</x:f>
        <x:v>218083.18</x:v>
      </x:c>
      <x:c r="L20" s="32" t="n">
        <x:f>'Actuals Data'!I17</x:f>
        <x:v>232065.56999999998</x:v>
      </x:c>
      <x:c r="M20" s="32" t="n">
        <x:f>K20-L20</x:f>
        <x:v>-13982.389999999985</x:v>
      </x:c>
      <x:c r="N20" s="32" t="n">
        <x:f>D20+G20+J20+M20</x:f>
        <x:v>-5893.546335808249</x:v>
      </x:c>
    </x:row>
    <x:row r="21">
      <x:c r="A21" s="33" t="n">
        <x:f>'Actuals Data'!A18</x:f>
        <x:v>45413</x:v>
      </x:c>
      <x:c r="B21" s="32" t="n">
        <x:f>'Actuals Data'!B18</x:f>
        <x:v>204562.7941170732</x:v>
      </x:c>
      <x:c r="C21" s="32" t="n">
        <x:f>'Actuals Data'!F18</x:f>
        <x:v>209676.86397</x:v>
      </x:c>
      <x:c r="D21" s="32" t="n">
        <x:f>C21-B21</x:f>
        <x:v>5114.0698529267975</x:v>
      </x:c>
      <x:c r="E21" s="32" t="n">
        <x:f>'Actuals Data'!C18</x:f>
        <x:v>38866.93088224391</x:v>
      </x:c>
      <x:c r="F21" s="32" t="n">
        <x:f>'Actuals Data'!G18</x:f>
        <x:v>41465.41311844422</x:v>
      </x:c>
      <x:c r="G21" s="32" t="n">
        <x:f>E21-F21</x:f>
        <x:v>-2598.4822362003106</x:v>
      </x:c>
      <x:c r="H21" s="32" t="n">
        <x:f>'Actuals Data'!D18</x:f>
        <x:v>333706.6</x:v>
      </x:c>
      <x:c r="I21" s="32" t="n">
        <x:f>'Actuals Data'!H18</x:f>
        <x:v>327163.3333333333</x:v>
      </x:c>
      <x:c r="J21" s="32" t="n">
        <x:f>H21-I21</x:f>
        <x:v>6543.266666666663</x:v>
      </x:c>
      <x:c r="K21" s="32" t="n">
        <x:f>'Actuals Data'!E18</x:f>
        <x:v>220792.84</x:v>
      </x:c>
      <x:c r="L21" s="32" t="n">
        <x:f>'Actuals Data'!I18</x:f>
        <x:v>232938.48000000004</x:v>
      </x:c>
      <x:c r="M21" s="32" t="n">
        <x:f>K21-L21</x:f>
        <x:v>-12145.640000000043</x:v>
      </x:c>
      <x:c r="N21" s="32" t="n">
        <x:f>D21+G21+J21+M21</x:f>
        <x:v>-3086.7857166068934</x:v>
      </x:c>
    </x:row>
    <x:row r="22">
      <x:c r="A22" s="33" t="n">
        <x:f>'Actuals Data'!A19</x:f>
        <x:v>45444</x:v>
      </x:c>
      <x:c r="B22" s="32" t="n">
        <x:f>'Actuals Data'!B19</x:f>
        <x:v>211722.80900487804</x:v>
      </x:c>
      <x:c r="C22" s="32" t="n">
        <x:f>'Actuals Data'!F19</x:f>
        <x:v>217015.87922999996</x:v>
      </x:c>
      <x:c r="D22" s="32" t="n">
        <x:f>C22-B22</x:f>
        <x:v>5293.070225121919</x:v>
      </x:c>
      <x:c r="E22" s="32" t="n">
        <x:f>'Actuals Data'!C19</x:f>
        <x:v>40227.33371092683</x:v>
      </x:c>
      <x:c r="F22" s="32" t="n">
        <x:f>'Actuals Data'!G19</x:f>
        <x:v>41958.839938419434</x:v>
      </x:c>
      <x:c r="G22" s="32" t="n">
        <x:f>E22-F22</x:f>
        <x:v>-1731.5062274926022</x:v>
      </x:c>
      <x:c r="H22" s="32" t="n">
        <x:f>'Actuals Data'!D19</x:f>
        <x:v>344024.75</x:v>
      </x:c>
      <x:c r="I22" s="32" t="n">
        <x:f>'Actuals Data'!H19</x:f>
        <x:v>337279.1666666667</x:v>
      </x:c>
      <x:c r="J22" s="32" t="n">
        <x:f>H22-I22</x:f>
        <x:v>6745.583333333314</x:v>
      </x:c>
      <x:c r="K22" s="32" t="n">
        <x:f>'Actuals Data'!E19</x:f>
        <x:v>223616.83000000002</x:v>
      </x:c>
      <x:c r="L22" s="32" t="n">
        <x:f>'Actuals Data'!I19</x:f>
        <x:v>229814.69</x:v>
      </x:c>
      <x:c r="M22" s="32" t="n">
        <x:f>K22-L22</x:f>
        <x:v>-6197.859999999986</x:v>
      </x:c>
      <x:c r="N22" s="32" t="n">
        <x:f>D22+G22+J22+M22</x:f>
        <x:v>4109.287330962645</x:v>
      </x:c>
    </x:row>
    <x:row r="23">
      <x:c r="A23" s="33" t="n">
        <x:f>'Actuals Data'!A20</x:f>
        <x:v>45474</x:v>
      </x:c>
      <x:c r="B23" s="32" t="n">
        <x:f>'Actuals Data'!B20</x:f>
        <x:v>218312.75195121954</x:v>
      </x:c>
      <x:c r="C23" s="32" t="n">
        <x:f>'Actuals Data'!F20</x:f>
        <x:v>223770.57075</x:v>
      </x:c>
      <x:c r="D23" s="32" t="n">
        <x:f>C23-B23</x:f>
        <x:v>5457.81879878047</x:v>
      </x:c>
      <x:c r="E23" s="32" t="n">
        <x:f>'Actuals Data'!C20</x:f>
        <x:v>41479.422870731716</x:v>
      </x:c>
      <x:c r="F23" s="32" t="n">
        <x:f>'Actuals Data'!G20</x:f>
        <x:v>41667.033940117464</x:v>
      </x:c>
      <x:c r="G23" s="32" t="n">
        <x:f>E23-F23</x:f>
        <x:v>-187.61106938574812</x:v>
      </x:c>
      <x:c r="H23" s="32" t="n">
        <x:f>'Actuals Data'!D20</x:f>
        <x:v>344024.75</x:v>
      </x:c>
      <x:c r="I23" s="32" t="n">
        <x:f>'Actuals Data'!H20</x:f>
        <x:v>337279.1666666667</x:v>
      </x:c>
      <x:c r="J23" s="32" t="n">
        <x:f>H23-I23</x:f>
        <x:v>6745.583333333314</x:v>
      </x:c>
      <x:c r="K23" s="32" t="n">
        <x:f>'Actuals Data'!E20</x:f>
        <x:v>226373.62</x:v>
      </x:c>
      <x:c r="L23" s="32" t="n">
        <x:f>'Actuals Data'!I20</x:f>
        <x:v>239949.09999999998</x:v>
      </x:c>
      <x:c r="M23" s="32" t="n">
        <x:f>K23-L23</x:f>
        <x:v>-13575.479999999981</x:v>
      </x:c>
      <x:c r="N23" s="32" t="n">
        <x:f>D23+G23+J23+M23</x:f>
        <x:v>-1559.6889372719452</x:v>
      </x:c>
    </x:row>
    <x:row r="24">
      <x:c r="A24" s="33" t="n">
        <x:f>'Actuals Data'!A21</x:f>
        <x:v>45505</x:v>
      </x:c>
      <x:c r="B24" s="32" t="n">
        <x:f>'Actuals Data'!B21</x:f>
        <x:v>224859.46521951223</x:v>
      </x:c>
      <x:c r="C24" s="32" t="n">
        <x:f>'Actuals Data'!F21</x:f>
        <x:v>230480.95185</x:v>
      </x:c>
      <x:c r="D24" s="32" t="n">
        <x:f>C24-B24</x:f>
        <x:v>5621.48663048778</x:v>
      </x:c>
      <x:c r="E24" s="32" t="n">
        <x:f>'Actuals Data'!C21</x:f>
        <x:v>42723.29839170732</x:v>
      </x:c>
      <x:c r="F24" s="32" t="n">
        <x:f>'Actuals Data'!G21</x:f>
        <x:v>42213.58835608775</x:v>
      </x:c>
      <x:c r="G24" s="32" t="n">
        <x:f>E24-F24</x:f>
        <x:v>509.7100356195733</x:v>
      </x:c>
      <x:c r="H24" s="32" t="n">
        <x:f>'Actuals Data'!D21</x:f>
        <x:v>367958.7099999999</x:v>
      </x:c>
      <x:c r="I24" s="32" t="n">
        <x:f>'Actuals Data'!H21</x:f>
        <x:v>360743.83333333326</x:v>
      </x:c>
      <x:c r="J24" s="32" t="n">
        <x:f>H24-I24</x:f>
        <x:v>7214.876666666649</x:v>
      </x:c>
      <x:c r="K24" s="32" t="n">
        <x:f>'Actuals Data'!E21</x:f>
        <x:v>229125.31</x:v>
      </x:c>
      <x:c r="L24" s="32" t="n">
        <x:f>'Actuals Data'!I21</x:f>
        <x:v>241409.99000000002</x:v>
      </x:c>
      <x:c r="M24" s="32" t="n">
        <x:f>K24-L24</x:f>
        <x:v>-12284.680000000022</x:v>
      </x:c>
      <x:c r="N24" s="32" t="n">
        <x:f>D24+G24+J24+M24</x:f>
        <x:v>1061.3933327739796</x:v>
      </x:c>
    </x:row>
    <x:row r="25">
      <x:c r="A25" s="33" t="n">
        <x:f>'Actuals Data'!A22</x:f>
        <x:v>45536</x:v>
      </x:c>
      <x:c r="B25" s="32" t="n">
        <x:f>'Actuals Data'!B22</x:f>
        <x:v>230115.92224390246</x:v>
      </x:c>
      <x:c r="C25" s="32" t="n">
        <x:f>'Actuals Data'!F22</x:f>
        <x:v>235868.8203</x:v>
      </x:c>
      <x:c r="D25" s="32" t="n">
        <x:f>C25-B25</x:f>
        <x:v>5752.898056097532</x:v>
      </x:c>
      <x:c r="E25" s="32" t="n">
        <x:f>'Actuals Data'!C22</x:f>
        <x:v>43722.025226341466</x:v>
      </x:c>
      <x:c r="F25" s="32" t="n">
        <x:f>'Actuals Data'!G22</x:f>
        <x:v>42288.93671903918</x:v>
      </x:c>
      <x:c r="G25" s="32" t="n">
        <x:f>E25-F25</x:f>
        <x:v>1433.0885073022873</x:v>
      </x:c>
      <x:c r="H25" s="32" t="n">
        <x:f>'Actuals Data'!D22</x:f>
        <x:v>394931.0799999999</x:v>
      </x:c>
      <x:c r="I25" s="32" t="n">
        <x:f>'Actuals Data'!H22</x:f>
        <x:v>387187.33333333326</x:v>
      </x:c>
      <x:c r="J25" s="32" t="n">
        <x:f>H25-I25</x:f>
        <x:v>7743.746666666644</x:v>
      </x:c>
      <x:c r="K25" s="32" t="n">
        <x:f>'Actuals Data'!E22</x:f>
        <x:v>231724.91</x:v>
      </x:c>
      <x:c r="L25" s="32" t="n">
        <x:f>'Actuals Data'!I22</x:f>
        <x:v>238841.78999999998</x:v>
      </x:c>
      <x:c r="M25" s="32" t="n">
        <x:f>K25-L25</x:f>
        <x:v>-7116.879999999976</x:v>
      </x:c>
      <x:c r="N25" s="32" t="n">
        <x:f>D25+G25+J25+M25</x:f>
        <x:v>7812.853230066488</x:v>
      </x:c>
    </x:row>
    <x:row r="26">
      <x:c r="A26" s="33" t="n">
        <x:f>'Actuals Data'!A23</x:f>
        <x:v>45566</x:v>
      </x:c>
      <x:c r="B26" s="32" t="n">
        <x:f>'Actuals Data'!B23</x:f>
        <x:v>235572.31097560975</x:v>
      </x:c>
      <x:c r="C26" s="32" t="n">
        <x:f>'Actuals Data'!F23</x:f>
        <x:v>241461.61874999997</x:v>
      </x:c>
      <x:c r="D26" s="32" t="n">
        <x:f>C26-B26</x:f>
        <x:v>5889.30777439021</x:v>
      </x:c>
      <x:c r="E26" s="32" t="n">
        <x:f>'Actuals Data'!C23</x:f>
        <x:v>44758.73908536585</x:v>
      </x:c>
      <x:c r="F26" s="32" t="n">
        <x:f>'Actuals Data'!G23</x:f>
        <x:v>45011.047249348034</x:v>
      </x:c>
      <x:c r="G26" s="32" t="n">
        <x:f>E26-F26</x:f>
        <x:v>-252.30816398218303</x:v>
      </x:c>
      <x:c r="H26" s="32" t="n">
        <x:f>'Actuals Data'!D23</x:f>
        <x:v>412715.62999999995</x:v>
      </x:c>
      <x:c r="I26" s="32" t="n">
        <x:f>'Actuals Data'!H23</x:f>
        <x:v>404623.1666666666</x:v>
      </x:c>
      <x:c r="J26" s="32" t="n">
        <x:f>H26-I26</x:f>
        <x:v>8092.463333333319</x:v>
      </x:c>
      <x:c r="K26" s="32" t="n">
        <x:f>'Actuals Data'!E23</x:f>
        <x:v>234348.09</x:v>
      </x:c>
      <x:c r="L26" s="32" t="n">
        <x:f>'Actuals Data'!I23</x:f>
        <x:v>250321.82999999996</x:v>
      </x:c>
      <x:c r="M26" s="32" t="n">
        <x:f>K26-L26</x:f>
        <x:v>-15973.739999999962</x:v>
      </x:c>
      <x:c r="N26" s="32" t="n">
        <x:f>D26+G26+J26+M26</x:f>
        <x:v>-2244.2770562586156</x:v>
      </x:c>
    </x:row>
    <x:row r="27">
      <x:c r="A27" s="33" t="n">
        <x:f>'Actuals Data'!A24</x:f>
        <x:v>45597</x:v>
      </x:c>
      <x:c r="B27" s="32" t="n">
        <x:f>'Actuals Data'!B24</x:f>
        <x:v>240928.73385365852</x:v>
      </x:c>
      <x:c r="C27" s="32" t="n">
        <x:f>'Actuals Data'!F24</x:f>
        <x:v>246951.95219999997</x:v>
      </x:c>
      <x:c r="D27" s="32" t="n">
        <x:f>C27-B27</x:f>
        <x:v>6023.218346341455</x:v>
      </x:c>
      <x:c r="E27" s="32" t="n">
        <x:f>'Actuals Data'!C24</x:f>
        <x:v>45776.459432195115</x:v>
      </x:c>
      <x:c r="F27" s="32" t="n">
        <x:f>'Actuals Data'!G24</x:f>
        <x:v>45863.13570836223</x:v>
      </x:c>
      <x:c r="G27" s="32" t="n">
        <x:f>E27-F27</x:f>
        <x:v>-86.67627616711252</x:v>
      </x:c>
      <x:c r="H27" s="32" t="n">
        <x:f>'Actuals Data'!D24</x:f>
        <x:v>412715.62999999995</x:v>
      </x:c>
      <x:c r="I27" s="32" t="n">
        <x:f>'Actuals Data'!H24</x:f>
        <x:v>404623.1666666666</x:v>
      </x:c>
      <x:c r="J27" s="32" t="n">
        <x:f>H27-I27</x:f>
        <x:v>8092.463333333319</x:v>
      </x:c>
      <x:c r="K27" s="32" t="n">
        <x:f>'Actuals Data'!E24</x:f>
        <x:v>236959.47</x:v>
      </x:c>
      <x:c r="L27" s="32" t="n">
        <x:f>'Actuals Data'!I24</x:f>
        <x:v>248775.41000000003</x:v>
      </x:c>
      <x:c r="M27" s="32" t="n">
        <x:f>K27-L27</x:f>
        <x:v>-11815.940000000031</x:v>
      </x:c>
      <x:c r="N27" s="32" t="n">
        <x:f>D27+G27+J27+M27</x:f>
        <x:v>2213.0654035076295</x:v>
      </x:c>
    </x:row>
    <x:row r="28">
      <x:c r="A28" s="33" t="n">
        <x:f>'Actuals Data'!A25</x:f>
        <x:v>45627</x:v>
      </x:c>
      <x:c r="B28" s="32" t="n">
        <x:f>'Actuals Data'!B25</x:f>
        <x:v>246028.48884878046</x:v>
      </x:c>
      <x:c r="C28" s="32" t="n">
        <x:f>'Actuals Data'!F25</x:f>
        <x:v>252179.20106999995</x:v>
      </x:c>
      <x:c r="D28" s="32" t="n">
        <x:f>C28-B28</x:f>
        <x:v>6150.712221219495</x:v>
      </x:c>
      <x:c r="E28" s="32" t="n">
        <x:f>'Actuals Data'!C25</x:f>
        <x:v>46745.41288126829</x:v>
      </x:c>
      <x:c r="F28" s="32" t="n">
        <x:f>'Actuals Data'!G25</x:f>
        <x:v>45893.16050926437</x:v>
      </x:c>
      <x:c r="G28" s="32" t="n">
        <x:f>E28-F28</x:f>
        <x:v>852.2523720039171</x:v>
      </x:c>
      <x:c r="H28" s="32" t="n">
        <x:f>'Actuals Data'!D25</x:f>
        <x:v>429577.24999999994</x:v>
      </x:c>
      <x:c r="I28" s="32" t="n">
        <x:f>'Actuals Data'!H25</x:f>
        <x:v>421154.1666666666</x:v>
      </x:c>
      <x:c r="J28" s="32" t="n">
        <x:f>H28-I28</x:f>
        <x:v>8423.083333333314</x:v>
      </x:c>
      <x:c r="K28" s="32" t="n">
        <x:f>'Actuals Data'!E25</x:f>
        <x:v>239540.61</x:v>
      </x:c>
      <x:c r="L28" s="32" t="n">
        <x:f>'Actuals Data'!I25</x:f>
        <x:v>259584.24000000002</x:v>
      </x:c>
      <x:c r="M28" s="32" t="n">
        <x:f>K28-L28</x:f>
        <x:v>-20043.630000000034</x:v>
      </x:c>
      <x:c r="N28" s="32" t="n">
        <x:f>D28+G28+J28+M28</x:f>
        <x:v>-4617.582073443307</x:v>
      </x:c>
    </x:row>
    <x:row r="29">
      <x:c r="A29" s="33" t="n">
        <x:f>'Actuals Data'!A26</x:f>
        <x:v>45658</x:v>
      </x:c>
      <x:c r="B29" s="32" t="n">
        <x:f>'Actuals Data'!B26</x:f>
        <x:v>261725.72816678052</x:v>
      </x:c>
      <x:c r="C29" s="32" t="n">
        <x:f>'Actuals Data'!F26</x:f>
        <x:v>268268.87137095</x:v>
      </x:c>
      <x:c r="D29" s="32" t="n">
        <x:f>C29-B29</x:f>
        <x:v>6543.143204169493</x:v>
      </x:c>
      <x:c r="E29" s="32" t="n">
        <x:f>'Actuals Data'!C26</x:f>
        <x:v>49727.8883516883</x:v>
      </x:c>
      <x:c r="F29" s="32" t="n">
        <x:f>'Actuals Data'!G26</x:f>
        <x:v>54201.75599118696</x:v>
      </x:c>
      <x:c r="G29" s="32" t="n">
        <x:f>E29-F29</x:f>
        <x:v>-4473.867639498661</x:v>
      </x:c>
      <x:c r="H29" s="32" t="n">
        <x:f>'Actuals Data'!D26</x:f>
        <x:v>444831.5199999999</x:v>
      </x:c>
      <x:c r="I29" s="32" t="n">
        <x:f>'Actuals Data'!H26</x:f>
        <x:v>436109.33333333326</x:v>
      </x:c>
      <x:c r="J29" s="32" t="n">
        <x:f>H29-I29</x:f>
        <x:v>8722.186666666646</x:v>
      </x:c>
      <x:c r="K29" s="32" t="n">
        <x:f>'Actuals Data'!E26</x:f>
        <x:v>243370.91999999998</x:v>
      </x:c>
      <x:c r="L29" s="32" t="n">
        <x:f>'Actuals Data'!I26</x:f>
        <x:v>252720.84</x:v>
      </x:c>
      <x:c r="M29" s="32" t="n">
        <x:f>K29-L29</x:f>
        <x:v>-9349.920000000013</x:v>
      </x:c>
      <x:c r="N29" s="32" t="n">
        <x:f>D29+G29+J29+M29</x:f>
        <x:v>1441.5422313374656</x:v>
      </x:c>
    </x:row>
    <x:row r="30">
      <x:c r="A30" s="33" t="n">
        <x:f>'Actuals Data'!A27</x:f>
        <x:v>45689</x:v>
      </x:c>
      <x:c r="B30" s="32" t="n">
        <x:f>'Actuals Data'!B27</x:f>
        <x:v>269608.924151561</x:v>
      </x:c>
      <x:c r="C30" s="32" t="n">
        <x:f>'Actuals Data'!F27</x:f>
        <x:v>276349.14725534996</x:v>
      </x:c>
      <x:c r="D30" s="32" t="n">
        <x:f>C30-B30</x:f>
        <x:v>6740.223103788972</x:v>
      </x:c>
      <x:c r="E30" s="32" t="n">
        <x:f>'Actuals Data'!C27</x:f>
        <x:v>51225.69558879659</x:v>
      </x:c>
      <x:c r="F30" s="32" t="n">
        <x:f>'Actuals Data'!G27</x:f>
        <x:v>53750.62645092381</x:v>
      </x:c>
      <x:c r="G30" s="32" t="n">
        <x:f>E30-F30</x:f>
        <x:v>-2524.930862127221</x:v>
      </x:c>
      <x:c r="H30" s="32" t="n">
        <x:f>'Actuals Data'!D27</x:f>
        <x:v>494140.87</x:v>
      </x:c>
      <x:c r="I30" s="32" t="n">
        <x:f>'Actuals Data'!H27</x:f>
        <x:v>484451.8333333333</x:v>
      </x:c>
      <x:c r="J30" s="32" t="n">
        <x:f>H30-I30</x:f>
        <x:v>9689.036666666681</x:v>
      </x:c>
      <x:c r="K30" s="32" t="n">
        <x:f>'Actuals Data'!E27</x:f>
        <x:v>246280.15</x:v>
      </x:c>
      <x:c r="L30" s="32" t="n">
        <x:f>'Actuals Data'!I27</x:f>
        <x:v>255015.49000000002</x:v>
      </x:c>
      <x:c r="M30" s="32" t="n">
        <x:f>K30-L30</x:f>
        <x:v>-8735.340000000026</x:v>
      </x:c>
      <x:c r="N30" s="32" t="n">
        <x:f>D30+G30+J30+M30</x:f>
        <x:v>5168.988908328407</x:v>
      </x:c>
    </x:row>
    <x:row r="31">
      <x:c r="A31" s="33" t="n">
        <x:f>'Actuals Data'!A28</x:f>
        <x:v>45717</x:v>
      </x:c>
      <x:c r="B31" s="32" t="n">
        <x:f>'Actuals Data'!B28</x:f>
        <x:v>278275.09468785365</x:v>
      </x:c>
      <x:c r="C31" s="32" t="n">
        <x:f>'Actuals Data'!F28</x:f>
        <x:v>285231.97205504996</x:v>
      </x:c>
      <x:c r="D31" s="32" t="n">
        <x:f>C31-B31</x:f>
        <x:v>6956.877367196314</x:v>
      </x:c>
      <x:c r="E31" s="32" t="n">
        <x:f>'Actuals Data'!C28</x:f>
        <x:v>52872.26799069219</x:v>
      </x:c>
      <x:c r="F31" s="32" t="n">
        <x:f>'Actuals Data'!G28</x:f>
        <x:v>57632.75825424839</x:v>
      </x:c>
      <x:c r="G31" s="32" t="n">
        <x:f>E31-F31</x:f>
        <x:v>-4760.490263556196</x:v>
      </x:c>
      <x:c r="H31" s="32" t="n">
        <x:f>'Actuals Data'!D28</x:f>
        <x:v>505744.89999999997</x:v>
      </x:c>
      <x:c r="I31" s="32" t="n">
        <x:f>'Actuals Data'!H28</x:f>
        <x:v>495828.3333333333</x:v>
      </x:c>
      <x:c r="J31" s="32" t="n">
        <x:f>H31-I31</x:f>
        <x:v>9916.566666666651</x:v>
      </x:c>
      <x:c r="K31" s="32" t="n">
        <x:f>'Actuals Data'!E28</x:f>
        <x:v>249281.68</x:v>
      </x:c>
      <x:c r="L31" s="32" t="n">
        <x:f>'Actuals Data'!I28</x:f>
        <x:v>263464.18</x:v>
      </x:c>
      <x:c r="M31" s="32" t="n">
        <x:f>K31-L31</x:f>
        <x:v>-14182.5</x:v>
      </x:c>
      <x:c r="N31" s="32" t="n">
        <x:f>D31+G31+J31+M31</x:f>
        <x:v>-2069.546229693231</x:v>
      </x:c>
    </x:row>
    <x:row r="32">
      <x:c r="A32" s="33" t="n">
        <x:f>'Actuals Data'!A29</x:f>
        <x:v>45748</x:v>
      </x:c>
      <x:c r="B32" s="32" t="n">
        <x:f>'Actuals Data'!B29</x:f>
        <x:v>285547.1280699512</x:v>
      </x:c>
      <x:c r="C32" s="32" t="n">
        <x:f>'Actuals Data'!F29</x:f>
        <x:v>292685.80627169996</x:v>
      </x:c>
      <x:c r="D32" s="32" t="n">
        <x:f>C32-B32</x:f>
        <x:v>7138.678201748757</x:v>
      </x:c>
      <x:c r="E32" s="32" t="n">
        <x:f>'Actuals Data'!C29</x:f>
        <x:v>54253.95433329073</x:v>
      </x:c>
      <x:c r="F32" s="32" t="n">
        <x:f>'Actuals Data'!G29</x:f>
        <x:v>57182.55781998742</x:v>
      </x:c>
      <x:c r="G32" s="32" t="n">
        <x:f>E32-F32</x:f>
        <x:v>-2928.6034866966947</x:v>
      </x:c>
      <x:c r="H32" s="32" t="n">
        <x:f>'Actuals Data'!D29</x:f>
        <x:v>517234.8599999999</x:v>
      </x:c>
      <x:c r="I32" s="32" t="n">
        <x:f>'Actuals Data'!H29</x:f>
        <x:v>507092.99999999994</x:v>
      </x:c>
      <x:c r="J32" s="32" t="n">
        <x:f>H32-I32</x:f>
        <x:v>10141.859999999986</x:v>
      </x:c>
      <x:c r="K32" s="32" t="n">
        <x:f>'Actuals Data'!E29</x:f>
        <x:v>252118.87</x:v>
      </x:c>
      <x:c r="L32" s="32" t="n">
        <x:f>'Actuals Data'!I29</x:f>
        <x:v>265889.16000000003</x:v>
      </x:c>
      <x:c r="M32" s="32" t="n">
        <x:f>K32-L32</x:f>
        <x:v>-13770.290000000037</x:v>
      </x:c>
      <x:c r="N32" s="32" t="n">
        <x:f>D32+G32+J32+M32</x:f>
        <x:v>581.6447150520107</x:v>
      </x:c>
    </x:row>
    <x:row r="33">
      <x:c r="A33" s="33" t="n">
        <x:f>'Actuals Data'!A30</x:f>
        <x:v>45778</x:v>
      </x:c>
      <x:c r="B33" s="32" t="n">
        <x:f>'Actuals Data'!B30</x:f>
        <x:v>295010.2523827317</x:v>
      </x:c>
      <x:c r="C33" s="32" t="n">
        <x:f>'Actuals Data'!F30</x:f>
        <x:v>302385.50869229995</x:v>
      </x:c>
      <x:c r="D33" s="32" t="n">
        <x:f>C33-B33</x:f>
        <x:v>7375.256309568242</x:v>
      </x:c>
      <x:c r="E33" s="32" t="n">
        <x:f>'Actuals Data'!C30</x:f>
        <x:v>56051.94795271903</x:v>
      </x:c>
      <x:c r="F33" s="32" t="n">
        <x:f>'Actuals Data'!G30</x:f>
        <x:v>60132.05305201214</x:v>
      </x:c>
      <x:c r="G33" s="32" t="n">
        <x:f>E33-F33</x:f>
        <x:v>-4080.1050992931123</x:v>
      </x:c>
      <x:c r="H33" s="32" t="n">
        <x:f>'Actuals Data'!D30</x:f>
        <x:v>517234.8599999999</x:v>
      </x:c>
      <x:c r="I33" s="32" t="n">
        <x:f>'Actuals Data'!H30</x:f>
        <x:v>507092.99999999994</x:v>
      </x:c>
      <x:c r="J33" s="32" t="n">
        <x:f>H33-I33</x:f>
        <x:v>10141.859999999986</x:v>
      </x:c>
      <x:c r="K33" s="32" t="n">
        <x:f>'Actuals Data'!E30</x:f>
        <x:v>255214.33000000002</x:v>
      </x:c>
      <x:c r="L33" s="32" t="n">
        <x:f>'Actuals Data'!I30</x:f>
        <x:v>272099.93</x:v>
      </x:c>
      <x:c r="M33" s="32" t="n">
        <x:f>K33-L33</x:f>
        <x:v>-16885.599999999977</x:v>
      </x:c>
      <x:c r="N33" s="32" t="n">
        <x:f>D33+G33+J33+M33</x:f>
        <x:v>-3448.5887897248613</x:v>
      </x:c>
    </x:row>
    <x:row r="34">
      <x:c r="A34" s="33" t="n">
        <x:f>'Actuals Data'!A31</x:f>
        <x:v>45809</x:v>
      </x:c>
      <x:c r="B34" s="32" t="n">
        <x:f>'Actuals Data'!B31</x:f>
        <x:v>302975.77488278045</x:v>
      </x:c>
      <x:c r="C34" s="32" t="n">
        <x:f>'Actuals Data'!F31</x:f>
        <x:v>310550.16925484996</x:v>
      </x:c>
      <x:c r="D34" s="32" t="n">
        <x:f>C34-B34</x:f>
        <x:v>7574.39437206951</x:v>
      </x:c>
      <x:c r="E34" s="32" t="n">
        <x:f>'Actuals Data'!C31</x:f>
        <x:v>57565.39722772829</x:v>
      </x:c>
      <x:c r="F34" s="32" t="n">
        <x:f>'Actuals Data'!G31</x:f>
        <x:v>57409.99841763445</x:v>
      </x:c>
      <x:c r="G34" s="32" t="n">
        <x:f>E34-F34</x:f>
        <x:v>155.3988100938368</x:v>
      </x:c>
      <x:c r="H34" s="32" t="n">
        <x:f>'Actuals Data'!D31</x:f>
        <x:v>517234.8599999999</x:v>
      </x:c>
      <x:c r="I34" s="32" t="n">
        <x:f>'Actuals Data'!H31</x:f>
        <x:v>507092.99999999994</x:v>
      </x:c>
      <x:c r="J34" s="32" t="n">
        <x:f>H34-I34</x:f>
        <x:v>10141.859999999986</x:v>
      </x:c>
      <x:c r="K34" s="32" t="n">
        <x:f>'Actuals Data'!E31</x:f>
        <x:v>258133.27</x:v>
      </x:c>
      <x:c r="L34" s="32" t="n">
        <x:f>'Actuals Data'!I31</x:f>
        <x:v>274695.89999999997</x:v>
      </x:c>
      <x:c r="M34" s="32" t="n">
        <x:f>K34-L34</x:f>
        <x:v>-16562.629999999976</x:v>
      </x:c>
      <x:c r="N34" s="32" t="n">
        <x:f>D34+G34+J34+M34</x:f>
        <x:v>1309.023182163357</x:v>
      </x:c>
    </x:row>
    <x:row r="35">
      <x:c r="A35" s="33" t="n">
        <x:f>'Actuals Data'!A32</x:f>
        <x:v>45839</x:v>
      </x:c>
      <x:c r="B35" s="32" t="n">
        <x:f>'Actuals Data'!B32</x:f>
        <x:v>311103.4839831219</x:v>
      </x:c>
      <x:c r="C35" s="32" t="n">
        <x:f>'Actuals Data'!F32</x:f>
        <x:v>318881.0710826999</x:v>
      </x:c>
      <x:c r="D35" s="32" t="n">
        <x:f>C35-B35</x:f>
        <x:v>7777.587099577999</x:v>
      </x:c>
      <x:c r="E35" s="32" t="n">
        <x:f>'Actuals Data'!C32</x:f>
        <x:v>59109.66195679317</x:v>
      </x:c>
      <x:c r="F35" s="32" t="n">
        <x:f>'Actuals Data'!G32</x:f>
        <x:v>58245.55772189688</x:v>
      </x:c>
      <x:c r="G35" s="32" t="n">
        <x:f>E35-F35</x:f>
        <x:v>864.1042348962874</x:v>
      </x:c>
      <x:c r="H35" s="32" t="n">
        <x:f>'Actuals Data'!D32</x:f>
        <x:v>517234.8599999999</x:v>
      </x:c>
      <x:c r="I35" s="32" t="n">
        <x:f>'Actuals Data'!H32</x:f>
        <x:v>507092.99999999994</x:v>
      </x:c>
      <x:c r="J35" s="32" t="n">
        <x:f>H35-I35</x:f>
        <x:v>10141.859999999986</x:v>
      </x:c>
      <x:c r="K35" s="32" t="n">
        <x:f>'Actuals Data'!E32</x:f>
        <x:v>261071.32</x:v>
      </x:c>
      <x:c r="L35" s="32" t="n">
        <x:f>'Actuals Data'!I32</x:f>
        <x:v>271421.79</x:v>
      </x:c>
      <x:c r="M35" s="32" t="n">
        <x:f>K35-L35</x:f>
        <x:v>-10350.469999999972</x:v>
      </x:c>
      <x:c r="N35" s="32" t="n">
        <x:f>D35+G35+J35+M35</x:f>
        <x:v>8433.0813344743</x:v>
      </x:c>
    </x:row>
    <x:row r="36">
      <x:c r="A36" s="33" t="n">
        <x:f>'Actuals Data'!A33</x:f>
        <x:v>45870</x:v>
      </x:c>
      <x:c r="B36" s="32" t="n">
        <x:f>'Actuals Data'!B33</x:f>
        <x:v>318765.77142585366</x:v>
      </x:c>
      <x:c r="C36" s="32" t="n">
        <x:f>'Actuals Data'!F33</x:f>
        <x:v>326734.9157115</x:v>
      </x:c>
      <x:c r="D36" s="32" t="n">
        <x:f>C36-B36</x:f>
        <x:v>7969.144285646325</x:v>
      </x:c>
      <x:c r="E36" s="32" t="n">
        <x:f>'Actuals Data'!C33</x:f>
        <x:v>60565.4965709122</x:v>
      </x:c>
      <x:c r="F36" s="32" t="n">
        <x:f>'Actuals Data'!G33</x:f>
        <x:v>61102.39245182915</x:v>
      </x:c>
      <x:c r="G36" s="32" t="n">
        <x:f>E36-F36</x:f>
        <x:v>-536.8958809169562</x:v>
      </x:c>
      <x:c r="H36" s="32" t="n">
        <x:f>'Actuals Data'!D33</x:f>
        <x:v>517234.8599999999</x:v>
      </x:c>
      <x:c r="I36" s="32" t="n">
        <x:f>'Actuals Data'!H33</x:f>
        <x:v>507092.99999999994</x:v>
      </x:c>
      <x:c r="J36" s="32" t="n">
        <x:f>H36-I36</x:f>
        <x:v>10141.859999999986</x:v>
      </x:c>
      <x:c r="K36" s="32" t="n">
        <x:f>'Actuals Data'!E33</x:f>
        <x:v>263954.52</x:v>
      </x:c>
      <x:c r="L36" s="32" t="n">
        <x:f>'Actuals Data'!I33</x:f>
        <x:v>271270.20999999996</x:v>
      </x:c>
      <x:c r="M36" s="32" t="n">
        <x:f>K36-L36</x:f>
        <x:v>-7315.689999999944</x:v>
      </x:c>
      <x:c r="N36" s="32" t="n">
        <x:f>D36+G36+J36+M36</x:f>
        <x:v>10258.418404729411</x:v>
      </x:c>
    </x:row>
    <x:row r="37">
      <x:c r="A37" s="33" t="n">
        <x:f>'Actuals Data'!A34</x:f>
        <x:v>45901</x:v>
      </x:c>
      <x:c r="B37" s="32" t="n">
        <x:f>'Actuals Data'!B34</x:f>
        <x:v>324840.9716222926</x:v>
      </x:c>
      <x:c r="C37" s="32" t="n">
        <x:f>'Actuals Data'!F34</x:f>
        <x:v>332961.9959128499</x:v>
      </x:c>
      <x:c r="D37" s="32" t="n">
        <x:f>C37-B37</x:f>
        <x:v>8121.02429055731</x:v>
      </x:c>
      <x:c r="E37" s="32" t="n">
        <x:f>'Actuals Data'!C34</x:f>
        <x:v>61719.78460823559</x:v>
      </x:c>
      <x:c r="F37" s="32" t="n">
        <x:f>'Actuals Data'!G34</x:f>
        <x:v>60328.31107432355</x:v>
      </x:c>
      <x:c r="G37" s="32" t="n">
        <x:f>E37-F37</x:f>
        <x:v>1391.473533912038</x:v>
      </x:c>
      <x:c r="H37" s="32" t="n">
        <x:f>'Actuals Data'!D34</x:f>
        <x:v>541148.08</x:v>
      </x:c>
      <x:c r="I37" s="32" t="n">
        <x:f>'Actuals Data'!H34</x:f>
        <x:v>530537.3333333333</x:v>
      </x:c>
      <x:c r="J37" s="32" t="n">
        <x:f>H37-I37</x:f>
        <x:v>10610.746666666702</x:v>
      </x:c>
      <x:c r="K37" s="32" t="n">
        <x:f>'Actuals Data'!E34</x:f>
        <x:v>266650.63</x:v>
      </x:c>
      <x:c r="L37" s="32" t="n">
        <x:f>'Actuals Data'!I34</x:f>
        <x:v>288454.13</x:v>
      </x:c>
      <x:c r="M37" s="32" t="n">
        <x:f>K37-L37</x:f>
        <x:v>-21803.5</x:v>
      </x:c>
      <x:c r="N37" s="32" t="n">
        <x:f>D37+G37+J37+M37</x:f>
        <x:v>-1680.2555088639492</x:v>
      </x:c>
    </x:row>
    <x:row r="38">
      <x:c r="A38" s="33" t="n">
        <x:f>'Actuals Data'!A35</x:f>
        <x:v>45931</x:v>
      </x:c>
      <x:c r="B38" s="32" t="n">
        <x:f>'Actuals Data'!B35</x:f>
        <x:v>331595.6817117073</x:v>
      </x:c>
      <x:c r="C38" s="32" t="n">
        <x:f>'Actuals Data'!F35</x:f>
        <x:v>339885.57375449996</x:v>
      </x:c>
      <x:c r="D38" s="32" t="n">
        <x:f>C38-B38</x:f>
        <x:v>8289.892042792635</x:v>
      </x:c>
      <x:c r="E38" s="32" t="n">
        <x:f>'Actuals Data'!C35</x:f>
        <x:v>63003.17952522439</x:v>
      </x:c>
      <x:c r="F38" s="32" t="n">
        <x:f>'Actuals Data'!G35</x:f>
        <x:v>58758.416916319715</x:v>
      </x:c>
      <x:c r="G38" s="32" t="n">
        <x:f>E38-F38</x:f>
        <x:v>4244.762608904675</x:v>
      </x:c>
      <x:c r="H38" s="32" t="n">
        <x:f>'Actuals Data'!D35</x:f>
        <x:v>541148.08</x:v>
      </x:c>
      <x:c r="I38" s="32" t="n">
        <x:f>'Actuals Data'!H35</x:f>
        <x:v>530537.3333333333</x:v>
      </x:c>
      <x:c r="J38" s="32" t="n">
        <x:f>H38-I38</x:f>
        <x:v>10610.746666666702</x:v>
      </x:c>
      <x:c r="K38" s="32" t="n">
        <x:f>'Actuals Data'!E35</x:f>
        <x:v>269426.83999999997</x:v>
      </x:c>
      <x:c r="L38" s="32" t="n">
        <x:f>'Actuals Data'!I35</x:f>
        <x:v>274239.04000000004</x:v>
      </x:c>
      <x:c r="M38" s="32" t="n">
        <x:f>K38-L38</x:f>
        <x:v>-4812.20000000007</x:v>
      </x:c>
      <x:c r="N38" s="32" t="n">
        <x:f>D38+G38+J38+M38</x:f>
        <x:v>18333.201318363943</x:v>
      </x:c>
    </x:row>
    <x:row r="39">
      <x:c r="A39" s="33" t="n">
        <x:f>'Actuals Data'!A36</x:f>
        <x:v>45962</x:v>
      </x:c>
      <x:c r="B39" s="32" t="n">
        <x:f>'Actuals Data'!B36</x:f>
        <x:v>338660.7857767317</x:v>
      </x:c>
      <x:c r="C39" s="32" t="n">
        <x:f>'Actuals Data'!F36</x:f>
        <x:v>347127.30542114994</x:v>
      </x:c>
      <x:c r="D39" s="32" t="n">
        <x:f>C39-B39</x:f>
        <x:v>8466.519644418266</x:v>
      </x:c>
      <x:c r="E39" s="32" t="n">
        <x:f>'Actuals Data'!C36</x:f>
        <x:v>64345.54929757902</x:v>
      </x:c>
      <x:c r="F39" s="32" t="n">
        <x:f>'Actuals Data'!G36</x:f>
        <x:v>64005.65341131413</x:v>
      </x:c>
      <x:c r="G39" s="32" t="n">
        <x:f>E39-F39</x:f>
        <x:v>339.89588626488694</x:v>
      </x:c>
      <x:c r="H39" s="32" t="n">
        <x:f>'Actuals Data'!D36</x:f>
        <x:v>541148.08</x:v>
      </x:c>
      <x:c r="I39" s="32" t="n">
        <x:f>'Actuals Data'!H36</x:f>
        <x:v>530537.3333333333</x:v>
      </x:c>
      <x:c r="J39" s="32" t="n">
        <x:f>H39-I39</x:f>
        <x:v>10610.746666666702</x:v>
      </x:c>
      <x:c r="K39" s="32" t="n">
        <x:f>'Actuals Data'!E36</x:f>
        <x:v>272239.64</x:v>
      </x:c>
      <x:c r="L39" s="32" t="n">
        <x:f>'Actuals Data'!I36</x:f>
        <x:v>288801.19</x:v>
      </x:c>
      <x:c r="M39" s="32" t="n">
        <x:f>K39-L39</x:f>
        <x:v>-16561.54999999999</x:v>
      </x:c>
      <x:c r="N39" s="32" t="n">
        <x:f>D39+G39+J39+M39</x:f>
        <x:v>2855.6121973498666</x:v>
      </x:c>
    </x:row>
    <x:row r="40">
      <x:c r="A40" s="33" t="n">
        <x:f>'Actuals Data'!A37</x:f>
        <x:v>45992</x:v>
      </x:c>
      <x:c r="B40" s="32" t="n">
        <x:f>'Actuals Data'!B37</x:f>
        <x:v>343997.754138439</x:v>
      </x:c>
      <x:c r="C40" s="32" t="n">
        <x:f>'Actuals Data'!F37</x:f>
        <x:v>352597.6979919</x:v>
      </x:c>
      <x:c r="D40" s="32" t="n">
        <x:f>C40-B40</x:f>
        <x:v>8599.94385346095</x:v>
      </x:c>
      <x:c r="E40" s="32" t="n">
        <x:f>'Actuals Data'!C37</x:f>
        <x:v>65359.57328630341</x:v>
      </x:c>
      <x:c r="F40" s="32" t="n">
        <x:f>'Actuals Data'!G37</x:f>
        <x:v>66573.96621426764</x:v>
      </x:c>
      <x:c r="G40" s="32" t="n">
        <x:f>E40-F40</x:f>
        <x:v>-1214.3929279642252</x:v>
      </x:c>
      <x:c r="H40" s="32" t="n">
        <x:f>'Actuals Data'!D37</x:f>
        <x:v>559326.6900000001</x:v>
      </x:c>
      <x:c r="I40" s="32" t="n">
        <x:f>'Actuals Data'!H37</x:f>
        <x:v>548359.5</x:v>
      </x:c>
      <x:c r="J40" s="32" t="n">
        <x:f>H40-I40</x:f>
        <x:v>10967.19000000006</x:v>
      </x:c>
      <x:c r="K40" s="32" t="n">
        <x:f>'Actuals Data'!E37</x:f>
        <x:v>274848.74</x:v>
      </x:c>
      <x:c r="L40" s="32" t="n">
        <x:f>'Actuals Data'!I37</x:f>
        <x:v>284873.48000000004</x:v>
      </x:c>
      <x:c r="M40" s="32" t="n">
        <x:f>K40-L40</x:f>
        <x:v>-10024.740000000049</x:v>
      </x:c>
      <x:c r="N40" s="32" t="n">
        <x:f>D40+G40+J40+M40</x:f>
        <x:v>8328.000925496737</x:v>
      </x:c>
    </x:row>
    <x:row r="41">
      <x:c r="A41" s="33" t="n">
        <x:f>'Actuals Data'!A38</x:f>
        <x:v>46023</x:v>
      </x:c>
      <x:c r="B41" s="32" t="n">
        <x:f>'Actuals Data'!B38</x:f>
        <x:v>364924.50685034704</x:v>
      </x:c>
      <x:c r="C41" s="32" t="n">
        <x:f>'Actuals Data'!F38</x:f>
        <x:v>374047.61952160567</x:v>
      </x:c>
      <x:c r="D41" s="32" t="n">
        <x:f>C41-B41</x:f>
        <x:v>9123.112671258627</x:v>
      </x:c>
      <x:c r="E41" s="32" t="n">
        <x:f>'Actuals Data'!C38</x:f>
        <x:v>69335.65630156593</x:v>
      </x:c>
      <x:c r="F41" s="32" t="n">
        <x:f>'Actuals Data'!G38</x:f>
        <x:v>72953.55595520242</x:v>
      </x:c>
      <x:c r="G41" s="32" t="n">
        <x:f>E41-F41</x:f>
        <x:v>-3617.8996536364866</x:v>
      </x:c>
      <x:c r="H41" s="32" t="n">
        <x:f>'Actuals Data'!D38</x:f>
        <x:v>580875.55</x:v>
      </x:c>
      <x:c r="I41" s="32" t="n">
        <x:f>'Actuals Data'!H38</x:f>
        <x:v>569485.8333333334</x:v>
      </x:c>
      <x:c r="J41" s="32" t="n">
        <x:f>H41-I41</x:f>
        <x:v>11389.716666666674</x:v>
      </x:c>
      <x:c r="K41" s="32" t="n">
        <x:f>'Actuals Data'!E38</x:f>
        <x:v>279295.48</x:v>
      </x:c>
      <x:c r="L41" s="32" t="n">
        <x:f>'Actuals Data'!I38</x:f>
        <x:v>294425.93</x:v>
      </x:c>
      <x:c r="M41" s="32" t="n">
        <x:f>K41-L41</x:f>
        <x:v>-15130.450000000012</x:v>
      </x:c>
      <x:c r="N41" s="32" t="n">
        <x:f>D41+G41+J41+M41</x:f>
        <x:v>1764.4796842888027</x:v>
      </x:c>
    </x:row>
    <x:row r="42">
      <x:c r="A42" s="33" t="n">
        <x:f>'Actuals Data'!A39</x:f>
        <x:v>46054</x:v>
      </x:c>
      <x:c r="B42" s="32" t="n">
        <x:f>'Actuals Data'!B39</x:f>
        <x:v>376721.63281017874</x:v>
      </x:c>
      <x:c r="C42" s="32" t="n">
        <x:f>'Actuals Data'!F39</x:f>
        <x:v>386139.67363043316</x:v>
      </x:c>
      <x:c r="D42" s="32" t="n">
        <x:f>C42-B42</x:f>
        <x:v>9418.04082025442</x:v>
      </x:c>
      <x:c r="E42" s="32" t="n">
        <x:f>'Actuals Data'!C39</x:f>
        <x:v>71577.11023393396</x:v>
      </x:c>
      <x:c r="F42" s="32" t="n">
        <x:f>'Actuals Data'!G39</x:f>
        <x:v>75556.90952178548</x:v>
      </x:c>
      <x:c r="G42" s="32" t="n">
        <x:f>E42-F42</x:f>
        <x:v>-3979.7992878515215</x:v>
      </x:c>
      <x:c r="H42" s="32" t="n">
        <x:f>'Actuals Data'!D39</x:f>
        <x:v>609196.02</x:v>
      </x:c>
      <x:c r="I42" s="32" t="n">
        <x:f>'Actuals Data'!H39</x:f>
        <x:v>597251</x:v>
      </x:c>
      <x:c r="J42" s="32" t="n">
        <x:f>H42-I42</x:f>
        <x:v>11945.020000000019</x:v>
      </x:c>
      <x:c r="K42" s="32" t="n">
        <x:f>'Actuals Data'!E39</x:f>
        <x:v>282666.06</x:v>
      </x:c>
      <x:c r="L42" s="32" t="n">
        <x:f>'Actuals Data'!I39</x:f>
        <x:v>286002.16000000003</x:v>
      </x:c>
      <x:c r="M42" s="32" t="n">
        <x:f>K42-L42</x:f>
        <x:v>-3336.100000000035</x:v>
      </x:c>
      <x:c r="N42" s="32" t="n">
        <x:f>D42+G42+J42+M42</x:f>
        <x:v>14047.161532402883</x:v>
      </x:c>
    </x:row>
    <x:row r="43">
      <x:c r="A43" s="33" t="n">
        <x:f>'Actuals Data'!A40</x:f>
        <x:v>46082</x:v>
      </x:c>
      <x:c r="B43" s="32" t="n">
        <x:f>'Actuals Data'!B40</x:f>
        <x:v>387494.2082660246</x:v>
      </x:c>
      <x:c r="C43" s="32" t="n">
        <x:f>'Actuals Data'!F40</x:f>
        <x:v>397181.56347267516</x:v>
      </x:c>
      <x:c r="D43" s="32" t="n">
        <x:f>C43-B43</x:f>
        <x:v>9687.355206650565</x:v>
      </x:c>
      <x:c r="E43" s="32" t="n">
        <x:f>'Actuals Data'!C40</x:f>
        <x:v>73623.89957054467</x:v>
      </x:c>
      <x:c r="F43" s="32" t="n">
        <x:f>'Actuals Data'!G40</x:f>
        <x:v>76160.40880132568</x:v>
      </x:c>
      <x:c r="G43" s="32" t="n">
        <x:f>E43-F43</x:f>
        <x:v>-2536.509230781012</x:v>
      </x:c>
      <x:c r="H43" s="32" t="n">
        <x:f>'Actuals Data'!D40</x:f>
        <x:v>631626.33</x:v>
      </x:c>
      <x:c r="I43" s="32" t="n">
        <x:f>'Actuals Data'!H40</x:f>
        <x:v>619241.5</x:v>
      </x:c>
      <x:c r="J43" s="32" t="n">
        <x:f>H43-I43</x:f>
        <x:v>12384.829999999958</x:v>
      </x:c>
      <x:c r="K43" s="32" t="n">
        <x:f>'Actuals Data'!E40</x:f>
        <x:v>285915.88</x:v>
      </x:c>
      <x:c r="L43" s="32" t="n">
        <x:f>'Actuals Data'!I40</x:f>
        <x:v>313887.57</x:v>
      </x:c>
      <x:c r="M43" s="32" t="n">
        <x:f>K43-L43</x:f>
        <x:v>-27971.690000000002</x:v>
      </x:c>
      <x:c r="N43" s="32" t="n">
        <x:f>D43+G43+J43+M43</x:f>
        <x:v>-8436.01402413049</x:v>
      </x:c>
    </x:row>
    <x:row r="44">
      <x:c r="A44" s="33" t="n">
        <x:f>'Actuals Data'!A41</x:f>
        <x:v>46113</x:v>
      </x:c>
      <x:c r="B44" s="32" t="n">
        <x:f>'Actuals Data'!B41</x:f>
        <x:v>400437.4391492772</x:v>
      </x:c>
      <x:c r="C44" s="32" t="n">
        <x:f>'Actuals Data'!F41</x:f>
        <x:v>410448.3751280091</x:v>
      </x:c>
      <x:c r="D44" s="32" t="n">
        <x:f>C44-B44</x:f>
        <x:v>10010.935978731897</x:v>
      </x:c>
      <x:c r="E44" s="32" t="n">
        <x:f>'Actuals Data'!C41</x:f>
        <x:v>76083.11343836268</x:v>
      </x:c>
      <x:c r="F44" s="32" t="n">
        <x:f>'Actuals Data'!G41</x:f>
        <x:v>81793.57675865221</x:v>
      </x:c>
      <x:c r="G44" s="32" t="n">
        <x:f>E44-F44</x:f>
        <x:v>-5710.463320289535</x:v>
      </x:c>
      <x:c r="H44" s="32" t="n">
        <x:f>'Actuals Data'!D41</x:f>
        <x:v>641830.41</x:v>
      </x:c>
      <x:c r="I44" s="32" t="n">
        <x:f>'Actuals Data'!H41</x:f>
        <x:v>629245.5</x:v>
      </x:c>
      <x:c r="J44" s="32" t="n">
        <x:f>H44-I44</x:f>
        <x:v>12584.910000000033</x:v>
      </x:c>
      <x:c r="K44" s="32" t="n">
        <x:f>'Actuals Data'!E41</x:f>
        <x:v>289421.56</x:v>
      </x:c>
      <x:c r="L44" s="32" t="n">
        <x:f>'Actuals Data'!I41</x:f>
        <x:v>290675.31</x:v>
      </x:c>
      <x:c r="M44" s="32" t="n">
        <x:f>K44-L44</x:f>
        <x:v>-1253.75</x:v>
      </x:c>
      <x:c r="N44" s="32" t="n">
        <x:f>D44+G44+J44+M44</x:f>
        <x:v>15631.632658442395</x:v>
      </x:c>
    </x:row>
    <x:row r="45">
      <x:c r="A45" s="33" t="n">
        <x:f>'Actuals Data'!A42</x:f>
        <x:v>46143</x:v>
      </x:c>
      <x:c r="B45" s="32" t="n">
        <x:f>'Actuals Data'!B42</x:f>
        <x:v>410316.9807563077</x:v>
      </x:c>
      <x:c r="C45" s="32" t="n">
        <x:f>'Actuals Data'!F42</x:f>
        <x:v>420574.9052752154</x:v>
      </x:c>
      <x:c r="D45" s="32" t="n">
        <x:f>C45-B45</x:f>
        <x:v>10257.924518907676</x:v>
      </x:c>
      <x:c r="E45" s="32" t="n">
        <x:f>'Actuals Data'!C42</x:f>
        <x:v>77960.22634369846</x:v>
      </x:c>
      <x:c r="F45" s="32" t="n">
        <x:f>'Actuals Data'!G42</x:f>
        <x:v>80910.06566867138</x:v>
      </x:c>
      <x:c r="G45" s="32" t="n">
        <x:f>E45-F45</x:f>
        <x:v>-2949.8393249729124</x:v>
      </x:c>
      <x:c r="H45" s="32" t="n">
        <x:f>'Actuals Data'!D42</x:f>
        <x:v>665276.9800000001</x:v>
      </x:c>
      <x:c r="I45" s="32" t="n">
        <x:f>'Actuals Data'!H42</x:f>
        <x:v>652232.3333333334</x:v>
      </x:c>
      <x:c r="J45" s="32" t="n">
        <x:f>H45-I45</x:f>
        <x:v>13044.646666666726</x:v>
      </x:c>
      <x:c r="K45" s="32" t="n">
        <x:f>'Actuals Data'!E42</x:f>
        <x:v>292566.11</x:v>
      </x:c>
      <x:c r="L45" s="32" t="n">
        <x:f>'Actuals Data'!I42</x:f>
        <x:v>307979.79</x:v>
      </x:c>
      <x:c r="M45" s="32" t="n">
        <x:f>K45-L45</x:f>
        <x:v>-15413.679999999993</x:v>
      </x:c>
      <x:c r="N45" s="32" t="n">
        <x:f>D45+G45+J45+M45</x:f>
        <x:v>4939.051860601496</x:v>
      </x:c>
    </x:row>
    <x:row r="46">
      <x:c r="A46" s="33" t="n">
        <x:f>'Actuals Data'!A43</x:f>
        <x:v>46174</x:v>
      </x:c>
      <x:c r="B46" s="32" t="n">
        <x:f>'Actuals Data'!B43</x:f>
        <x:v>419860.7961007324</x:v>
      </x:c>
      <x:c r="C46" s="32" t="n">
        <x:f>'Actuals Data'!F43</x:f>
        <x:v>430357.31600325066</x:v>
      </x:c>
      <x:c r="D46" s="32" t="n">
        <x:f>C46-B46</x:f>
        <x:v>10496.519902518252</x:v>
      </x:c>
      <x:c r="E46" s="32" t="n">
        <x:f>'Actuals Data'!C43</x:f>
        <x:v>79773.55125913916</x:v>
      </x:c>
      <x:c r="F46" s="32" t="n">
        <x:f>'Actuals Data'!G43</x:f>
        <x:v>83214.33114170936</x:v>
      </x:c>
      <x:c r="G46" s="32" t="n">
        <x:f>E46-F46</x:f>
        <x:v>-3440.779882570205</x:v>
      </x:c>
      <x:c r="H46" s="32" t="n">
        <x:f>'Actuals Data'!D43</x:f>
        <x:v>679452.7700000001</x:v>
      </x:c>
      <x:c r="I46" s="32" t="n">
        <x:f>'Actuals Data'!H43</x:f>
        <x:v>666130.1666666667</x:v>
      </x:c>
      <x:c r="J46" s="32" t="n">
        <x:f>H46-I46</x:f>
        <x:v>13322.60333333339</x:v>
      </x:c>
      <x:c r="K46" s="32" t="n">
        <x:f>'Actuals Data'!E43</x:f>
        <x:v>295671.08999999997</x:v>
      </x:c>
      <x:c r="L46" s="32" t="n">
        <x:f>'Actuals Data'!I43</x:f>
        <x:v>295398.17</x:v>
      </x:c>
      <x:c r="M46" s="32" t="n">
        <x:f>K46-L46</x:f>
        <x:v>272.9199999999837</x:v>
      </x:c>
      <x:c r="N46" s="32" t="n">
        <x:f>D46+G46+J46+M46</x:f>
        <x:v>20651.26335328142</x:v>
      </x:c>
    </x:row>
    <x:row r="47">
      <x:c r="A47" s="33" t="n">
        <x:f>'Actuals Data'!A44</x:f>
        <x:v>46204</x:v>
      </x:c>
      <x:c r="B47" s="32" t="n">
        <x:f>'Actuals Data'!B44</x:f>
        <x:v>440593.60922008194</x:v>
      </x:c>
      <x:c r="C47" s="32" t="n">
        <x:f>'Actuals Data'!F44</x:f>
        <x:v>0</x:v>
      </x:c>
      <x:c r="D47" s="32" t="n">
        <x:f>C47-B47</x:f>
        <x:v>-440593.60922008194</x:v>
      </x:c>
      <x:c r="E47" s="32" t="n">
        <x:f>'Actuals Data'!C44</x:f>
        <x:v>83712.78575181557</x:v>
      </x:c>
      <x:c r="F47" s="32" t="n">
        <x:f>'Actuals Data'!G44</x:f>
        <x:v>0</x:v>
      </x:c>
      <x:c r="G47" s="32" t="n">
        <x:f>E47-F47</x:f>
        <x:v>83712.78575181557</x:v>
      </x:c>
      <x:c r="H47" s="32" t="n">
        <x:f>'Actuals Data'!D44</x:f>
        <x:v>679452.7700000001</x:v>
      </x:c>
      <x:c r="I47" s="32" t="n">
        <x:f>'Actuals Data'!H44</x:f>
        <x:v>0</x:v>
      </x:c>
      <x:c r="J47" s="32" t="n">
        <x:f>H47-I47</x:f>
        <x:v>679452.7700000001</x:v>
      </x:c>
      <x:c r="K47" s="32" t="n">
        <x:f>'Actuals Data'!E44</x:f>
        <x:v>298828.27</x:v>
      </x:c>
      <x:c r="L47" s="32" t="n">
        <x:f>'Actuals Data'!I44</x:f>
        <x:v>0</x:v>
      </x:c>
      <x:c r="M47" s="32" t="n">
        <x:f>K47-L47</x:f>
        <x:v>298828.27</x:v>
      </x:c>
      <x:c r="N47" s="32" t="n">
        <x:f>D47+G47+J47+M47</x:f>
        <x:v>621400.2165317337</x:v>
      </x:c>
    </x:row>
    <x:row r="48">
      <x:c r="A48" s="33" t="n">
        <x:f>'Actuals Data'!A45</x:f>
        <x:v>46235</x:v>
      </x:c>
      <x:c r="B48" s="32" t="n">
        <x:f>'Actuals Data'!B45</x:f>
        <x:v>449936.96766961715</x:v>
      </x:c>
      <x:c r="C48" s="32" t="n">
        <x:f>'Actuals Data'!F45</x:f>
        <x:v>0</x:v>
      </x:c>
      <x:c r="D48" s="32" t="n">
        <x:f>C48-B48</x:f>
        <x:v>-449936.96766961715</x:v>
      </x:c>
      <x:c r="E48" s="32" t="n">
        <x:f>'Actuals Data'!C45</x:f>
        <x:v>85488.02385722726</x:v>
      </x:c>
      <x:c r="F48" s="32" t="n">
        <x:f>'Actuals Data'!G45</x:f>
        <x:v>0</x:v>
      </x:c>
      <x:c r="G48" s="32" t="n">
        <x:f>E48-F48</x:f>
        <x:v>85488.02385722726</x:v>
      </x:c>
      <x:c r="H48" s="32" t="n">
        <x:f>'Actuals Data'!D45</x:f>
        <x:v>679452.7700000001</x:v>
      </x:c>
      <x:c r="I48" s="32" t="n">
        <x:f>'Actuals Data'!H45</x:f>
        <x:v>0</x:v>
      </x:c>
      <x:c r="J48" s="32" t="n">
        <x:f>H48-I48</x:f>
        <x:v>679452.7700000001</x:v>
      </x:c>
      <x:c r="K48" s="32" t="n">
        <x:f>'Actuals Data'!E45</x:f>
        <x:v>301882.75</x:v>
      </x:c>
      <x:c r="L48" s="32" t="n">
        <x:f>'Actuals Data'!I45</x:f>
        <x:v>0</x:v>
      </x:c>
      <x:c r="M48" s="32" t="n">
        <x:f>K48-L48</x:f>
        <x:v>301882.75</x:v>
      </x:c>
      <x:c r="N48" s="32" t="n">
        <x:f>D48+G48+J48+M48</x:f>
        <x:v>616886.5761876103</x:v>
      </x:c>
    </x:row>
    <x:row r="49">
      <x:c r="A49" s="33" t="n">
        <x:f>'Actuals Data'!A46</x:f>
        <x:v>46266</x:v>
      </x:c>
      <x:c r="B49" s="32" t="n">
        <x:f>'Actuals Data'!B46</x:f>
        <x:v>459060.7999799024</x:v>
      </x:c>
      <x:c r="C49" s="32" t="n">
        <x:f>'Actuals Data'!F46</x:f>
        <x:v>0</x:v>
      </x:c>
      <x:c r="D49" s="32" t="n">
        <x:f>C49-B49</x:f>
        <x:v>-459060.7999799024</x:v>
      </x:c>
      <x:c r="E49" s="32" t="n">
        <x:f>'Actuals Data'!C46</x:f>
        <x:v>87221.55199618146</x:v>
      </x:c>
      <x:c r="F49" s="32" t="n">
        <x:f>'Actuals Data'!G46</x:f>
        <x:v>0</x:v>
      </x:c>
      <x:c r="G49" s="32" t="n">
        <x:f>E49-F49</x:f>
        <x:v>87221.55199618146</x:v>
      </x:c>
      <x:c r="H49" s="32" t="n">
        <x:f>'Actuals Data'!D46</x:f>
        <x:v>679452.7700000001</x:v>
      </x:c>
      <x:c r="I49" s="32" t="n">
        <x:f>'Actuals Data'!H46</x:f>
        <x:v>0</x:v>
      </x:c>
      <x:c r="J49" s="32" t="n">
        <x:f>H49-I49</x:f>
        <x:v>679452.7700000001</x:v>
      </x:c>
      <x:c r="K49" s="32" t="n">
        <x:f>'Actuals Data'!E46</x:f>
        <x:v>304911.99</x:v>
      </x:c>
      <x:c r="L49" s="32" t="n">
        <x:f>'Actuals Data'!I46</x:f>
        <x:v>0</x:v>
      </x:c>
      <x:c r="M49" s="32" t="n">
        <x:f>K49-L49</x:f>
        <x:v>304911.99</x:v>
      </x:c>
      <x:c r="N49" s="32" t="n">
        <x:f>D49+G49+J49+M49</x:f>
        <x:v>612525.5120162792</x:v>
      </x:c>
    </x:row>
    <x:row r="50">
      <x:c r="A50" s="33" t="n">
        <x:f>'Actuals Data'!A47</x:f>
        <x:v>46296</x:v>
      </x:c>
      <x:c r="B50" s="32" t="n">
        <x:f>'Actuals Data'!B47</x:f>
        <x:v>468184.63229018764</x:v>
      </x:c>
      <x:c r="C50" s="32" t="n">
        <x:f>'Actuals Data'!F47</x:f>
        <x:v>0</x:v>
      </x:c>
      <x:c r="D50" s="32" t="n">
        <x:f>C50-B50</x:f>
        <x:v>-468184.63229018764</x:v>
      </x:c>
      <x:c r="E50" s="32" t="n">
        <x:f>'Actuals Data'!C47</x:f>
        <x:v>88955.08013513565</x:v>
      </x:c>
      <x:c r="F50" s="32" t="n">
        <x:f>'Actuals Data'!G47</x:f>
        <x:v>0</x:v>
      </x:c>
      <x:c r="G50" s="32" t="n">
        <x:f>E50-F50</x:f>
        <x:v>88955.08013513565</x:v>
      </x:c>
      <x:c r="H50" s="32" t="n">
        <x:f>'Actuals Data'!D47</x:f>
        <x:v>679452.7700000001</x:v>
      </x:c>
      <x:c r="I50" s="32" t="n">
        <x:f>'Actuals Data'!H47</x:f>
        <x:v>0</x:v>
      </x:c>
      <x:c r="J50" s="32" t="n">
        <x:f>H50-I50</x:f>
        <x:v>679452.7700000001</x:v>
      </x:c>
      <x:c r="K50" s="32" t="n">
        <x:f>'Actuals Data'!E47</x:f>
        <x:v>307941.23</x:v>
      </x:c>
      <x:c r="L50" s="32" t="n">
        <x:f>'Actuals Data'!I47</x:f>
        <x:v>0</x:v>
      </x:c>
      <x:c r="M50" s="32" t="n">
        <x:f>K50-L50</x:f>
        <x:v>307941.23</x:v>
      </x:c>
      <x:c r="N50" s="32" t="n">
        <x:f>D50+G50+J50+M50</x:f>
        <x:v>608164.4478449482</x:v>
      </x:c>
    </x:row>
    <x:row r="51">
      <x:c r="A51" s="33" t="n">
        <x:f>'Actuals Data'!A48</x:f>
        <x:v>46327</x:v>
      </x:c>
      <x:c r="B51" s="32" t="n">
        <x:f>'Actuals Data'!B48</x:f>
        <x:v>477809.81351893337</x:v>
      </x:c>
      <x:c r="C51" s="32" t="n">
        <x:f>'Actuals Data'!F48</x:f>
        <x:v>0</x:v>
      </x:c>
      <x:c r="D51" s="32" t="n">
        <x:f>C51-B51</x:f>
        <x:v>-477809.81351893337</x:v>
      </x:c>
      <x:c r="E51" s="32" t="n">
        <x:f>'Actuals Data'!C48</x:f>
        <x:v>90783.86456859735</x:v>
      </x:c>
      <x:c r="F51" s="32" t="n">
        <x:f>'Actuals Data'!G48</x:f>
        <x:v>0</x:v>
      </x:c>
      <x:c r="G51" s="32" t="n">
        <x:f>E51-F51</x:f>
        <x:v>90783.86456859735</x:v>
      </x:c>
      <x:c r="H51" s="32" t="n">
        <x:f>'Actuals Data'!D48</x:f>
        <x:v>679452.7700000001</x:v>
      </x:c>
      <x:c r="I51" s="32" t="n">
        <x:f>'Actuals Data'!H48</x:f>
        <x:v>0</x:v>
      </x:c>
      <x:c r="J51" s="32" t="n">
        <x:f>H51-I51</x:f>
        <x:v>679452.7700000001</x:v>
      </x:c>
      <x:c r="K51" s="32" t="n">
        <x:f>'Actuals Data'!E48</x:f>
        <x:v>311028.13</x:v>
      </x:c>
      <x:c r="L51" s="32" t="n">
        <x:f>'Actuals Data'!I48</x:f>
        <x:v>0</x:v>
      </x:c>
      <x:c r="M51" s="32" t="n">
        <x:f>K51-L51</x:f>
        <x:v>311028.13</x:v>
      </x:c>
      <x:c r="N51" s="32" t="n">
        <x:f>D51+G51+J51+M51</x:f>
        <x:v>603454.951049664</x:v>
      </x:c>
    </x:row>
    <x:row r="52">
      <x:c r="A52" s="33" t="n">
        <x:f>'Actuals Data'!A49</x:f>
        <x:v>46357</x:v>
      </x:c>
      <x:c r="B52" s="32" t="n">
        <x:f>'Actuals Data'!B49</x:f>
        <x:v>487936.34366613964</x:v>
      </x:c>
      <x:c r="C52" s="32" t="n">
        <x:f>'Actuals Data'!F49</x:f>
        <x:v>0</x:v>
      </x:c>
      <x:c r="D52" s="32" t="n">
        <x:f>C52-B52</x:f>
        <x:v>-487936.34366613964</x:v>
      </x:c>
      <x:c r="E52" s="32" t="n">
        <x:f>'Actuals Data'!C49</x:f>
        <x:v>92707.90529656653</x:v>
      </x:c>
      <x:c r="F52" s="32" t="n">
        <x:f>'Actuals Data'!G49</x:f>
        <x:v>0</x:v>
      </x:c>
      <x:c r="G52" s="32" t="n">
        <x:f>E52-F52</x:f>
        <x:v>92707.90529656653</x:v>
      </x:c>
      <x:c r="H52" s="32" t="n">
        <x:f>'Actuals Data'!D49</x:f>
        <x:v>679452.7700000001</x:v>
      </x:c>
      <x:c r="I52" s="32" t="n">
        <x:f>'Actuals Data'!H49</x:f>
        <x:v>0</x:v>
      </x:c>
      <x:c r="J52" s="32" t="n">
        <x:f>H52-I52</x:f>
        <x:v>679452.7700000001</x:v>
      </x:c>
      <x:c r="K52" s="32" t="n">
        <x:f>'Actuals Data'!E49</x:f>
        <x:v>314172.68</x:v>
      </x:c>
      <x:c r="L52" s="32" t="n">
        <x:f>'Actuals Data'!I49</x:f>
        <x:v>0</x:v>
      </x:c>
      <x:c r="M52" s="32" t="n">
        <x:f>K52-L52</x:f>
        <x:v>314172.68</x:v>
      </x:c>
      <x:c r="N52" s="32" t="n">
        <x:f>D52+G52+J52+M52</x:f>
        <x:v>598397.0116304271</x:v>
      </x:c>
    </x:row>
  </x:sheetData>
  <x:mergeCells>
    <x:mergeCell ref="A1:L1"/>
    <x:mergeCell ref="A2:L2"/>
  </x:mergeCells>
  <x:conditionalFormatting sqref="D5:N52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4" customHeight="1">
      <x:c r="A1" s="24" t="str">
        <x:v>Cash flow forecast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Indirect operating cash proxy, capex, financing, burn, and runway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Month</x:v>
      </x:c>
      <x:c r="B4" s="27" t="str">
        <x:v>Starting cash</x:v>
      </x:c>
      <x:c r="C4" s="27" t="str">
        <x:v>Cash inflow</x:v>
      </x:c>
      <x:c r="D4" s="27" t="str">
        <x:v>Operating outflow</x:v>
      </x:c>
      <x:c r="E4" s="27" t="str">
        <x:v>Capex</x:v>
      </x:c>
      <x:c r="F4" s="27" t="str">
        <x:v>Financing</x:v>
      </x:c>
      <x:c r="G4" s="27" t="str">
        <x:v>Net cash flow</x:v>
      </x:c>
      <x:c r="H4" s="27" t="str">
        <x:v>Ending cash</x:v>
      </x:c>
      <x:c r="I4" s="27" t="str">
        <x:v>Burn rate</x:v>
      </x:c>
      <x:c r="J4" s="27" t="str">
        <x:v>Runway months</x:v>
      </x:c>
      <x:c r="K4" s="31"/>
      <x:c r="L4" s="31"/>
    </x:row>
    <x:row r="5">
      <x:c r="A5" s="33" t="n">
        <x:f>'Actuals Data'!A2</x:f>
        <x:v>44927</x:v>
      </x:c>
      <x:c r="B5" s="32" t="n">
        <x:f>'Actuals Data'!N2</x:f>
        <x:v>18000000</x:v>
      </x:c>
      <x:c r="C5" s="32" t="n">
        <x:f>'Actuals Data'!J2</x:f>
        <x:v>129227.37400000001</x:v>
      </x:c>
      <x:c r="D5" s="32" t="n">
        <x:f>SUM('Actuals Data'!K2:M2)</x:f>
        <x:v>230469.92722266668</x:v>
      </x:c>
      <x:c r="E5" s="32" t="n">
        <x:f>'Actuals Data'!O2</x:f>
        <x:v>45000</x:v>
      </x:c>
      <x:c r="F5" s="32" t="n">
        <x:f>'Actuals Data'!P2</x:f>
        <x:v>0</x:v>
      </x:c>
      <x:c r="G5" s="32" t="n">
        <x:f>C5-D5-E5+F5</x:f>
        <x:v>-146242.55322266667</x:v>
      </x:c>
      <x:c r="H5" s="32" t="n">
        <x:f>B5+G5</x:f>
        <x:v>17853757.446777333</x:v>
      </x:c>
      <x:c r="I5" s="32" t="n">
        <x:f>MAX(0,-G5)</x:f>
        <x:v>146242.55322266667</x:v>
      </x:c>
      <x:c r="J5" s="47" t="n">
        <x:f>IFERROR(H5/AVERAGE(I5:I5),0)</x:f>
        <x:v>122.08319024349551</x:v>
      </x:c>
      <x:c r="K5" s="31"/>
      <x:c r="L5" s="31"/>
    </x:row>
    <x:row r="6">
      <x:c r="A6" s="33" t="n">
        <x:f>'Actuals Data'!A3</x:f>
        <x:v>44958</x:v>
      </x:c>
      <x:c r="B6" s="32" t="n">
        <x:f>'Actuals Data'!N3</x:f>
        <x:v>17853757.446777333</x:v>
      </x:c>
      <x:c r="C6" s="32" t="n">
        <x:f>'Actuals Data'!J3</x:f>
        <x:v>133218.292</x:v>
      </x:c>
      <x:c r="D6" s="32" t="n">
        <x:f>SUM('Actuals Data'!K3:M3)</x:f>
        <x:v>234073.20554763285</x:v>
      </x:c>
      <x:c r="E6" s="32" t="n">
        <x:f>'Actuals Data'!O3</x:f>
        <x:v>15000</x:v>
      </x:c>
      <x:c r="F6" s="32" t="n">
        <x:f>'Actuals Data'!P3</x:f>
        <x:v>0</x:v>
      </x:c>
      <x:c r="G6" s="32" t="n">
        <x:f>C6-D6-E6+F6</x:f>
        <x:v>-115854.91354763287</x:v>
      </x:c>
      <x:c r="H6" s="32" t="n">
        <x:f>B6+G6</x:f>
        <x:v>17737902.5332297</x:v>
      </x:c>
      <x:c r="I6" s="32" t="n">
        <x:f>MAX(0,-G6)</x:f>
        <x:v>115854.91354763287</x:v>
      </x:c>
      <x:c r="J6" s="47" t="n">
        <x:f>IFERROR(H6/AVERAGE(I5:I6),0)</x:f>
        <x:v>135.3534832045903</x:v>
      </x:c>
      <x:c r="K6" s="31"/>
      <x:c r="L6" s="31"/>
    </x:row>
    <x:row r="7">
      <x:c r="A7" s="33" t="n">
        <x:f>'Actuals Data'!A4</x:f>
        <x:v>44986</x:v>
      </x:c>
      <x:c r="B7" s="32" t="n">
        <x:f>'Actuals Data'!N4</x:f>
        <x:v>17737902.5332297</x:v>
      </x:c>
      <x:c r="C7" s="32" t="n">
        <x:f>'Actuals Data'!J4</x:f>
        <x:v>137364.398</x:v>
      </x:c>
      <x:c r="D7" s="32" t="n">
        <x:f>SUM('Actuals Data'!K4:M4)</x:f>
        <x:v>262747.72747066664</x:v>
      </x:c>
      <x:c r="E7" s="32" t="n">
        <x:f>'Actuals Data'!O4</x:f>
        <x:v>15000</x:v>
      </x:c>
      <x:c r="F7" s="32" t="n">
        <x:f>'Actuals Data'!P4</x:f>
        <x:v>0</x:v>
      </x:c>
      <x:c r="G7" s="32" t="n">
        <x:f>C7-D7-E7+F7</x:f>
        <x:v>-140383.32947066665</x:v>
      </x:c>
      <x:c r="H7" s="32" t="n">
        <x:f>B7+G7</x:f>
        <x:v>17597519.203759033</x:v>
      </x:c>
      <x:c r="I7" s="32" t="n">
        <x:f>MAX(0,-G7)</x:f>
        <x:v>140383.32947066665</x:v>
      </x:c>
      <x:c r="J7" s="47" t="n">
        <x:f>IFERROR(H7/AVERAGE(I5:I7),0)</x:f>
        <x:v>131.16789199470296</x:v>
      </x:c>
      <x:c r="K7" s="31"/>
      <x:c r="L7" s="31"/>
    </x:row>
    <x:row r="8">
      <x:c r="A8" s="33" t="n">
        <x:f>'Actuals Data'!A5</x:f>
        <x:v>45017</x:v>
      </x:c>
      <x:c r="B8" s="32" t="n">
        <x:f>'Actuals Data'!N5</x:f>
        <x:v>17597519.203759033</x:v>
      </x:c>
      <x:c r="C8" s="32" t="n">
        <x:f>'Actuals Data'!J5</x:f>
        <x:v>141962.692</x:v>
      </x:c>
      <x:c r="D8" s="32" t="n">
        <x:f>SUM('Actuals Data'!K5:M5)</x:f>
        <x:v>292041.5011946263</x:v>
      </x:c>
      <x:c r="E8" s="32" t="n">
        <x:f>'Actuals Data'!O5</x:f>
        <x:v>15000</x:v>
      </x:c>
      <x:c r="F8" s="32" t="n">
        <x:f>'Actuals Data'!P5</x:f>
        <x:v>0</x:v>
      </x:c>
      <x:c r="G8" s="32" t="n">
        <x:f>C8-D8-E8+F8</x:f>
        <x:v>-165078.80919462632</x:v>
      </x:c>
      <x:c r="H8" s="32" t="n">
        <x:f>B8+G8</x:f>
        <x:v>17432440.394564405</x:v>
      </x:c>
      <x:c r="I8" s="32" t="n">
        <x:f>MAX(0,-G8)</x:f>
        <x:v>165078.80919462632</x:v>
      </x:c>
      <x:c r="J8" s="47" t="n">
        <x:f>IFERROR(H8/AVERAGE(I6:I8),0)</x:f>
        <x:v>124.12818543423947</x:v>
      </x:c>
      <x:c r="K8" s="31"/>
      <x:c r="L8" s="31"/>
    </x:row>
    <x:row r="9">
      <x:c r="A9" s="33" t="n">
        <x:f>'Actuals Data'!A6</x:f>
        <x:v>45047</x:v>
      </x:c>
      <x:c r="B9" s="32" t="n">
        <x:f>'Actuals Data'!N6</x:f>
        <x:v>17432440.394564405</x:v>
      </x:c>
      <x:c r="C9" s="32" t="n">
        <x:f>'Actuals Data'!J6</x:f>
        <x:v>146659.986</x:v>
      </x:c>
      <x:c r="D9" s="32" t="n">
        <x:f>SUM('Actuals Data'!K6:M6)</x:f>
        <x:v>303485.437284</x:v>
      </x:c>
      <x:c r="E9" s="32" t="n">
        <x:f>'Actuals Data'!O6</x:f>
        <x:v>15000</x:v>
      </x:c>
      <x:c r="F9" s="32" t="n">
        <x:f>'Actuals Data'!P6</x:f>
        <x:v>0</x:v>
      </x:c>
      <x:c r="G9" s="32" t="n">
        <x:f>C9-D9-E9+F9</x:f>
        <x:v>-171825.45128399998</x:v>
      </x:c>
      <x:c r="H9" s="32" t="n">
        <x:f>B9+G9</x:f>
        <x:v>17260614.943280406</x:v>
      </x:c>
      <x:c r="I9" s="32" t="n">
        <x:f>MAX(0,-G9)</x:f>
        <x:v>171825.45128399998</x:v>
      </x:c>
      <x:c r="J9" s="47" t="n">
        <x:f>IFERROR(H9/AVERAGE(I7:I9),0)</x:f>
        <x:v>108.4919153991465</x:v>
      </x:c>
      <x:c r="K9" s="31"/>
      <x:c r="L9" s="31"/>
    </x:row>
    <x:row r="10">
      <x:c r="A10" s="33" t="n">
        <x:f>'Actuals Data'!A7</x:f>
        <x:v>45078</x:v>
      </x:c>
      <x:c r="B10" s="32" t="n">
        <x:f>'Actuals Data'!N7</x:f>
        <x:v>17260614.943280406</x:v>
      </x:c>
      <x:c r="C10" s="32" t="n">
        <x:f>'Actuals Data'!J7</x:f>
        <x:v>150099.71600000001</x:v>
      </x:c>
      <x:c r="D10" s="32" t="n">
        <x:f>SUM('Actuals Data'!K7:M7)</x:f>
        <x:v>314742.41604</x:v>
      </x:c>
      <x:c r="E10" s="32" t="n">
        <x:f>'Actuals Data'!O7</x:f>
        <x:v>15000</x:v>
      </x:c>
      <x:c r="F10" s="32" t="n">
        <x:f>'Actuals Data'!P7</x:f>
        <x:v>0</x:v>
      </x:c>
      <x:c r="G10" s="32" t="n">
        <x:f>C10-D10-E10+F10</x:f>
        <x:v>-179642.70003999997</x:v>
      </x:c>
      <x:c r="H10" s="32" t="n">
        <x:f>B10+G10</x:f>
        <x:v>17080972.243240405</x:v>
      </x:c>
      <x:c r="I10" s="32" t="n">
        <x:f>MAX(0,-G10)</x:f>
        <x:v>179642.70003999997</x:v>
      </x:c>
      <x:c r="J10" s="47" t="n">
        <x:f>IFERROR(H10/AVERAGE(I8:I10),0)</x:f>
        <x:v>99.20282306621652</x:v>
      </x:c>
      <x:c r="K10" s="31"/>
      <x:c r="L10" s="31"/>
    </x:row>
    <x:row r="11">
      <x:c r="A11" s="33" t="n">
        <x:f>'Actuals Data'!A8</x:f>
        <x:v>45108</x:v>
      </x:c>
      <x:c r="B11" s="32" t="n">
        <x:f>'Actuals Data'!N8</x:f>
        <x:v>17080972.243240405</x:v>
      </x:c>
      <x:c r="C11" s="32" t="n">
        <x:f>'Actuals Data'!J8</x:f>
        <x:v>155150.198</x:v>
      </x:c>
      <x:c r="D11" s="32" t="n">
        <x:f>SUM('Actuals Data'!K8:M8)</x:f>
        <x:v>328510.37349466665</x:v>
      </x:c>
      <x:c r="E11" s="32" t="n">
        <x:f>'Actuals Data'!O8</x:f>
        <x:v>45000</x:v>
      </x:c>
      <x:c r="F11" s="32" t="n">
        <x:f>'Actuals Data'!P8</x:f>
        <x:v>0</x:v>
      </x:c>
      <x:c r="G11" s="32" t="n">
        <x:f>C11-D11-E11+F11</x:f>
        <x:v>-218360.17549466665</x:v>
      </x:c>
      <x:c r="H11" s="32" t="n">
        <x:f>B11+G11</x:f>
        <x:v>16862612.067745738</x:v>
      </x:c>
      <x:c r="I11" s="32" t="n">
        <x:f>MAX(0,-G11)</x:f>
        <x:v>218360.17549466665</x:v>
      </x:c>
      <x:c r="J11" s="47" t="n">
        <x:f>IFERROR(H11/AVERAGE(I9:I11),0)</x:f>
        <x:v>88.77732787639303</x:v>
      </x:c>
      <x:c r="K11" s="31"/>
      <x:c r="L11" s="31"/>
    </x:row>
    <x:row r="12">
      <x:c r="A12" s="33" t="n">
        <x:f>'Actuals Data'!A9</x:f>
        <x:v>45139</x:v>
      </x:c>
      <x:c r="B12" s="32" t="n">
        <x:f>'Actuals Data'!N9</x:f>
        <x:v>16862612.067745738</x:v>
      </x:c>
      <x:c r="C12" s="32" t="n">
        <x:f>'Actuals Data'!J9</x:f>
        <x:v>159395.304</x:v>
      </x:c>
      <x:c r="D12" s="32" t="n">
        <x:f>SUM('Actuals Data'!K9:M9)</x:f>
        <x:v>357999.0780332698</x:v>
      </x:c>
      <x:c r="E12" s="32" t="n">
        <x:f>'Actuals Data'!O9</x:f>
        <x:v>15000</x:v>
      </x:c>
      <x:c r="F12" s="32" t="n">
        <x:f>'Actuals Data'!P9</x:f>
        <x:v>0</x:v>
      </x:c>
      <x:c r="G12" s="32" t="n">
        <x:f>C12-D12-E12+F12</x:f>
        <x:v>-213603.7740332698</x:v>
      </x:c>
      <x:c r="H12" s="32" t="n">
        <x:f>B12+G12</x:f>
        <x:v>16649008.293712469</x:v>
      </x:c>
      <x:c r="I12" s="32" t="n">
        <x:f>MAX(0,-G12)</x:f>
        <x:v>213603.7740332698</x:v>
      </x:c>
      <x:c r="J12" s="47" t="n">
        <x:f>IFERROR(H12/AVERAGE(I10:I12),0)</x:f>
        <x:v>81.66527443156808</x:v>
      </x:c>
      <x:c r="K12" s="31"/>
      <x:c r="L12" s="31"/>
    </x:row>
    <x:row r="13">
      <x:c r="A13" s="33" t="n">
        <x:f>'Actuals Data'!A10</x:f>
        <x:v>45170</x:v>
      </x:c>
      <x:c r="B13" s="32" t="n">
        <x:f>'Actuals Data'!N10</x:f>
        <x:v>16649008.293712469</x:v>
      </x:c>
      <x:c r="C13" s="32" t="n">
        <x:f>'Actuals Data'!J10</x:f>
        <x:v>162538.03399999999</x:v>
      </x:c>
      <x:c r="D13" s="32" t="n">
        <x:f>SUM('Actuals Data'!K10:M10)</x:f>
        <x:v>416993.792188</x:v>
      </x:c>
      <x:c r="E13" s="32" t="n">
        <x:f>'Actuals Data'!O10</x:f>
        <x:v>15000</x:v>
      </x:c>
      <x:c r="F13" s="32" t="n">
        <x:f>'Actuals Data'!P10</x:f>
        <x:v>0</x:v>
      </x:c>
      <x:c r="G13" s="32" t="n">
        <x:f>C13-D13-E13+F13</x:f>
        <x:v>-269455.758188</x:v>
      </x:c>
      <x:c r="H13" s="32" t="n">
        <x:f>B13+G13</x:f>
        <x:v>16379552.535524469</x:v>
      </x:c>
      <x:c r="I13" s="32" t="n">
        <x:f>MAX(0,-G13)</x:f>
        <x:v>269455.758188</x:v>
      </x:c>
      <x:c r="J13" s="47" t="n">
        <x:f>IFERROR(H13/AVERAGE(I11:I13),0)</x:f>
        <x:v>70.05599795104953</x:v>
      </x:c>
      <x:c r="K13" s="31"/>
      <x:c r="L13" s="31"/>
    </x:row>
    <x:row r="14">
      <x:c r="A14" s="33" t="n">
        <x:f>'Actuals Data'!A11</x:f>
        <x:v>45200</x:v>
      </x:c>
      <x:c r="B14" s="32" t="n">
        <x:f>'Actuals Data'!N11</x:f>
        <x:v>16379552.535524469</x:v>
      </x:c>
      <x:c r="C14" s="32" t="n">
        <x:f>'Actuals Data'!J11</x:f>
        <x:v>166033.952</x:v>
      </x:c>
      <x:c r="D14" s="32" t="n">
        <x:f>SUM('Actuals Data'!K11:M11)</x:f>
        <x:v>434230.20058408484</x:v>
      </x:c>
      <x:c r="E14" s="32" t="n">
        <x:f>'Actuals Data'!O11</x:f>
        <x:v>15000</x:v>
      </x:c>
      <x:c r="F14" s="32" t="n">
        <x:f>'Actuals Data'!P11</x:f>
        <x:v>0</x:v>
      </x:c>
      <x:c r="G14" s="32" t="n">
        <x:f>C14-D14-E14+F14</x:f>
        <x:v>-283196.24858408485</x:v>
      </x:c>
      <x:c r="H14" s="32" t="n">
        <x:f>B14+G14</x:f>
        <x:v>16096356.286940385</x:v>
      </x:c>
      <x:c r="I14" s="32" t="n">
        <x:f>MAX(0,-G14)</x:f>
        <x:v>283196.24858408485</x:v>
      </x:c>
      <x:c r="J14" s="47" t="n">
        <x:f>IFERROR(H14/AVERAGE(I12:I14),0)</x:f>
        <x:v>63.01951655107657</x:v>
      </x:c>
      <x:c r="K14" s="31"/>
      <x:c r="L14" s="31"/>
    </x:row>
    <x:row r="15">
      <x:c r="A15" s="33" t="n">
        <x:f>'Actuals Data'!A12</x:f>
        <x:v>45231</x:v>
      </x:c>
      <x:c r="B15" s="32" t="n">
        <x:f>'Actuals Data'!N12</x:f>
        <x:v>16096356.286940385</x:v>
      </x:c>
      <x:c r="C15" s="32" t="n">
        <x:f>'Actuals Data'!J12</x:f>
        <x:v>170434.246</x:v>
      </x:c>
      <x:c r="D15" s="32" t="n">
        <x:f>SUM('Actuals Data'!K12:M12)</x:f>
        <x:v>451207.04308933334</x:v>
      </x:c>
      <x:c r="E15" s="32" t="n">
        <x:f>'Actuals Data'!O12</x:f>
        <x:v>15000</x:v>
      </x:c>
      <x:c r="F15" s="32" t="n">
        <x:f>'Actuals Data'!P12</x:f>
        <x:v>0</x:v>
      </x:c>
      <x:c r="G15" s="32" t="n">
        <x:f>C15-D15-E15+F15</x:f>
        <x:v>-295772.7970893333</x:v>
      </x:c>
      <x:c r="H15" s="32" t="n">
        <x:f>B15+G15</x:f>
        <x:v>15800583.489851052</x:v>
      </x:c>
      <x:c r="I15" s="32" t="n">
        <x:f>MAX(0,-G15)</x:f>
        <x:v>295772.7970893333</x:v>
      </x:c>
      <x:c r="J15" s="47" t="n">
        <x:f>IFERROR(H15/AVERAGE(I13:I15),0)</x:f>
        <x:v>55.87030253454939</x:v>
      </x:c>
      <x:c r="K15" s="31"/>
      <x:c r="L15" s="31"/>
    </x:row>
    <x:row r="16">
      <x:c r="A16" s="33" t="n">
        <x:f>'Actuals Data'!A13</x:f>
        <x:v>45261</x:v>
      </x:c>
      <x:c r="B16" s="32" t="n">
        <x:f>'Actuals Data'!N13</x:f>
        <x:v>15800583.489851052</x:v>
      </x:c>
      <x:c r="C16" s="32" t="n">
        <x:f>'Actuals Data'!J13</x:f>
        <x:v>175131.54</x:v>
      </x:c>
      <x:c r="D16" s="32" t="n">
        <x:f>SUM('Actuals Data'!K13:M13)</x:f>
        <x:v>455301.4559333334</x:v>
      </x:c>
      <x:c r="E16" s="32" t="n">
        <x:f>'Actuals Data'!O13</x:f>
        <x:v>15000</x:v>
      </x:c>
      <x:c r="F16" s="32" t="n">
        <x:f>'Actuals Data'!P13</x:f>
        <x:v>0</x:v>
      </x:c>
      <x:c r="G16" s="32" t="n">
        <x:f>C16-D16-E16+F16</x:f>
        <x:v>-295169.91593333334</x:v>
      </x:c>
      <x:c r="H16" s="32" t="n">
        <x:f>B16+G16</x:f>
        <x:v>15505413.573917719</x:v>
      </x:c>
      <x:c r="I16" s="32" t="n">
        <x:f>MAX(0,-G16)</x:f>
        <x:v>295169.91593333334</x:v>
      </x:c>
      <x:c r="J16" s="47" t="n">
        <x:f>IFERROR(H16/AVERAGE(I14:I16),0)</x:f>
        <x:v>53.2137826647743</x:v>
      </x:c>
      <x:c r="K16" s="31"/>
      <x:c r="L16" s="31"/>
    </x:row>
    <x:row r="17">
      <x:c r="A17" s="33" t="n">
        <x:f>'Actuals Data'!A14</x:f>
        <x:v>45292</x:v>
      </x:c>
      <x:c r="B17" s="32" t="n">
        <x:f>'Actuals Data'!N14</x:f>
        <x:v>15505413.573917719</x:v>
      </x:c>
      <x:c r="C17" s="32" t="n">
        <x:f>'Actuals Data'!J14</x:f>
        <x:v>185552.36361</x:v>
      </x:c>
      <x:c r="D17" s="32" t="n">
        <x:f>SUM('Actuals Data'!K14:M14)</x:f>
        <x:v>475476.01187367336</x:v>
      </x:c>
      <x:c r="E17" s="32" t="n">
        <x:f>'Actuals Data'!O14</x:f>
        <x:v>45000</x:v>
      </x:c>
      <x:c r="F17" s="32" t="n">
        <x:f>'Actuals Data'!P14</x:f>
        <x:v>0</x:v>
      </x:c>
      <x:c r="G17" s="32" t="n">
        <x:f>C17-D17-E17+F17</x:f>
        <x:v>-334923.64826367336</x:v>
      </x:c>
      <x:c r="H17" s="32" t="n">
        <x:f>B17+G17</x:f>
        <x:v>15170489.925654044</x:v>
      </x:c>
      <x:c r="I17" s="32" t="n">
        <x:f>MAX(0,-G17)</x:f>
        <x:v>334923.64826367336</x:v>
      </x:c>
      <x:c r="J17" s="47" t="n">
        <x:f>IFERROR(H17/AVERAGE(I15:I17),0)</x:f>
        <x:v>49.15554952631758</x:v>
      </x:c>
      <x:c r="K17" s="31"/>
      <x:c r="L17" s="31"/>
    </x:row>
    <x:row r="18">
      <x:c r="A18" s="33" t="n">
        <x:f>'Actuals Data'!A15</x:f>
        <x:v>45323</x:v>
      </x:c>
      <x:c r="B18" s="32" t="n">
        <x:f>'Actuals Data'!N15</x:f>
        <x:v>15170489.925654044</x:v>
      </x:c>
      <x:c r="C18" s="32" t="n">
        <x:f>'Actuals Data'!J15</x:f>
        <x:v>190311.5979</x:v>
      </x:c>
      <x:c r="D18" s="32" t="n">
        <x:f>SUM('Actuals Data'!K15:M15)</x:f>
        <x:v>500437.384361663</x:v>
      </x:c>
      <x:c r="E18" s="32" t="n">
        <x:f>'Actuals Data'!O15</x:f>
        <x:v>15000</x:v>
      </x:c>
      <x:c r="F18" s="32" t="n">
        <x:f>'Actuals Data'!P15</x:f>
        <x:v>0</x:v>
      </x:c>
      <x:c r="G18" s="32" t="n">
        <x:f>C18-D18-E18+F18</x:f>
        <x:v>-325125.786461663</x:v>
      </x:c>
      <x:c r="H18" s="32" t="n">
        <x:f>B18+G18</x:f>
        <x:v>14845364.139192382</x:v>
      </x:c>
      <x:c r="I18" s="32" t="n">
        <x:f>MAX(0,-G18)</x:f>
        <x:v>325125.786461663</x:v>
      </x:c>
      <x:c r="J18" s="47" t="n">
        <x:f>IFERROR(H18/AVERAGE(I16:I18),0)</x:f>
        <x:v>46.62394285340574</x:v>
      </x:c>
      <x:c r="K18" s="31"/>
      <x:c r="L18" s="31"/>
    </x:row>
    <x:row r="19">
      <x:c r="A19" s="33" t="n">
        <x:f>'Actuals Data'!A16</x:f>
        <x:v>45352</x:v>
      </x:c>
      <x:c r="B19" s="32" t="n">
        <x:f>'Actuals Data'!N16</x:f>
        <x:v>14845364.139192382</x:v>
      </x:c>
      <x:c r="C19" s="32" t="n">
        <x:f>'Actuals Data'!J16</x:f>
        <x:v>196211.79134999996</x:v>
      </x:c>
      <x:c r="D19" s="32" t="n">
        <x:f>SUM('Actuals Data'!K16:M16)</x:f>
        <x:v>531114.9613539666</x:v>
      </x:c>
      <x:c r="E19" s="32" t="n">
        <x:f>'Actuals Data'!O16</x:f>
        <x:v>15000</x:v>
      </x:c>
      <x:c r="F19" s="32" t="n">
        <x:f>'Actuals Data'!P16</x:f>
        <x:v>0</x:v>
      </x:c>
      <x:c r="G19" s="32" t="n">
        <x:f>C19-D19-E19+F19</x:f>
        <x:v>-349903.17000396666</x:v>
      </x:c>
      <x:c r="H19" s="32" t="n">
        <x:f>B19+G19</x:f>
        <x:v>14495460.969188415</x:v>
      </x:c>
      <x:c r="I19" s="32" t="n">
        <x:f>MAX(0,-G19)</x:f>
        <x:v>349903.17000396666</x:v>
      </x:c>
      <x:c r="J19" s="47" t="n">
        <x:f>IFERROR(H19/AVERAGE(I17:I19),0)</x:f>
        <x:v>43.057845193855286</x:v>
      </x:c>
      <x:c r="K19" s="31"/>
      <x:c r="L19" s="31"/>
    </x:row>
    <x:row r="20">
      <x:c r="A20" s="33" t="n">
        <x:f>'Actuals Data'!A17</x:f>
        <x:v>45383</x:v>
      </x:c>
      <x:c r="B20" s="32" t="n">
        <x:f>'Actuals Data'!N17</x:f>
        <x:v>14495460.969188415</x:v>
      </x:c>
      <x:c r="C20" s="32" t="n">
        <x:f>'Actuals Data'!J17</x:f>
        <x:v>203332.03245</x:v>
      </x:c>
      <x:c r="D20" s="32" t="n">
        <x:f>SUM('Actuals Data'!K17:M17)</x:f>
        <x:v>573250.9918095386</x:v>
      </x:c>
      <x:c r="E20" s="32" t="n">
        <x:f>'Actuals Data'!O17</x:f>
        <x:v>15000</x:v>
      </x:c>
      <x:c r="F20" s="32" t="n">
        <x:f>'Actuals Data'!P17</x:f>
        <x:v>0</x:v>
      </x:c>
      <x:c r="G20" s="32" t="n">
        <x:f>C20-D20-E20+F20</x:f>
        <x:v>-384918.95935953857</x:v>
      </x:c>
      <x:c r="H20" s="32" t="n">
        <x:f>B20+G20</x:f>
        <x:v>14110542.009828877</x:v>
      </x:c>
      <x:c r="I20" s="32" t="n">
        <x:f>MAX(0,-G20)</x:f>
        <x:v>384918.95935953857</x:v>
      </x:c>
      <x:c r="J20" s="47" t="n">
        <x:f>IFERROR(H20/AVERAGE(I18:I20),0)</x:f>
        <x:v>39.937458621758324</x:v>
      </x:c>
      <x:c r="K20" s="31"/>
      <x:c r="L20" s="31"/>
    </x:row>
    <x:row r="21">
      <x:c r="A21" s="33" t="n">
        <x:f>'Actuals Data'!A18</x:f>
        <x:v>45413</x:v>
      </x:c>
      <x:c r="B21" s="32" t="n">
        <x:f>'Actuals Data'!N18</x:f>
        <x:v>14110542.009828877</x:v>
      </x:c>
      <x:c r="C21" s="32" t="n">
        <x:f>'Actuals Data'!J18</x:f>
        <x:v>209676.86397</x:v>
      </x:c>
      <x:c r="D21" s="32" t="n">
        <x:f>SUM('Actuals Data'!K18:M18)</x:f>
        <x:v>588633.4849435133</x:v>
      </x:c>
      <x:c r="E21" s="32" t="n">
        <x:f>'Actuals Data'!O18</x:f>
        <x:v>15000</x:v>
      </x:c>
      <x:c r="F21" s="32" t="n">
        <x:f>'Actuals Data'!P18</x:f>
        <x:v>0</x:v>
      </x:c>
      <x:c r="G21" s="32" t="n">
        <x:f>C21-D21-E21+F21</x:f>
        <x:v>-393956.6209735133</x:v>
      </x:c>
      <x:c r="H21" s="32" t="n">
        <x:f>B21+G21</x:f>
        <x:v>13716585.388855364</x:v>
      </x:c>
      <x:c r="I21" s="32" t="n">
        <x:f>MAX(0,-G21)</x:f>
        <x:v>393956.6209735133</x:v>
      </x:c>
      <x:c r="J21" s="47" t="n">
        <x:f>IFERROR(H21/AVERAGE(I19:I21),0)</x:f>
        <x:v>36.455112354197</x:v>
      </x:c>
      <x:c r="K21" s="31"/>
      <x:c r="L21" s="31"/>
    </x:row>
    <x:row r="22">
      <x:c r="A22" s="33" t="n">
        <x:f>'Actuals Data'!A19</x:f>
        <x:v>45444</x:v>
      </x:c>
      <x:c r="B22" s="32" t="n">
        <x:f>'Actuals Data'!N19</x:f>
        <x:v>13716585.388855364</x:v>
      </x:c>
      <x:c r="C22" s="32" t="n">
        <x:f>'Actuals Data'!J19</x:f>
        <x:v>217015.87922999996</x:v>
      </x:c>
      <x:c r="D22" s="32" t="n">
        <x:f>SUM('Actuals Data'!K19:M19)</x:f>
        <x:v>602129.0137203666</x:v>
      </x:c>
      <x:c r="E22" s="32" t="n">
        <x:f>'Actuals Data'!O19</x:f>
        <x:v>15000</x:v>
      </x:c>
      <x:c r="F22" s="32" t="n">
        <x:f>'Actuals Data'!P19</x:f>
        <x:v>0</x:v>
      </x:c>
      <x:c r="G22" s="32" t="n">
        <x:f>C22-D22-E22+F22</x:f>
        <x:v>-400113.1344903667</x:v>
      </x:c>
      <x:c r="H22" s="32" t="n">
        <x:f>B22+G22</x:f>
        <x:v>13316472.254364997</x:v>
      </x:c>
      <x:c r="I22" s="32" t="n">
        <x:f>MAX(0,-G22)</x:f>
        <x:v>400113.1344903667</x:v>
      </x:c>
      <x:c r="J22" s="47" t="n">
        <x:f>IFERROR(H22/AVERAGE(I20:I22),0)</x:f>
        <x:v>33.88447765513885</x:v>
      </x:c>
      <x:c r="K22" s="31"/>
      <x:c r="L22" s="31"/>
    </x:row>
    <x:row r="23">
      <x:c r="A23" s="33" t="n">
        <x:f>'Actuals Data'!A20</x:f>
        <x:v>45474</x:v>
      </x:c>
      <x:c r="B23" s="32" t="n">
        <x:f>'Actuals Data'!N20</x:f>
        <x:v>13316472.254364997</x:v>
      </x:c>
      <x:c r="C23" s="32" t="n">
        <x:f>'Actuals Data'!J20</x:f>
        <x:v>223770.57075</x:v>
      </x:c>
      <x:c r="D23" s="32" t="n">
        <x:f>SUM('Actuals Data'!K20:M20)</x:f>
        <x:v>605274.1128261667</x:v>
      </x:c>
      <x:c r="E23" s="32" t="n">
        <x:f>'Actuals Data'!O20</x:f>
        <x:v>45000</x:v>
      </x:c>
      <x:c r="F23" s="32" t="n">
        <x:f>'Actuals Data'!P20</x:f>
        <x:v>0</x:v>
      </x:c>
      <x:c r="G23" s="32" t="n">
        <x:f>C23-D23-E23+F23</x:f>
        <x:v>-426503.54207616666</x:v>
      </x:c>
      <x:c r="H23" s="32" t="n">
        <x:f>B23+G23</x:f>
        <x:v>12889968.71228883</x:v>
      </x:c>
      <x:c r="I23" s="32" t="n">
        <x:f>MAX(0,-G23)</x:f>
        <x:v>426503.54207616666</x:v>
      </x:c>
      <x:c r="J23" s="47" t="n">
        <x:f>IFERROR(H23/AVERAGE(I21:I23),0)</x:f>
        <x:v>31.68175660962118</x:v>
      </x:c>
      <x:c r="K23" s="31"/>
      <x:c r="L23" s="31"/>
    </x:row>
    <x:row r="24">
      <x:c r="A24" s="33" t="n">
        <x:f>'Actuals Data'!A21</x:f>
        <x:v>45505</x:v>
      </x:c>
      <x:c r="B24" s="32" t="n">
        <x:f>'Actuals Data'!N21</x:f>
        <x:v>12889968.71228883</x:v>
      </x:c>
      <x:c r="C24" s="32" t="n">
        <x:f>'Actuals Data'!J21</x:f>
        <x:v>230480.95185</x:v>
      </x:c>
      <x:c r="D24" s="32" t="n">
        <x:f>SUM('Actuals Data'!K21:M21)</x:f>
        <x:v>632063.7053097091</x:v>
      </x:c>
      <x:c r="E24" s="32" t="n">
        <x:f>'Actuals Data'!O21</x:f>
        <x:v>15000</x:v>
      </x:c>
      <x:c r="F24" s="32" t="n">
        <x:f>'Actuals Data'!P21</x:f>
        <x:v>0</x:v>
      </x:c>
      <x:c r="G24" s="32" t="n">
        <x:f>C24-D24-E24+F24</x:f>
        <x:v>-416582.75345970906</x:v>
      </x:c>
      <x:c r="H24" s="32" t="n">
        <x:f>B24+G24</x:f>
        <x:v>12473385.958829122</x:v>
      </x:c>
      <x:c r="I24" s="32" t="n">
        <x:f>MAX(0,-G24)</x:f>
        <x:v>416582.75345970906</x:v>
      </x:c>
      <x:c r="J24" s="47" t="n">
        <x:f>IFERROR(H24/AVERAGE(I22:I24),0)</x:f>
        <x:v>30.09988339175596</x:v>
      </x:c>
      <x:c r="K24" s="31"/>
      <x:c r="L24" s="31"/>
    </x:row>
    <x:row r="25">
      <x:c r="A25" s="33" t="n">
        <x:f>'Actuals Data'!A22</x:f>
        <x:v>45536</x:v>
      </x:c>
      <x:c r="B25" s="32" t="n">
        <x:f>'Actuals Data'!N22</x:f>
        <x:v>12473385.958829122</x:v>
      </x:c>
      <x:c r="C25" s="32" t="n">
        <x:f>'Actuals Data'!J22</x:f>
        <x:v>235868.8203</x:v>
      </x:c>
      <x:c r="D25" s="32" t="n">
        <x:f>SUM('Actuals Data'!K22:M22)</x:f>
        <x:v>661840.3686279332</x:v>
      </x:c>
      <x:c r="E25" s="32" t="n">
        <x:f>'Actuals Data'!O22</x:f>
        <x:v>15000</x:v>
      </x:c>
      <x:c r="F25" s="32" t="n">
        <x:f>'Actuals Data'!P22</x:f>
        <x:v>4000000</x:v>
      </x:c>
      <x:c r="G25" s="32" t="n">
        <x:f>C25-D25-E25+F25</x:f>
        <x:v>3559028.451672067</x:v>
      </x:c>
      <x:c r="H25" s="32" t="n">
        <x:f>B25+G25</x:f>
        <x:v>16032414.41050119</x:v>
      </x:c>
      <x:c r="I25" s="32" t="n">
        <x:f>MAX(0,-G25)</x:f>
        <x:v>0</x:v>
      </x:c>
      <x:c r="J25" s="47" t="n">
        <x:f>IFERROR(H25/AVERAGE(I23:I25),0)</x:f>
        <x:v>57.049015606323415</x:v>
      </x:c>
      <x:c r="K25" s="31"/>
      <x:c r="L25" s="31"/>
    </x:row>
    <x:row r="26">
      <x:c r="A26" s="33" t="n">
        <x:f>'Actuals Data'!A23</x:f>
        <x:v>45566</x:v>
      </x:c>
      <x:c r="B26" s="32" t="n">
        <x:f>'Actuals Data'!N23</x:f>
        <x:v>16032414.410501188</x:v>
      </x:c>
      <x:c r="C26" s="32" t="n">
        <x:f>'Actuals Data'!J23</x:f>
        <x:v>241461.61874999997</x:v>
      </x:c>
      <x:c r="D26" s="32" t="n">
        <x:f>SUM('Actuals Data'!K23:M23)</x:f>
        <x:v>683176.0690621553</x:v>
      </x:c>
      <x:c r="E26" s="32" t="n">
        <x:f>'Actuals Data'!O23</x:f>
        <x:v>15000</x:v>
      </x:c>
      <x:c r="F26" s="32" t="n">
        <x:f>'Actuals Data'!P23</x:f>
        <x:v>0</x:v>
      </x:c>
      <x:c r="G26" s="32" t="n">
        <x:f>C26-D26-E26+F26</x:f>
        <x:v>-456714.45031215536</x:v>
      </x:c>
      <x:c r="H26" s="32" t="n">
        <x:f>B26+G26</x:f>
        <x:v>15575699.960189031</x:v>
      </x:c>
      <x:c r="I26" s="32" t="n">
        <x:f>MAX(0,-G26)</x:f>
        <x:v>456714.45031215536</x:v>
      </x:c>
      <x:c r="J26" s="47" t="n">
        <x:f>IFERROR(H26/AVERAGE(I24:I26),0)</x:f>
        <x:v>53.5065263907267</x:v>
      </x:c>
      <x:c r="K26" s="31"/>
      <x:c r="L26" s="31"/>
    </x:row>
    <x:row r="27">
      <x:c r="A27" s="33" t="n">
        <x:f>'Actuals Data'!A24</x:f>
        <x:v>45597</x:v>
      </x:c>
      <x:c r="B27" s="32" t="n">
        <x:f>'Actuals Data'!N24</x:f>
        <x:v>15575699.960189031</x:v>
      </x:c>
      <x:c r="C27" s="32" t="n">
        <x:f>'Actuals Data'!J24</x:f>
        <x:v>246951.95219999997</x:v>
      </x:c>
      <x:c r="D27" s="32" t="n">
        <x:f>SUM('Actuals Data'!K24:M24)</x:f>
        <x:v>687515.6997758666</x:v>
      </x:c>
      <x:c r="E27" s="32" t="n">
        <x:f>'Actuals Data'!O24</x:f>
        <x:v>15000</x:v>
      </x:c>
      <x:c r="F27" s="32" t="n">
        <x:f>'Actuals Data'!P24</x:f>
        <x:v>0</x:v>
      </x:c>
      <x:c r="G27" s="32" t="n">
        <x:f>C27-D27-E27+F27</x:f>
        <x:v>-455563.74757586664</x:v>
      </x:c>
      <x:c r="H27" s="32" t="n">
        <x:f>B27+G27</x:f>
        <x:v>15120136.212613165</x:v>
      </x:c>
      <x:c r="I27" s="32" t="n">
        <x:f>MAX(0,-G27)</x:f>
        <x:v>455563.74757586664</x:v>
      </x:c>
      <x:c r="J27" s="47" t="n">
        <x:f>IFERROR(H27/AVERAGE(I25:I27),0)</x:f>
        <x:v>49.72212285994725</x:v>
      </x:c>
      <x:c r="K27" s="31"/>
      <x:c r="L27" s="31"/>
    </x:row>
    <x:row r="28">
      <x:c r="A28" s="33" t="n">
        <x:f>'Actuals Data'!A25</x:f>
        <x:v>45627</x:v>
      </x:c>
      <x:c r="B28" s="32" t="n">
        <x:f>'Actuals Data'!N25</x:f>
        <x:v>15120136.212613165</x:v>
      </x:c>
      <x:c r="C28" s="32" t="n">
        <x:f>'Actuals Data'!J25</x:f>
        <x:v>252179.20106999995</x:v>
      </x:c>
      <x:c r="D28" s="32" t="n">
        <x:f>SUM('Actuals Data'!K25:M25)</x:f>
        <x:v>708608.8248699666</x:v>
      </x:c>
      <x:c r="E28" s="32" t="n">
        <x:f>'Actuals Data'!O25</x:f>
        <x:v>15000</x:v>
      </x:c>
      <x:c r="F28" s="32" t="n">
        <x:f>'Actuals Data'!P25</x:f>
        <x:v>0</x:v>
      </x:c>
      <x:c r="G28" s="32" t="n">
        <x:f>C28-D28-E28+F28</x:f>
        <x:v>-471429.62379996665</x:v>
      </x:c>
      <x:c r="H28" s="32" t="n">
        <x:f>B28+G28</x:f>
        <x:v>14648706.588813199</x:v>
      </x:c>
      <x:c r="I28" s="32" t="n">
        <x:f>MAX(0,-G28)</x:f>
        <x:v>471429.62379996665</x:v>
      </x:c>
      <x:c r="J28" s="47" t="n">
        <x:f>IFERROR(H28/AVERAGE(I26:I28),0)</x:f>
        <x:v>31.759681543773898</x:v>
      </x:c>
      <x:c r="K28" s="31"/>
      <x:c r="L28" s="31"/>
    </x:row>
    <x:row r="29">
      <x:c r="A29" s="33" t="n">
        <x:f>'Actuals Data'!A26</x:f>
        <x:v>45658</x:v>
      </x:c>
      <x:c r="B29" s="32" t="n">
        <x:f>'Actuals Data'!N26</x:f>
        <x:v>14648706.588813199</x:v>
      </x:c>
      <x:c r="C29" s="32" t="n">
        <x:f>'Actuals Data'!J26</x:f>
        <x:v>268268.87137095</x:v>
      </x:c>
      <x:c r="D29" s="32" t="n">
        <x:f>SUM('Actuals Data'!K26:M26)</x:f>
        <x:v>731524.4143792975</x:v>
      </x:c>
      <x:c r="E29" s="32" t="n">
        <x:f>'Actuals Data'!O26</x:f>
        <x:v>45000</x:v>
      </x:c>
      <x:c r="F29" s="32" t="n">
        <x:f>'Actuals Data'!P26</x:f>
        <x:v>0</x:v>
      </x:c>
      <x:c r="G29" s="32" t="n">
        <x:f>C29-D29-E29+F29</x:f>
        <x:v>-508255.5430083475</x:v>
      </x:c>
      <x:c r="H29" s="32" t="n">
        <x:f>B29+G29</x:f>
        <x:v>14140451.04580485</x:v>
      </x:c>
      <x:c r="I29" s="32" t="n">
        <x:f>MAX(0,-G29)</x:f>
        <x:v>508255.5430083475</x:v>
      </x:c>
      <x:c r="J29" s="47" t="n">
        <x:f>IFERROR(H29/AVERAGE(I27:I29),0)</x:f>
        <x:v>29.5567916563213</x:v>
      </x:c>
      <x:c r="K29" s="31"/>
      <x:c r="L29" s="31"/>
    </x:row>
    <x:row r="30">
      <x:c r="A30" s="33" t="n">
        <x:f>'Actuals Data'!A27</x:f>
        <x:v>45689</x:v>
      </x:c>
      <x:c r="B30" s="32" t="n">
        <x:f>'Actuals Data'!N27</x:f>
        <x:v>14140451.04580485</x:v>
      </x:c>
      <x:c r="C30" s="32" t="n">
        <x:f>'Actuals Data'!J27</x:f>
        <x:v>276349.14725534996</x:v>
      </x:c>
      <x:c r="D30" s="32" t="n">
        <x:f>SUM('Actuals Data'!K27:M27)</x:f>
        <x:v>785152.9243665482</x:v>
      </x:c>
      <x:c r="E30" s="32" t="n">
        <x:f>'Actuals Data'!O27</x:f>
        <x:v>15000</x:v>
      </x:c>
      <x:c r="F30" s="32" t="n">
        <x:f>'Actuals Data'!P27</x:f>
        <x:v>0</x:v>
      </x:c>
      <x:c r="G30" s="32" t="n">
        <x:f>C30-D30-E30+F30</x:f>
        <x:v>-523803.77711119823</x:v>
      </x:c>
      <x:c r="H30" s="32" t="n">
        <x:f>B30+G30</x:f>
        <x:v>13616647.268693652</x:v>
      </x:c>
      <x:c r="I30" s="32" t="n">
        <x:f>MAX(0,-G30)</x:f>
        <x:v>523803.77711119823</x:v>
      </x:c>
      <x:c r="J30" s="47" t="n">
        <x:f>IFERROR(H30/AVERAGE(I28:I30),0)</x:f>
        <x:v>27.17009790546741</x:v>
      </x:c>
      <x:c r="K30" s="31"/>
      <x:c r="L30" s="31"/>
    </x:row>
    <x:row r="31">
      <x:c r="A31" s="33" t="n">
        <x:f>'Actuals Data'!A28</x:f>
        <x:v>45717</x:v>
      </x:c>
      <x:c r="B31" s="32" t="n">
        <x:f>'Actuals Data'!N28</x:f>
        <x:v>13616647.268693652</x:v>
      </x:c>
      <x:c r="C31" s="32" t="n">
        <x:f>'Actuals Data'!J28</x:f>
        <x:v>285231.97205504996</x:v>
      </x:c>
      <x:c r="D31" s="32" t="n">
        <x:f>SUM('Actuals Data'!K28:M28)</x:f>
        <x:v>801585.9438002333</x:v>
      </x:c>
      <x:c r="E31" s="32" t="n">
        <x:f>'Actuals Data'!O28</x:f>
        <x:v>15000</x:v>
      </x:c>
      <x:c r="F31" s="32" t="n">
        <x:f>'Actuals Data'!P28</x:f>
        <x:v>0</x:v>
      </x:c>
      <x:c r="G31" s="32" t="n">
        <x:f>C31-D31-E31+F31</x:f>
        <x:v>-531353.9717451833</x:v>
      </x:c>
      <x:c r="H31" s="32" t="n">
        <x:f>B31+G31</x:f>
        <x:v>13085293.296948468</x:v>
      </x:c>
      <x:c r="I31" s="32" t="n">
        <x:f>MAX(0,-G31)</x:f>
        <x:v>531353.9717451833</x:v>
      </x:c>
      <x:c r="J31" s="47" t="n">
        <x:f>IFERROR(H31/AVERAGE(I29:I31),0)</x:f>
        <x:v>25.109086698389113</x:v>
      </x:c>
      <x:c r="K31" s="31"/>
      <x:c r="L31" s="31"/>
    </x:row>
    <x:row r="32">
      <x:c r="A32" s="33" t="n">
        <x:f>'Actuals Data'!A29</x:f>
        <x:v>45748</x:v>
      </x:c>
      <x:c r="B32" s="32" t="n">
        <x:f>'Actuals Data'!N29</x:f>
        <x:v>13085293.296948468</x:v>
      </x:c>
      <x:c r="C32" s="32" t="n">
        <x:f>'Actuals Data'!J29</x:f>
        <x:v>292685.80627169996</x:v>
      </x:c>
      <x:c r="D32" s="32" t="n">
        <x:f>SUM('Actuals Data'!K29:M29)</x:f>
        <x:v>816849.9599400903</x:v>
      </x:c>
      <x:c r="E32" s="32" t="n">
        <x:f>'Actuals Data'!O29</x:f>
        <x:v>15000</x:v>
      </x:c>
      <x:c r="F32" s="32" t="n">
        <x:f>'Actuals Data'!P29</x:f>
        <x:v>0</x:v>
      </x:c>
      <x:c r="G32" s="32" t="n">
        <x:f>C32-D32-E32+F32</x:f>
        <x:v>-539164.1536683904</x:v>
      </x:c>
      <x:c r="H32" s="32" t="n">
        <x:f>B32+G32</x:f>
        <x:v>12546129.143280078</x:v>
      </x:c>
      <x:c r="I32" s="32" t="n">
        <x:f>MAX(0,-G32)</x:f>
        <x:v>539164.1536683904</x:v>
      </x:c>
      <x:c r="J32" s="47" t="n">
        <x:f>IFERROR(H32/AVERAGE(I30:I32),0)</x:f>
        <x:v>23.60777166156721</x:v>
      </x:c>
      <x:c r="K32" s="31"/>
      <x:c r="L32" s="31"/>
    </x:row>
    <x:row r="33">
      <x:c r="A33" s="33" t="n">
        <x:f>'Actuals Data'!A30</x:f>
        <x:v>45778</x:v>
      </x:c>
      <x:c r="B33" s="32" t="n">
        <x:f>'Actuals Data'!N30</x:f>
        <x:v>12546129.143280078</x:v>
      </x:c>
      <x:c r="C33" s="32" t="n">
        <x:f>'Actuals Data'!J30</x:f>
        <x:v>302385.50869229995</x:v>
      </x:c>
      <x:c r="D33" s="32" t="n">
        <x:f>SUM('Actuals Data'!K30:M30)</x:f>
        <x:v>820970.118686306</x:v>
      </x:c>
      <x:c r="E33" s="32" t="n">
        <x:f>'Actuals Data'!O30</x:f>
        <x:v>15000</x:v>
      </x:c>
      <x:c r="F33" s="32" t="n">
        <x:f>'Actuals Data'!P30</x:f>
        <x:v>0</x:v>
      </x:c>
      <x:c r="G33" s="32" t="n">
        <x:f>C33-D33-E33+F33</x:f>
        <x:v>-533584.6099940061</x:v>
      </x:c>
      <x:c r="H33" s="32" t="n">
        <x:f>B33+G33</x:f>
        <x:v>12012544.533286072</x:v>
      </x:c>
      <x:c r="I33" s="32" t="n">
        <x:f>MAX(0,-G33)</x:f>
        <x:v>533584.6099940061</x:v>
      </x:c>
      <x:c r="J33" s="47" t="n">
        <x:f>IFERROR(H33/AVERAGE(I31:I33),0)</x:f>
        <x:v>22.465913687692552</x:v>
      </x:c>
      <x:c r="K33" s="31"/>
      <x:c r="L33" s="31"/>
    </x:row>
    <x:row r="34">
      <x:c r="A34" s="33" t="n">
        <x:f>'Actuals Data'!A31</x:f>
        <x:v>45809</x:v>
      </x:c>
      <x:c r="B34" s="32" t="n">
        <x:f>'Actuals Data'!N31</x:f>
        <x:v>12012544.533286072</x:v>
      </x:c>
      <x:c r="C34" s="32" t="n">
        <x:f>'Actuals Data'!J31</x:f>
        <x:v>310550.16925484996</x:v>
      </x:c>
      <x:c r="D34" s="32" t="n">
        <x:f>SUM('Actuals Data'!K31:M31)</x:f>
        <x:v>824230.8021584215</x:v>
      </x:c>
      <x:c r="E34" s="32" t="n">
        <x:f>'Actuals Data'!O31</x:f>
        <x:v>15000</x:v>
      </x:c>
      <x:c r="F34" s="32" t="n">
        <x:f>'Actuals Data'!P31</x:f>
        <x:v>0</x:v>
      </x:c>
      <x:c r="G34" s="32" t="n">
        <x:f>C34-D34-E34+F34</x:f>
        <x:v>-528680.6329035715</x:v>
      </x:c>
      <x:c r="H34" s="32" t="n">
        <x:f>B34+G34</x:f>
        <x:v>11483863.9003825</x:v>
      </x:c>
      <x:c r="I34" s="32" t="n">
        <x:f>MAX(0,-G34)</x:f>
        <x:v>528680.6329035715</x:v>
      </x:c>
      <x:c r="J34" s="47" t="n">
        <x:f>IFERROR(H34/AVERAGE(I32:I34),0)</x:f>
        <x:v>21.513025660090868</x:v>
      </x:c>
      <x:c r="K34" s="31"/>
      <x:c r="L34" s="31"/>
    </x:row>
    <x:row r="35">
      <x:c r="A35" s="33" t="n">
        <x:f>'Actuals Data'!A32</x:f>
        <x:v>45839</x:v>
      </x:c>
      <x:c r="B35" s="32" t="n">
        <x:f>'Actuals Data'!N32</x:f>
        <x:v>11483863.9003825</x:v>
      </x:c>
      <x:c r="C35" s="32" t="n">
        <x:f>'Actuals Data'!J32</x:f>
        <x:v>318881.0710826999</x:v>
      </x:c>
      <x:c r="D35" s="32" t="n">
        <x:f>SUM('Actuals Data'!K32:M32)</x:f>
        <x:v>827476.1992213822</x:v>
      </x:c>
      <x:c r="E35" s="32" t="n">
        <x:f>'Actuals Data'!O32</x:f>
        <x:v>45000</x:v>
      </x:c>
      <x:c r="F35" s="32" t="n">
        <x:f>'Actuals Data'!P32</x:f>
        <x:v>0</x:v>
      </x:c>
      <x:c r="G35" s="32" t="n">
        <x:f>C35-D35-E35+F35</x:f>
        <x:v>-553595.1281386822</x:v>
      </x:c>
      <x:c r="H35" s="32" t="n">
        <x:f>B35+G35</x:f>
        <x:v>10930268.772243818</x:v>
      </x:c>
      <x:c r="I35" s="32" t="n">
        <x:f>MAX(0,-G35)</x:f>
        <x:v>553595.1281386822</x:v>
      </x:c>
      <x:c r="J35" s="47" t="n">
        <x:f>IFERROR(H35/AVERAGE(I33:I35),0)</x:f>
        <x:v>20.293093948273846</x:v>
      </x:c>
      <x:c r="K35" s="31"/>
      <x:c r="L35" s="31"/>
    </x:row>
    <x:row r="36">
      <x:c r="A36" s="33" t="n">
        <x:f>'Actuals Data'!A33</x:f>
        <x:v>45870</x:v>
      </x:c>
      <x:c r="B36" s="32" t="n">
        <x:f>'Actuals Data'!N33</x:f>
        <x:v>10930268.772243818</x:v>
      </x:c>
      <x:c r="C36" s="32" t="n">
        <x:f>'Actuals Data'!J33</x:f>
        <x:v>326734.9157115</x:v>
      </x:c>
      <x:c r="D36" s="32" t="n">
        <x:f>SUM('Actuals Data'!K33:M33)</x:f>
        <x:v>830863.4680867088</x:v>
      </x:c>
      <x:c r="E36" s="32" t="n">
        <x:f>'Actuals Data'!O33</x:f>
        <x:v>15000</x:v>
      </x:c>
      <x:c r="F36" s="32" t="n">
        <x:f>'Actuals Data'!P33</x:f>
        <x:v>0</x:v>
      </x:c>
      <x:c r="G36" s="32" t="n">
        <x:f>C36-D36-E36+F36</x:f>
        <x:v>-519128.5523752088</x:v>
      </x:c>
      <x:c r="H36" s="32" t="n">
        <x:f>B36+G36</x:f>
        <x:v>10411140.21986861</x:v>
      </x:c>
      <x:c r="I36" s="32" t="n">
        <x:f>MAX(0,-G36)</x:f>
        <x:v>519128.5523752088</x:v>
      </x:c>
      <x:c r="J36" s="47" t="n">
        <x:f>IFERROR(H36/AVERAGE(I34:I36),0)</x:f>
        <x:v>19.50376953397386</x:v>
      </x:c>
      <x:c r="K36" s="31"/>
      <x:c r="L36" s="31"/>
    </x:row>
    <x:row r="37">
      <x:c r="A37" s="33" t="n">
        <x:f>'Actuals Data'!A34</x:f>
        <x:v>45901</x:v>
      </x:c>
      <x:c r="B37" s="32" t="n">
        <x:f>'Actuals Data'!N34</x:f>
        <x:v>10411140.21986861</x:v>
      </x:c>
      <x:c r="C37" s="32" t="n">
        <x:f>'Actuals Data'!J34</x:f>
        <x:v>332961.9959128499</x:v>
      </x:c>
      <x:c r="D37" s="32" t="n">
        <x:f>SUM('Actuals Data'!K34:M34)</x:f>
        <x:v>857787.046589472</x:v>
      </x:c>
      <x:c r="E37" s="32" t="n">
        <x:f>'Actuals Data'!O34</x:f>
        <x:v>15000</x:v>
      </x:c>
      <x:c r="F37" s="32" t="n">
        <x:f>'Actuals Data'!P34</x:f>
        <x:v>0</x:v>
      </x:c>
      <x:c r="G37" s="32" t="n">
        <x:f>C37-D37-E37+F37</x:f>
        <x:v>-539825.0506766221</x:v>
      </x:c>
      <x:c r="H37" s="32" t="n">
        <x:f>B37+G37</x:f>
        <x:v>9871315.169191988</x:v>
      </x:c>
      <x:c r="I37" s="32" t="n">
        <x:f>MAX(0,-G37)</x:f>
        <x:v>539825.0506766221</x:v>
      </x:c>
      <x:c r="J37" s="47" t="n">
        <x:f>IFERROR(H37/AVERAGE(I35:I37),0)</x:f>
        <x:v>18.36468252696622</x:v>
      </x:c>
      <x:c r="K37" s="31"/>
      <x:c r="L37" s="31"/>
    </x:row>
    <x:row r="38">
      <x:c r="A38" s="33" t="n">
        <x:f>'Actuals Data'!A35</x:f>
        <x:v>45931</x:v>
      </x:c>
      <x:c r="B38" s="32" t="n">
        <x:f>'Actuals Data'!N35</x:f>
        <x:v>9871315.169191988</x:v>
      </x:c>
      <x:c r="C38" s="32" t="n">
        <x:f>'Actuals Data'!J35</x:f>
        <x:v>339885.57375449996</x:v>
      </x:c>
      <x:c r="D38" s="32" t="n">
        <x:f>SUM('Actuals Data'!K35:M35)</x:f>
        <x:v>862187.6360166782</x:v>
      </x:c>
      <x:c r="E38" s="32" t="n">
        <x:f>'Actuals Data'!O35</x:f>
        <x:v>15000</x:v>
      </x:c>
      <x:c r="F38" s="32" t="n">
        <x:f>'Actuals Data'!P35</x:f>
        <x:v>0</x:v>
      </x:c>
      <x:c r="G38" s="32" t="n">
        <x:f>C38-D38-E38+F38</x:f>
        <x:v>-537302.0622621782</x:v>
      </x:c>
      <x:c r="H38" s="32" t="n">
        <x:f>B38+G38</x:f>
        <x:v>9334013.10692981</x:v>
      </x:c>
      <x:c r="I38" s="32" t="n">
        <x:f>MAX(0,-G38)</x:f>
        <x:v>537302.0622621782</x:v>
      </x:c>
      <x:c r="J38" s="47" t="n">
        <x:f>IFERROR(H38/AVERAGE(I36:I38),0)</x:f>
        <x:v>17.542327290835946</x:v>
      </x:c>
      <x:c r="K38" s="31"/>
      <x:c r="L38" s="31"/>
    </x:row>
    <x:row r="39">
      <x:c r="A39" s="33" t="n">
        <x:f>'Actuals Data'!A36</x:f>
        <x:v>45962</x:v>
      </x:c>
      <x:c r="B39" s="32" t="n">
        <x:f>'Actuals Data'!N36</x:f>
        <x:v>9334013.10692981</x:v>
      </x:c>
      <x:c r="C39" s="32" t="n">
        <x:f>'Actuals Data'!J36</x:f>
        <x:v>347127.30542114994</x:v>
      </x:c>
      <x:c r="D39" s="32" t="n">
        <x:f>SUM('Actuals Data'!K36:M36)</x:f>
        <x:v>867342.6521416672</x:v>
      </x:c>
      <x:c r="E39" s="32" t="n">
        <x:f>'Actuals Data'!O36</x:f>
        <x:v>15000</x:v>
      </x:c>
      <x:c r="F39" s="32" t="n">
        <x:f>'Actuals Data'!P36</x:f>
        <x:v>0</x:v>
      </x:c>
      <x:c r="G39" s="32" t="n">
        <x:f>C39-D39-E39+F39</x:f>
        <x:v>-535215.3467205173</x:v>
      </x:c>
      <x:c r="H39" s="32" t="n">
        <x:f>B39+G39</x:f>
        <x:v>8798797.760209294</x:v>
      </x:c>
      <x:c r="I39" s="32" t="n">
        <x:f>MAX(0,-G39)</x:f>
        <x:v>535215.3467205173</x:v>
      </x:c>
      <x:c r="J39" s="47" t="n">
        <x:f>IFERROR(H39/AVERAGE(I37:I39),0)</x:f>
        <x:v>16.371455780061357</x:v>
      </x:c>
      <x:c r="K39" s="31"/>
      <x:c r="L39" s="31"/>
    </x:row>
    <x:row r="40">
      <x:c r="A40" s="33" t="n">
        <x:f>'Actuals Data'!A37</x:f>
        <x:v>45992</x:v>
      </x:c>
      <x:c r="B40" s="32" t="n">
        <x:f>'Actuals Data'!N37</x:f>
        <x:v>8798797.760209294</x:v>
      </x:c>
      <x:c r="C40" s="32" t="n">
        <x:f>'Actuals Data'!J37</x:f>
        <x:v>352597.6979919</x:v>
      </x:c>
      <x:c r="D40" s="32" t="n">
        <x:f>SUM('Actuals Data'!K37:M37)</x:f>
        <x:v>890201.802618461</x:v>
      </x:c>
      <x:c r="E40" s="32" t="n">
        <x:f>'Actuals Data'!O37</x:f>
        <x:v>15000</x:v>
      </x:c>
      <x:c r="F40" s="32" t="n">
        <x:f>'Actuals Data'!P37</x:f>
        <x:v>0</x:v>
      </x:c>
      <x:c r="G40" s="32" t="n">
        <x:f>C40-D40-E40+F40</x:f>
        <x:v>-552604.104626561</x:v>
      </x:c>
      <x:c r="H40" s="32" t="n">
        <x:f>B40+G40</x:f>
        <x:v>8246193.655582733</x:v>
      </x:c>
      <x:c r="I40" s="32" t="n">
        <x:f>MAX(0,-G40)</x:f>
        <x:v>552604.104626561</x:v>
      </x:c>
      <x:c r="J40" s="47" t="n">
        <x:f>IFERROR(H40/AVERAGE(I38:I40),0)</x:f>
        <x:v>15.22260382351712</x:v>
      </x:c>
      <x:c r="K40" s="31"/>
      <x:c r="L40" s="31"/>
    </x:row>
    <x:row r="41">
      <x:c r="A41" s="33" t="n">
        <x:f>'Actuals Data'!A38</x:f>
        <x:v>46023</x:v>
      </x:c>
      <x:c r="B41" s="32" t="n">
        <x:f>'Actuals Data'!N38</x:f>
        <x:v>8246193.655582733</x:v>
      </x:c>
      <x:c r="C41" s="32" t="n">
        <x:f>'Actuals Data'!J38</x:f>
        <x:v>374047.61952160567</x:v>
      </x:c>
      <x:c r="D41" s="32" t="n">
        <x:f>SUM('Actuals Data'!K38:M38)</x:f>
        <x:v>921346.5515205249</x:v>
      </x:c>
      <x:c r="E41" s="32" t="n">
        <x:f>'Actuals Data'!O38</x:f>
        <x:v>45000</x:v>
      </x:c>
      <x:c r="F41" s="32" t="n">
        <x:f>'Actuals Data'!P38</x:f>
        <x:v>0</x:v>
      </x:c>
      <x:c r="G41" s="32" t="n">
        <x:f>C41-D41-E41+F41</x:f>
        <x:v>-592298.9319989192</x:v>
      </x:c>
      <x:c r="H41" s="32" t="n">
        <x:f>B41+G41</x:f>
        <x:v>7653894.723583814</x:v>
      </x:c>
      <x:c r="I41" s="32" t="n">
        <x:f>MAX(0,-G41)</x:f>
        <x:v>592298.9319989192</x:v>
      </x:c>
      <x:c r="J41" s="47" t="n">
        <x:f>IFERROR(H41/AVERAGE(I39:I41),0)</x:f>
        <x:v>13.666706107353388</x:v>
      </x:c>
      <x:c r="K41" s="31"/>
      <x:c r="L41" s="31"/>
    </x:row>
    <x:row r="42">
      <x:c r="A42" s="33" t="n">
        <x:f>'Actuals Data'!A39</x:f>
        <x:v>46054</x:v>
      </x:c>
      <x:c r="B42" s="32" t="n">
        <x:f>'Actuals Data'!N39</x:f>
        <x:v>7653894.723583814</x:v>
      </x:c>
      <x:c r="C42" s="32" t="n">
        <x:f>'Actuals Data'!J39</x:f>
        <x:v>386139.67363043316</x:v>
      </x:c>
      <x:c r="D42" s="32" t="n">
        <x:f>SUM('Actuals Data'!K39:M39)</x:f>
        <x:v>955958.8521239662</x:v>
      </x:c>
      <x:c r="E42" s="32" t="n">
        <x:f>'Actuals Data'!O39</x:f>
        <x:v>15000</x:v>
      </x:c>
      <x:c r="F42" s="32" t="n">
        <x:f>'Actuals Data'!P39</x:f>
        <x:v>0</x:v>
      </x:c>
      <x:c r="G42" s="32" t="n">
        <x:f>C42-D42-E42+F42</x:f>
        <x:v>-584819.178493533</x:v>
      </x:c>
      <x:c r="H42" s="32" t="n">
        <x:f>B42+G42</x:f>
        <x:v>7069075.5450902805</x:v>
      </x:c>
      <x:c r="I42" s="32" t="n">
        <x:f>MAX(0,-G42)</x:f>
        <x:v>584819.178493533</x:v>
      </x:c>
      <x:c r="J42" s="47" t="n">
        <x:f>IFERROR(H42/AVERAGE(I40:I42),0)</x:f>
        <x:v>12.26048116275808</x:v>
      </x:c>
      <x:c r="K42" s="31"/>
      <x:c r="L42" s="31"/>
    </x:row>
    <x:row r="43">
      <x:c r="A43" s="33" t="n">
        <x:f>'Actuals Data'!A40</x:f>
        <x:v>46082</x:v>
      </x:c>
      <x:c r="B43" s="32" t="n">
        <x:f>'Actuals Data'!N40</x:f>
        <x:v>7069075.5450902805</x:v>
      </x:c>
      <x:c r="C43" s="32" t="n">
        <x:f>'Actuals Data'!J40</x:f>
        <x:v>397181.56347267516</x:v>
      </x:c>
      <x:c r="D43" s="32" t="n">
        <x:f>SUM('Actuals Data'!K40:M40)</x:f>
        <x:v>983799.3295675897</x:v>
      </x:c>
      <x:c r="E43" s="32" t="n">
        <x:f>'Actuals Data'!O40</x:f>
        <x:v>15000</x:v>
      </x:c>
      <x:c r="F43" s="32" t="n">
        <x:f>'Actuals Data'!P40</x:f>
        <x:v>0</x:v>
      </x:c>
      <x:c r="G43" s="32" t="n">
        <x:f>C43-D43-E43+F43</x:f>
        <x:v>-601617.7660949145</x:v>
      </x:c>
      <x:c r="H43" s="32" t="n">
        <x:f>B43+G43</x:f>
        <x:v>6467457.778995366</x:v>
      </x:c>
      <x:c r="I43" s="32" t="n">
        <x:f>MAX(0,-G43)</x:f>
        <x:v>601617.7660949145</x:v>
      </x:c>
      <x:c r="J43" s="47" t="n">
        <x:f>IFERROR(H43/AVERAGE(I41:I43),0)</x:f>
        <x:v>10.907956370796857</x:v>
      </x:c>
      <x:c r="K43" s="31"/>
      <x:c r="L43" s="31"/>
    </x:row>
    <x:row r="44">
      <x:c r="A44" s="33" t="n">
        <x:f>'Actuals Data'!A41</x:f>
        <x:v>46113</x:v>
      </x:c>
      <x:c r="B44" s="32" t="n">
        <x:f>'Actuals Data'!N41</x:f>
        <x:v>6467457.778995366</x:v>
      </x:c>
      <x:c r="C44" s="32" t="n">
        <x:f>'Actuals Data'!J41</x:f>
        <x:v>410448.3751280091</x:v>
      </x:c>
      <x:c r="D44" s="32" t="n">
        <x:f>SUM('Actuals Data'!K41:M41)</x:f>
        <x:v>999495.9210327449</x:v>
      </x:c>
      <x:c r="E44" s="32" t="n">
        <x:f>'Actuals Data'!O41</x:f>
        <x:v>15000</x:v>
      </x:c>
      <x:c r="F44" s="32" t="n">
        <x:f>'Actuals Data'!P41</x:f>
        <x:v>0</x:v>
      </x:c>
      <x:c r="G44" s="32" t="n">
        <x:f>C44-D44-E44+F44</x:f>
        <x:v>-604047.5459047358</x:v>
      </x:c>
      <x:c r="H44" s="32" t="n">
        <x:f>B44+G44</x:f>
        <x:v>5863410.23309063</x:v>
      </x:c>
      <x:c r="I44" s="32" t="n">
        <x:f>MAX(0,-G44)</x:f>
        <x:v>604047.5459047358</x:v>
      </x:c>
      <x:c r="J44" s="47" t="n">
        <x:f>IFERROR(H44/AVERAGE(I42:I44),0)</x:f>
        <x:v>9.824285433730129</x:v>
      </x:c>
      <x:c r="K44" s="31"/>
      <x:c r="L44" s="31"/>
    </x:row>
    <x:row r="45">
      <x:c r="A45" s="33" t="n">
        <x:f>'Actuals Data'!A42</x:f>
        <x:v>46143</x:v>
      </x:c>
      <x:c r="B45" s="32" t="n">
        <x:f>'Actuals Data'!N42</x:f>
        <x:v>5863410.23309063</x:v>
      </x:c>
      <x:c r="C45" s="32" t="n">
        <x:f>'Actuals Data'!J42</x:f>
        <x:v>420574.9052752154</x:v>
      </x:c>
      <x:c r="D45" s="32" t="n">
        <x:f>SUM('Actuals Data'!K42:M42)</x:f>
        <x:v>1026389.9749567251</x:v>
      </x:c>
      <x:c r="E45" s="32" t="n">
        <x:f>'Actuals Data'!O42</x:f>
        <x:v>15000</x:v>
      </x:c>
      <x:c r="F45" s="32" t="n">
        <x:f>'Actuals Data'!P42</x:f>
        <x:v>0</x:v>
      </x:c>
      <x:c r="G45" s="32" t="n">
        <x:f>C45-D45-E45+F45</x:f>
        <x:v>-620815.0696815097</x:v>
      </x:c>
      <x:c r="H45" s="32" t="n">
        <x:f>B45+G45</x:f>
        <x:v>5242595.16340912</x:v>
      </x:c>
      <x:c r="I45" s="32" t="n">
        <x:f>MAX(0,-G45)</x:f>
        <x:v>620815.0696815097</x:v>
      </x:c>
      <x:c r="J45" s="47" t="n">
        <x:f>IFERROR(H45/AVERAGE(I43:I45),0)</x:f>
        <x:v>8.610979700614646</x:v>
      </x:c>
      <x:c r="K45" s="31"/>
      <x:c r="L45" s="31"/>
    </x:row>
    <x:row r="46">
      <x:c r="A46" s="33" t="n">
        <x:f>'Actuals Data'!A43</x:f>
        <x:v>46174</x:v>
      </x:c>
      <x:c r="B46" s="32" t="n">
        <x:f>'Actuals Data'!N43</x:f>
        <x:v>5242595.16340912</x:v>
      </x:c>
      <x:c r="C46" s="32" t="n">
        <x:f>'Actuals Data'!J43</x:f>
        <x:v>430357.31600325066</x:v>
      </x:c>
      <x:c r="D46" s="32" t="n">
        <x:f>SUM('Actuals Data'!K43:M43)</x:f>
        <x:v>1043569.1467072844</x:v>
      </x:c>
      <x:c r="E46" s="32" t="n">
        <x:f>'Actuals Data'!O43</x:f>
        <x:v>15000</x:v>
      </x:c>
      <x:c r="F46" s="32" t="n">
        <x:f>'Actuals Data'!P43</x:f>
        <x:v>0</x:v>
      </x:c>
      <x:c r="G46" s="32" t="n">
        <x:f>C46-D46-E46+F46</x:f>
        <x:v>-628211.8307040337</x:v>
      </x:c>
      <x:c r="H46" s="32" t="n">
        <x:f>B46+G46</x:f>
        <x:v>4614383.332705087</x:v>
      </x:c>
      <x:c r="I46" s="32" t="n">
        <x:f>MAX(0,-G46)</x:f>
        <x:v>628211.8307040337</x:v>
      </x:c>
      <x:c r="J46" s="47" t="n">
        <x:f>IFERROR(H46/AVERAGE(I44:I46),0)</x:f>
        <x:v>7.470369053886769</x:v>
      </x:c>
      <x:c r="K46" s="31"/>
      <x:c r="L46" s="31"/>
    </x:row>
    <x:row r="47">
      <x:c r="A47" s="33" t="n">
        <x:f>'Actuals Data'!A44</x:f>
        <x:v>46204</x:v>
      </x:c>
      <x:c r="B47" s="32" t="n">
        <x:f>'Actuals Data'!N44</x:f>
        <x:v>4614383.332705087</x:v>
      </x:c>
      <x:c r="C47" s="32" t="n">
        <x:f>'Actuals Data'!J44</x:f>
        <x:v>440593.60922008194</x:v>
      </x:c>
      <x:c r="D47" s="32" t="n">
        <x:f>SUM('Actuals Data'!K44:M44)</x:f>
        <x:v>1046908.847981602</x:v>
      </x:c>
      <x:c r="E47" s="32" t="n">
        <x:f>'Actuals Data'!O44</x:f>
        <x:v>45000</x:v>
      </x:c>
      <x:c r="F47" s="32" t="n">
        <x:f>'Actuals Data'!P44</x:f>
        <x:v>0</x:v>
      </x:c>
      <x:c r="G47" s="32" t="n">
        <x:f>C47-D47-E47+F47</x:f>
        <x:v>-651315.23876152</x:v>
      </x:c>
      <x:c r="H47" s="32" t="n">
        <x:f>B47+G47</x:f>
        <x:v>3963068.093943567</x:v>
      </x:c>
      <x:c r="I47" s="32" t="n">
        <x:f>MAX(0,-G47)</x:f>
        <x:v>651315.23876152</x:v>
      </x:c>
      <x:c r="J47" s="47" t="n">
        <x:f>IFERROR(H47/AVERAGE(I45:I47),0)</x:f>
        <x:v>6.25634933673942</x:v>
      </x:c>
      <x:c r="K47" s="31"/>
      <x:c r="L47" s="31"/>
    </x:row>
    <x:row r="48">
      <x:c r="A48" s="33" t="n">
        <x:f>'Actuals Data'!A45</x:f>
        <x:v>46235</x:v>
      </x:c>
      <x:c r="B48" s="32" t="n">
        <x:f>'Actuals Data'!N45</x:f>
        <x:v>3963068.093943567</x:v>
      </x:c>
      <x:c r="C48" s="32" t="n">
        <x:f>'Actuals Data'!J45</x:f>
        <x:v>449936.96766961715</x:v>
      </x:c>
      <x:c r="D48" s="32" t="n">
        <x:f>SUM('Actuals Data'!K45:M45)</x:f>
        <x:v>1050383.6857710648</x:v>
      </x:c>
      <x:c r="E48" s="32" t="n">
        <x:f>'Actuals Data'!O45</x:f>
        <x:v>15000</x:v>
      </x:c>
      <x:c r="F48" s="32" t="n">
        <x:f>'Actuals Data'!P45</x:f>
        <x:v>0</x:v>
      </x:c>
      <x:c r="G48" s="32" t="n">
        <x:f>C48-D48-E48+F48</x:f>
        <x:v>-615446.7181014477</x:v>
      </x:c>
      <x:c r="H48" s="32" t="n">
        <x:f>B48+G48</x:f>
        <x:v>3347621.3758421196</x:v>
      </x:c>
      <x:c r="I48" s="32" t="n">
        <x:f>MAX(0,-G48)</x:f>
        <x:v>615446.7181014477</x:v>
      </x:c>
      <x:c r="J48" s="47" t="n">
        <x:f>IFERROR(H48/AVERAGE(I46:I48),0)</x:f>
        <x:v>5.29973775543387</x:v>
      </x:c>
      <x:c r="K48" s="31"/>
      <x:c r="L48" s="31"/>
    </x:row>
    <x:row r="49">
      <x:c r="A49" s="33" t="n">
        <x:f>'Actuals Data'!A46</x:f>
        <x:v>46266</x:v>
      </x:c>
      <x:c r="B49" s="32" t="n">
        <x:f>'Actuals Data'!N46</x:f>
        <x:v>3347621.375842119</x:v>
      </x:c>
      <x:c r="C49" s="32" t="n">
        <x:f>'Actuals Data'!J46</x:f>
        <x:v>459060.7999799024</x:v>
      </x:c>
      <x:c r="D49" s="32" t="n">
        <x:f>SUM('Actuals Data'!K46:M46)</x:f>
        <x:v>1054591.2222630088</x:v>
      </x:c>
      <x:c r="E49" s="32" t="n">
        <x:f>'Actuals Data'!O46</x:f>
        <x:v>15000</x:v>
      </x:c>
      <x:c r="F49" s="32" t="n">
        <x:f>'Actuals Data'!P46</x:f>
        <x:v>0</x:v>
      </x:c>
      <x:c r="G49" s="32" t="n">
        <x:f>C49-D49-E49+F49</x:f>
        <x:v>-610530.4222831065</x:v>
      </x:c>
      <x:c r="H49" s="32" t="n">
        <x:f>B49+G49</x:f>
        <x:v>2737090.9535590126</x:v>
      </x:c>
      <x:c r="I49" s="32" t="n">
        <x:f>MAX(0,-G49)</x:f>
        <x:v>610530.4222831065</x:v>
      </x:c>
      <x:c r="J49" s="47" t="n">
        <x:f>IFERROR(H49/AVERAGE(I47:I49),0)</x:f>
        <x:v>4.373997866231209</x:v>
      </x:c>
      <x:c r="K49" s="31"/>
      <x:c r="L49" s="31"/>
    </x:row>
    <x:row r="50">
      <x:c r="A50" s="33" t="n">
        <x:f>'Actuals Data'!A47</x:f>
        <x:v>46296</x:v>
      </x:c>
      <x:c r="B50" s="32" t="n">
        <x:f>'Actuals Data'!N47</x:f>
        <x:v>2737090.9535590126</x:v>
      </x:c>
      <x:c r="C50" s="32" t="n">
        <x:f>'Actuals Data'!J47</x:f>
        <x:v>468184.63229018764</x:v>
      </x:c>
      <x:c r="D50" s="32" t="n">
        <x:f>SUM('Actuals Data'!K47:M47)</x:f>
        <x:v>1059782.7985200041</x:v>
      </x:c>
      <x:c r="E50" s="32" t="n">
        <x:f>'Actuals Data'!O47</x:f>
        <x:v>15000</x:v>
      </x:c>
      <x:c r="F50" s="32" t="n">
        <x:f>'Actuals Data'!P47</x:f>
        <x:v>0</x:v>
      </x:c>
      <x:c r="G50" s="32" t="n">
        <x:f>C50-D50-E50+F50</x:f>
        <x:v>-606598.1662298165</x:v>
      </x:c>
      <x:c r="H50" s="32" t="n">
        <x:f>B50+G50</x:f>
        <x:v>2130492.787329196</x:v>
      </x:c>
      <x:c r="I50" s="32" t="n">
        <x:f>MAX(0,-G50)</x:f>
        <x:v>606598.1662298165</x:v>
      </x:c>
      <x:c r="J50" s="47" t="n">
        <x:f>IFERROR(H50/AVERAGE(I48:I50),0)</x:f>
        <x:v>3.4877029822014016</x:v>
      </x:c>
      <x:c r="K50" s="31"/>
      <x:c r="L50" s="31"/>
    </x:row>
    <x:row r="51">
      <x:c r="A51" s="33" t="n">
        <x:f>'Actuals Data'!A48</x:f>
        <x:v>46327</x:v>
      </x:c>
      <x:c r="B51" s="32" t="n">
        <x:f>'Actuals Data'!N48</x:f>
        <x:v>2130492.787329196</x:v>
      </x:c>
      <x:c r="C51" s="32" t="n">
        <x:f>'Actuals Data'!J48</x:f>
        <x:v>477809.81351893337</x:v>
      </x:c>
      <x:c r="D51" s="32" t="n">
        <x:f>SUM('Actuals Data'!K48:M48)</x:f>
        <x:v>1066030.9219811885</x:v>
      </x:c>
      <x:c r="E51" s="32" t="n">
        <x:f>'Actuals Data'!O48</x:f>
        <x:v>15000</x:v>
      </x:c>
      <x:c r="F51" s="32" t="n">
        <x:f>'Actuals Data'!P48</x:f>
        <x:v>0</x:v>
      </x:c>
      <x:c r="G51" s="32" t="n">
        <x:f>C51-D51-E51+F51</x:f>
        <x:v>-603221.1084622551</x:v>
      </x:c>
      <x:c r="H51" s="32" t="n">
        <x:f>B51+G51</x:f>
        <x:v>1527271.678866941</x:v>
      </x:c>
      <x:c r="I51" s="32" t="n">
        <x:f>MAX(0,-G51)</x:f>
        <x:v>603221.1084622551</x:v>
      </x:c>
      <x:c r="J51" s="47" t="n">
        <x:f>IFERROR(H51/AVERAGE(I49:I51),0)</x:f>
        <x:v>2.5169971704965763</x:v>
      </x:c>
      <x:c r="K51" s="31"/>
      <x:c r="L51" s="31"/>
    </x:row>
    <x:row r="52">
      <x:c r="A52" s="33" t="n">
        <x:f>'Actuals Data'!A49</x:f>
        <x:v>46357</x:v>
      </x:c>
      <x:c r="B52" s="32" t="n">
        <x:f>'Actuals Data'!N49</x:f>
        <x:v>1527271.678866941</x:v>
      </x:c>
      <x:c r="C52" s="32" t="n">
        <x:f>'Actuals Data'!J49</x:f>
        <x:v>487936.34366613964</x:v>
      </x:c>
      <x:c r="D52" s="32" t="n">
        <x:f>SUM('Actuals Data'!K49:M49)</x:f>
        <x:v>1073010.7519632333</x:v>
      </x:c>
      <x:c r="E52" s="32" t="n">
        <x:f>'Actuals Data'!O49</x:f>
        <x:v>15000</x:v>
      </x:c>
      <x:c r="F52" s="32" t="n">
        <x:f>'Actuals Data'!P49</x:f>
        <x:v>0</x:v>
      </x:c>
      <x:c r="G52" s="32" t="n">
        <x:f>C52-D52-E52+F52</x:f>
        <x:v>-600074.4082970937</x:v>
      </x:c>
      <x:c r="H52" s="32" t="n">
        <x:f>B52+G52</x:f>
        <x:v>927197.2705698473</x:v>
      </x:c>
      <x:c r="I52" s="32" t="n">
        <x:f>MAX(0,-G52)</x:f>
        <x:v>600074.4082970937</x:v>
      </x:c>
      <x:c r="J52" s="47" t="n">
        <x:f>IFERROR(H52/AVERAGE(I50:I52),0)</x:f>
        <x:v>1.5368813305738214</x:v>
      </x:c>
      <x:c r="K52" s="31"/>
      <x:c r="L52" s="31"/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</x:cols>
  <x:sheetData>
    <x:row r="1" ht="34" customHeight="1">
      <x:c r="A1" s="24" t="str">
        <x:v>Integrated statements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31"/>
      <x:c r="N1" s="31"/>
      <x:c r="O1" s="31"/>
    </x:row>
    <x:row r="2" ht="22" customHeight="1">
      <x:c r="A2" s="30" t="str">
        <x:v>Accrual P&amp;L and cash-flow bridge with deferred revenue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1"/>
      <x:c r="N2" s="31"/>
      <x:c r="O2" s="31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</x:row>
    <x:row r="4">
      <x:c r="A4" s="27" t="str">
        <x:v>month</x:v>
      </x:c>
      <x:c r="B4" s="27" t="str">
        <x:v>revenue</x:v>
      </x:c>
      <x:c r="C4" s="27" t="str">
        <x:v>cogs</x:v>
      </x:c>
      <x:c r="D4" s="27" t="str">
        <x:v>gross_profit</x:v>
      </x:c>
      <x:c r="E4" s="27" t="str">
        <x:v>payroll</x:v>
      </x:c>
      <x:c r="F4" s="27" t="str">
        <x:v>other_opex</x:v>
      </x:c>
      <x:c r="G4" s="27" t="str">
        <x:v>ebitda</x:v>
      </x:c>
      <x:c r="H4" s="27" t="str">
        <x:v>depreciation</x:v>
      </x:c>
      <x:c r="I4" s="27" t="str">
        <x:v>operating_income</x:v>
      </x:c>
      <x:c r="J4" s="27" t="str">
        <x:v>cash_from_operations</x:v>
      </x:c>
      <x:c r="K4" s="27" t="str">
        <x:v>cash_from_investing</x:v>
      </x:c>
      <x:c r="L4" s="27" t="str">
        <x:v>cash_from_financing</x:v>
      </x:c>
      <x:c r="M4" s="27" t="str">
        <x:v>net_change_in_cash</x:v>
      </x:c>
      <x:c r="N4" s="27" t="str">
        <x:v>ending_cash</x:v>
      </x:c>
      <x:c r="O4" s="27" t="str">
        <x:v>deferred_revenue</x:v>
      </x:c>
    </x:row>
    <x:row r="5">
      <x:c r="A5" s="33" t="n">
        <x:v>44927</x:v>
      </x:c>
      <x:c r="B5" s="32" t="n">
        <x:v>129227.37400000001</x:v>
      </x:c>
      <x:c r="C5" s="32" t="n">
        <x:v>25139.068437545437</x:v>
      </x:c>
      <x:c r="D5" s="32" t="n">
        <x:v>104088.30556245457</x:v>
      </x:c>
      <x:c r="E5" s="32" t="n">
        <x:v>25538.666666666668</x:v>
      </x:c>
      <x:c r="F5" s="32" t="n">
        <x:v>192394.77</x:v>
      </x:c>
      <x:c r="G5" s="32" t="n">
        <x:v>-113845.1311042121</x:v>
      </x:c>
      <x:c r="H5" s="32" t="n">
        <x:v>18750</x:v>
      </x:c>
      <x:c r="I5" s="32" t="n">
        <x:v>-132595.13110421208</x:v>
      </x:c>
      <x:c r="J5" s="32" t="n">
        <x:v>-112601.3176294621</x:v>
      </x:c>
      <x:c r="K5" s="32" t="n">
        <x:v>-45000</x:v>
      </x:c>
      <x:c r="L5" s="32" t="n">
        <x:v>0</x:v>
      </x:c>
      <x:c r="M5" s="32" t="n">
        <x:v>-157601.3176294621</x:v>
      </x:c>
      <x:c r="N5" s="32" t="n">
        <x:v>17853757.446777333</x:v>
      </x:c>
      <x:c r="O5" s="32" t="n">
        <x:v>3230.684349999996</x:v>
      </x:c>
    </x:row>
    <x:row r="6">
      <x:c r="A6" s="33" t="n">
        <x:v>44958</x:v>
      </x:c>
      <x:c r="B6" s="32" t="n">
        <x:v>133218.292</x:v>
      </x:c>
      <x:c r="C6" s="32" t="n">
        <x:v>26235.80744369323</x:v>
      </x:c>
      <x:c r="D6" s="32" t="n">
        <x:v>106982.48455630676</x:v>
      </x:c>
      <x:c r="E6" s="32" t="n">
        <x:v>25538.666666666668</x:v>
      </x:c>
      <x:c r="F6" s="32" t="n">
        <x:v>189729.39</x:v>
      </x:c>
      <x:c r="G6" s="32" t="n">
        <x:v>-108285.57211035992</x:v>
      </x:c>
      <x:c r="H6" s="32" t="n">
        <x:v>14250</x:v>
      </x:c>
      <x:c r="I6" s="32" t="n">
        <x:v>-122535.57211035992</x:v>
      </x:c>
      <x:c r="J6" s="32" t="n">
        <x:v>-107003.3460498599</x:v>
      </x:c>
      <x:c r="K6" s="32" t="n">
        <x:v>-15000</x:v>
      </x:c>
      <x:c r="L6" s="32" t="n">
        <x:v>0</x:v>
      </x:c>
      <x:c r="M6" s="32" t="n">
        <x:v>-122003.3460498599</x:v>
      </x:c>
      <x:c r="N6" s="32" t="n">
        <x:v>17737902.5332297</x:v>
      </x:c>
      <x:c r="O6" s="32" t="n">
        <x:v>6561.141650000005</x:v>
      </x:c>
    </x:row>
    <x:row r="7">
      <x:c r="A7" s="33" t="n">
        <x:v>44986</x:v>
      </x:c>
      <x:c r="B7" s="32" t="n">
        <x:v>137364.398</x:v>
      </x:c>
      <x:c r="C7" s="32" t="n">
        <x:v>26942.87426197609</x:v>
      </x:c>
      <x:c r="D7" s="32" t="n">
        <x:v>110421.5237380239</x:v>
      </x:c>
      <x:c r="E7" s="32" t="n">
        <x:v>50792.666666666664</x:v>
      </x:c>
      <x:c r="F7" s="32" t="n">
        <x:v>202374.15000000002</x:v>
      </x:c>
      <x:c r="G7" s="32" t="n">
        <x:v>-142745.2929286428</x:v>
      </x:c>
      <x:c r="H7" s="32" t="n">
        <x:v>14250</x:v>
      </x:c>
      <x:c r="I7" s="32" t="n">
        <x:v>-156995.2929286428</x:v>
      </x:c>
      <x:c r="J7" s="32" t="n">
        <x:v>-141423.16059789283</x:v>
      </x:c>
      <x:c r="K7" s="32" t="n">
        <x:v>-15000</x:v>
      </x:c>
      <x:c r="L7" s="32" t="n">
        <x:v>0</x:v>
      </x:c>
      <x:c r="M7" s="32" t="n">
        <x:v>-156423.16059789283</x:v>
      </x:c>
      <x:c r="N7" s="32" t="n">
        <x:v>17597519.203759033</x:v>
      </x:c>
      <x:c r="O7" s="32" t="n">
        <x:v>9995.251599999989</x:v>
      </x:c>
    </x:row>
    <x:row r="8">
      <x:c r="A8" s="33" t="n">
        <x:v>45017</x:v>
      </x:c>
      <x:c r="B8" s="32" t="n">
        <x:v>141962.692</x:v>
      </x:c>
      <x:c r="C8" s="32" t="n">
        <x:v>27766.614897090363</x:v>
      </x:c>
      <x:c r="D8" s="32" t="n">
        <x:v>114196.07710290965</x:v>
      </x:c>
      <x:c r="E8" s="32" t="n">
        <x:v>76819.33333333333</x:v>
      </x:c>
      <x:c r="F8" s="32" t="n">
        <x:v>195793.90999999997</x:v>
      </x:c>
      <x:c r="G8" s="32" t="n">
        <x:v>-158417.16623042367</x:v>
      </x:c>
      <x:c r="H8" s="32" t="n">
        <x:v>14250</x:v>
      </x:c>
      <x:c r="I8" s="32" t="n">
        <x:v>-172667.16623042367</x:v>
      </x:c>
      <x:c r="J8" s="32" t="n">
        <x:v>-157050.77531992368</x:v>
      </x:c>
      <x:c r="K8" s="32" t="n">
        <x:v>-15000</x:v>
      </x:c>
      <x:c r="L8" s="32" t="n">
        <x:v>0</x:v>
      </x:c>
      <x:c r="M8" s="32" t="n">
        <x:v>-172050.77531992368</x:v>
      </x:c>
      <x:c r="N8" s="32" t="n">
        <x:v>17432440.394564405</x:v>
      </x:c>
      <x:c r="O8" s="32" t="n">
        <x:v>13544.318899999984</x:v>
      </x:c>
    </x:row>
    <x:row r="9">
      <x:c r="A9" s="33" t="n">
        <x:v>45047</x:v>
      </x:c>
      <x:c r="B9" s="32" t="n">
        <x:v>146659.986</x:v>
      </x:c>
      <x:c r="C9" s="32" t="n">
        <x:v>28226.834987727336</x:v>
      </x:c>
      <x:c r="D9" s="32" t="n">
        <x:v>118433.15101227266</x:v>
      </x:c>
      <x:c r="E9" s="32" t="n">
        <x:v>85247.49999999999</x:v>
      </x:c>
      <x:c r="F9" s="32" t="n">
        <x:v>194423.65</x:v>
      </x:c>
      <x:c r="G9" s="32" t="n">
        <x:v>-161237.99898772733</x:v>
      </x:c>
      <x:c r="H9" s="32" t="n">
        <x:v>14250</x:v>
      </x:c>
      <x:c r="I9" s="32" t="n">
        <x:v>-175487.99898772733</x:v>
      </x:c>
      <x:c r="J9" s="32" t="n">
        <x:v>-159826.39662247733</x:v>
      </x:c>
      <x:c r="K9" s="32" t="n">
        <x:v>-15000</x:v>
      </x:c>
      <x:c r="L9" s="32" t="n">
        <x:v>0</x:v>
      </x:c>
      <x:c r="M9" s="32" t="n">
        <x:v>-174826.39662247733</x:v>
      </x:c>
      <x:c r="N9" s="32" t="n">
        <x:v>17260614.943280406</x:v>
      </x:c>
      <x:c r="O9" s="32" t="n">
        <x:v>17210.818549999996</x:v>
      </x:c>
    </x:row>
    <x:row r="10">
      <x:c r="A10" s="33" t="n">
        <x:v>45078</x:v>
      </x:c>
      <x:c r="B10" s="32" t="n">
        <x:v>150099.71600000001</x:v>
      </x:c>
      <x:c r="C10" s="32" t="n">
        <x:v>28137.588811688594</x:v>
      </x:c>
      <x:c r="D10" s="32" t="n">
        <x:v>121962.12718831142</x:v>
      </x:c>
      <x:c r="E10" s="32" t="n">
        <x:v>94061.99999999999</x:v>
      </x:c>
      <x:c r="F10" s="32" t="n">
        <x:v>197565.34999999998</x:v>
      </x:c>
      <x:c r="G10" s="32" t="n">
        <x:v>-169665.22281168855</x:v>
      </x:c>
      <x:c r="H10" s="32" t="n">
        <x:v>14250</x:v>
      </x:c>
      <x:c r="I10" s="32" t="n">
        <x:v>-183915.22281168855</x:v>
      </x:c>
      <x:c r="J10" s="32" t="n">
        <x:v>-168220.51304518856</x:v>
      </x:c>
      <x:c r="K10" s="32" t="n">
        <x:v>-15000</x:v>
      </x:c>
      <x:c r="L10" s="32" t="n">
        <x:v>0</x:v>
      </x:c>
      <x:c r="M10" s="32" t="n">
        <x:v>-183220.51304518856</x:v>
      </x:c>
      <x:c r="N10" s="32" t="n">
        <x:v>17080972.243240405</x:v>
      </x:c>
      <x:c r="O10" s="32" t="n">
        <x:v>20963.31144999998</x:v>
      </x:c>
    </x:row>
    <x:row r="11">
      <x:c r="A11" s="33" t="n">
        <x:v>45108</x:v>
      </x:c>
      <x:c r="B11" s="32" t="n">
        <x:v>155150.198</x:v>
      </x:c>
      <x:c r="C11" s="32" t="n">
        <x:v>28697.49768090802</x:v>
      </x:c>
      <x:c r="D11" s="32" t="n">
        <x:v>126452.70031909198</x:v>
      </x:c>
      <x:c r="E11" s="32" t="n">
        <x:v>104930.16666666667</x:v>
      </x:c>
      <x:c r="F11" s="32" t="n">
        <x:v>206306.94</x:v>
      </x:c>
      <x:c r="G11" s="32" t="n">
        <x:v>-184784.4063475747</x:v>
      </x:c>
      <x:c r="H11" s="32" t="n">
        <x:v>18750</x:v>
      </x:c>
      <x:c r="I11" s="32" t="n">
        <x:v>-203534.4063475747</x:v>
      </x:c>
      <x:c r="J11" s="32" t="n">
        <x:v>-183291.08569182473</x:v>
      </x:c>
      <x:c r="K11" s="32" t="n">
        <x:v>-45000</x:v>
      </x:c>
      <x:c r="L11" s="32" t="n">
        <x:v>0</x:v>
      </x:c>
      <x:c r="M11" s="32" t="n">
        <x:v>-228291.08569182473</x:v>
      </x:c>
      <x:c r="N11" s="32" t="n">
        <x:v>16862612.067745738</x:v>
      </x:c>
      <x:c r="O11" s="32" t="n">
        <x:v>24842.066399999952</x:v>
      </x:c>
    </x:row>
    <x:row r="12">
      <x:c r="A12" s="33" t="n">
        <x:v>45139</x:v>
      </x:c>
      <x:c r="B12" s="32" t="n">
        <x:v>159395.304</x:v>
      </x:c>
      <x:c r="C12" s="32" t="n">
        <x:v>29096.198872689623</x:v>
      </x:c>
      <x:c r="D12" s="32" t="n">
        <x:v>130299.10512731038</x:v>
      </x:c>
      <x:c r="E12" s="32" t="n">
        <x:v>131627.83333333334</x:v>
      </x:c>
      <x:c r="F12" s="32" t="n">
        <x:v>202968.04</x:v>
      </x:c>
      <x:c r="G12" s="32" t="n">
        <x:v>-204296.76820602297</x:v>
      </x:c>
      <x:c r="H12" s="32" t="n">
        <x:v>14250</x:v>
      </x:c>
      <x:c r="I12" s="32" t="n">
        <x:v>-218546.76820602297</x:v>
      </x:c>
      <x:c r="J12" s="32" t="n">
        <x:v>-202762.58840502295</x:v>
      </x:c>
      <x:c r="K12" s="32" t="n">
        <x:v>-15000</x:v>
      </x:c>
      <x:c r="L12" s="32" t="n">
        <x:v>0</x:v>
      </x:c>
      <x:c r="M12" s="32" t="n">
        <x:v>-217762.58840502295</x:v>
      </x:c>
      <x:c r="N12" s="32" t="n">
        <x:v>16649008.293712469</x:v>
      </x:c>
      <x:c r="O12" s="32" t="n">
        <x:v>28826.948999999964</x:v>
      </x:c>
    </x:row>
    <x:row r="13">
      <x:c r="A13" s="33" t="n">
        <x:v>45170</x:v>
      </x:c>
      <x:c r="B13" s="32" t="n">
        <x:v>162538.03399999999</x:v>
      </x:c>
      <x:c r="C13" s="32" t="n">
        <x:v>28745.25795203866</x:v>
      </x:c>
      <x:c r="D13" s="32" t="n">
        <x:v>133792.77604796132</x:v>
      </x:c>
      <x:c r="E13" s="32" t="n">
        <x:v>187880</x:v>
      </x:c>
      <x:c r="F13" s="32" t="n">
        <x:v>201065.87</x:v>
      </x:c>
      <x:c r="G13" s="32" t="n">
        <x:v>-255153.09395203867</x:v>
      </x:c>
      <x:c r="H13" s="32" t="n">
        <x:v>14250</x:v>
      </x:c>
      <x:c r="I13" s="32" t="n">
        <x:v>-269403.0939520387</x:v>
      </x:c>
      <x:c r="J13" s="32" t="n">
        <x:v>-253588.6653747887</x:v>
      </x:c>
      <x:c r="K13" s="32" t="n">
        <x:v>-15000</x:v>
      </x:c>
      <x:c r="L13" s="32" t="n">
        <x:v>0</x:v>
      </x:c>
      <x:c r="M13" s="32" t="n">
        <x:v>-268588.6653747887</x:v>
      </x:c>
      <x:c r="N13" s="32" t="n">
        <x:v>16379552.535524469</x:v>
      </x:c>
      <x:c r="O13" s="32" t="n">
        <x:v>32890.39984999996</x:v>
      </x:c>
    </x:row>
    <x:row r="14">
      <x:c r="A14" s="33" t="n">
        <x:v>45200</x:v>
      </x:c>
      <x:c r="B14" s="32" t="n">
        <x:v>166033.952</x:v>
      </x:c>
      <x:c r="C14" s="32" t="n">
        <x:v>30817.35790032903</x:v>
      </x:c>
      <x:c r="D14" s="32" t="n">
        <x:v>135216.59409967097</x:v>
      </x:c>
      <x:c r="E14" s="32" t="n">
        <x:v>201920.1666666667</x:v>
      </x:c>
      <x:c r="F14" s="32" t="n">
        <x:v>211603.28000000003</x:v>
      </x:c>
      <x:c r="G14" s="32" t="n">
        <x:v>-278306.8525669958</x:v>
      </x:c>
      <x:c r="H14" s="32" t="n">
        <x:v>14250</x:v>
      </x:c>
      <x:c r="I14" s="32" t="n">
        <x:v>-292556.8525669958</x:v>
      </x:c>
      <x:c r="J14" s="32" t="n">
        <x:v>-276708.7757789957</x:v>
      </x:c>
      <x:c r="K14" s="32" t="n">
        <x:v>-15000</x:v>
      </x:c>
      <x:c r="L14" s="32" t="n">
        <x:v>0</x:v>
      </x:c>
      <x:c r="M14" s="32" t="n">
        <x:v>-291708.7757789957</x:v>
      </x:c>
      <x:c r="N14" s="32" t="n">
        <x:v>16096356.286940385</x:v>
      </x:c>
      <x:c r="O14" s="32" t="n">
        <x:v>37041.248649999965</x:v>
      </x:c>
    </x:row>
    <x:row r="15">
      <x:c r="A15" s="33" t="n">
        <x:v>45231</x:v>
      </x:c>
      <x:c r="B15" s="32" t="n">
        <x:v>170434.246</x:v>
      </x:c>
      <x:c r="C15" s="32" t="n">
        <x:v>31873.22627343761</x:v>
      </x:c>
      <x:c r="D15" s="32" t="n">
        <x:v>138561.0197265624</x:v>
      </x:c>
      <x:c r="E15" s="32" t="n">
        <x:v>215106.33333333334</x:v>
      </x:c>
      <x:c r="F15" s="32" t="n">
        <x:v>215453.89</x:v>
      </x:c>
      <x:c r="G15" s="32" t="n">
        <x:v>-291999.20360677096</x:v>
      </x:c>
      <x:c r="H15" s="32" t="n">
        <x:v>14250</x:v>
      </x:c>
      <x:c r="I15" s="32" t="n">
        <x:v>-306249.20360677096</x:v>
      </x:c>
      <x:c r="J15" s="32" t="n">
        <x:v>-290358.77398902096</x:v>
      </x:c>
      <x:c r="K15" s="32" t="n">
        <x:v>-15000</x:v>
      </x:c>
      <x:c r="L15" s="32" t="n">
        <x:v>0</x:v>
      </x:c>
      <x:c r="M15" s="32" t="n">
        <x:v>-305358.77398902096</x:v>
      </x:c>
      <x:c r="N15" s="32" t="n">
        <x:v>15800583.489851052</x:v>
      </x:c>
      <x:c r="O15" s="32" t="n">
        <x:v>41302.10479999994</x:v>
      </x:c>
    </x:row>
    <x:row r="16">
      <x:c r="A16" s="33" t="n">
        <x:v>45261</x:v>
      </x:c>
      <x:c r="B16" s="32" t="n">
        <x:v>175131.54</x:v>
      </x:c>
      <x:c r="C16" s="32" t="n">
        <x:v>32882.099569894155</x:v>
      </x:c>
      <x:c r="D16" s="32" t="n">
        <x:v>142249.44043010584</x:v>
      </x:c>
      <x:c r="E16" s="32" t="n">
        <x:v>215106.33333333334</x:v>
      </x:c>
      <x:c r="F16" s="32" t="n">
        <x:v>218920.39</x:v>
      </x:c>
      <x:c r="G16" s="32" t="n">
        <x:v>-291777.2829032275</x:v>
      </x:c>
      <x:c r="H16" s="32" t="n">
        <x:v>14250</x:v>
      </x:c>
      <x:c r="I16" s="32" t="n">
        <x:v>-306027.2829032275</x:v>
      </x:c>
      <x:c r="J16" s="32" t="n">
        <x:v>-290091.64183072746</x:v>
      </x:c>
      <x:c r="K16" s="32" t="n">
        <x:v>-15000</x:v>
      </x:c>
      <x:c r="L16" s="32" t="n">
        <x:v>0</x:v>
      </x:c>
      <x:c r="M16" s="32" t="n">
        <x:v>-305091.64183072746</x:v>
      </x:c>
      <x:c r="N16" s="32" t="n">
        <x:v>15505413.573917719</x:v>
      </x:c>
      <x:c r="O16" s="32" t="n">
        <x:v>45680.39329999994</x:v>
      </x:c>
    </x:row>
    <x:row r="17">
      <x:c r="A17" s="33" t="n">
        <x:v>45292</x:v>
      </x:c>
      <x:c r="B17" s="32" t="n">
        <x:v>185552.36361</x:v>
      </x:c>
      <x:c r="C17" s="32" t="n">
        <x:v>35674.36360349156</x:v>
      </x:c>
      <x:c r="D17" s="32" t="n">
        <x:v>149878.00000650843</x:v>
      </x:c>
      <x:c r="E17" s="32" t="n">
        <x:v>229380.33333333334</x:v>
      </x:c>
      <x:c r="F17" s="32" t="n">
        <x:v>227149.54000000004</x:v>
      </x:c>
      <x:c r="G17" s="32" t="n">
        <x:v>-306651.873326825</x:v>
      </x:c>
      <x:c r="H17" s="32" t="n">
        <x:v>18750</x:v>
      </x:c>
      <x:c r="I17" s="32" t="n">
        <x:v>-325401.873326825</x:v>
      </x:c>
      <x:c r="J17" s="32" t="n">
        <x:v>-304865.9318270788</x:v>
      </x:c>
      <x:c r="K17" s="32" t="n">
        <x:v>-45000</x:v>
      </x:c>
      <x:c r="L17" s="32" t="n">
        <x:v>0</x:v>
      </x:c>
      <x:c r="M17" s="32" t="n">
        <x:v>-349865.9318270788</x:v>
      </x:c>
      <x:c r="N17" s="32" t="n">
        <x:v>15170489.925654044</x:v>
      </x:c>
      <x:c r="O17" s="32" t="n">
        <x:v>50319.202390249906</x:v>
      </x:c>
    </x:row>
    <x:row r="18">
      <x:c r="A18" s="33" t="n">
        <x:v>45323</x:v>
      </x:c>
      <x:c r="B18" s="32" t="n">
        <x:v>190311.5979</x:v>
      </x:c>
      <x:c r="C18" s="32" t="n">
        <x:v>37214.34935992303</x:v>
      </x:c>
      <x:c r="D18" s="32" t="n">
        <x:v>153097.24854007695</x:v>
      </x:c>
      <x:c r="E18" s="32" t="n">
        <x:v>250333.83333333334</x:v>
      </x:c>
      <x:c r="F18" s="32" t="n">
        <x:v>231262.74</x:v>
      </x:c>
      <x:c r="G18" s="32" t="n">
        <x:v>-328499.32479325635</x:v>
      </x:c>
      <x:c r="H18" s="32" t="n">
        <x:v>14250</x:v>
      </x:c>
      <x:c r="I18" s="32" t="n">
        <x:v>-342749.32479325635</x:v>
      </x:c>
      <x:c r="J18" s="32" t="n">
        <x:v>-326667.57566346886</x:v>
      </x:c>
      <x:c r="K18" s="32" t="n">
        <x:v>-15000</x:v>
      </x:c>
      <x:c r="L18" s="32" t="n">
        <x:v>0</x:v>
      </x:c>
      <x:c r="M18" s="32" t="n">
        <x:v>-341667.57566346886</x:v>
      </x:c>
      <x:c r="N18" s="32" t="n">
        <x:v>14845364.139192382</x:v>
      </x:c>
      <x:c r="O18" s="32" t="n">
        <x:v>55076.99233774989</x:v>
      </x:c>
    </x:row>
    <x:row r="19">
      <x:c r="A19" s="33" t="n">
        <x:v>45352</x:v>
      </x:c>
      <x:c r="B19" s="32" t="n">
        <x:v>196211.79134999996</x:v>
      </x:c>
      <x:c r="C19" s="32" t="n">
        <x:v>39598.54746943632</x:v>
      </x:c>
      <x:c r="D19" s="32" t="n">
        <x:v>156613.24388056365</x:v>
      </x:c>
      <x:c r="E19" s="32" t="n">
        <x:v>276980.6666666666</x:v>
      </x:c>
      <x:c r="F19" s="32" t="n">
        <x:v>226317.15</x:v>
      </x:c>
      <x:c r="G19" s="32" t="n">
        <x:v>-346684.572786103</x:v>
      </x:c>
      <x:c r="H19" s="32" t="n">
        <x:v>14250</x:v>
      </x:c>
      <x:c r="I19" s="32" t="n">
        <x:v>-360934.572786103</x:v>
      </x:c>
      <x:c r="J19" s="32" t="n">
        <x:v>-344796.03429435927</x:v>
      </x:c>
      <x:c r="K19" s="32" t="n">
        <x:v>-15000</x:v>
      </x:c>
      <x:c r="L19" s="32" t="n">
        <x:v>0</x:v>
      </x:c>
      <x:c r="M19" s="32" t="n">
        <x:v>-359796.03429435927</x:v>
      </x:c>
      <x:c r="N19" s="32" t="n">
        <x:v>14495460.969188415</x:v>
      </x:c>
      <x:c r="O19" s="32" t="n">
        <x:v>59982.28712149989</x:v>
      </x:c>
    </x:row>
    <x:row r="20">
      <x:c r="A20" s="33" t="n">
        <x:v>45383</x:v>
      </x:c>
      <x:c r="B20" s="32" t="n">
        <x:v>203332.03245</x:v>
      </x:c>
      <x:c r="C20" s="32" t="n">
        <x:v>40863.809971661925</x:v>
      </x:c>
      <x:c r="D20" s="32" t="n">
        <x:v>162468.22247833808</x:v>
      </x:c>
      <x:c r="E20" s="32" t="n">
        <x:v>315125.99999999994</x:v>
      </x:c>
      <x:c r="F20" s="32" t="n">
        <x:v>232065.56999999998</x:v>
      </x:c>
      <x:c r="G20" s="32" t="n">
        <x:v>-384723.34752166184</x:v>
      </x:c>
      <x:c r="H20" s="32" t="n">
        <x:v>14250</x:v>
      </x:c>
      <x:c r="I20" s="32" t="n">
        <x:v>-398973.34752166184</x:v>
      </x:c>
      <x:c r="J20" s="32" t="n">
        <x:v>-382766.2767093306</x:v>
      </x:c>
      <x:c r="K20" s="32" t="n">
        <x:v>-15000</x:v>
      </x:c>
      <x:c r="L20" s="32" t="n">
        <x:v>0</x:v>
      </x:c>
      <x:c r="M20" s="32" t="n">
        <x:v>-397766.2767093306</x:v>
      </x:c>
      <x:c r="N20" s="32" t="n">
        <x:v>14110542.009828877</x:v>
      </x:c>
      <x:c r="O20" s="32" t="n">
        <x:v>65065.587932749884</x:v>
      </x:c>
    </x:row>
    <x:row r="21">
      <x:c r="A21" s="33" t="n">
        <x:v>45413</x:v>
      </x:c>
      <x:c r="B21" s="32" t="n">
        <x:v>209676.86397</x:v>
      </x:c>
      <x:c r="C21" s="32" t="n">
        <x:v>41465.41311844422</x:v>
      </x:c>
      <x:c r="D21" s="32" t="n">
        <x:v>168211.4508515558</x:v>
      </x:c>
      <x:c r="E21" s="32" t="n">
        <x:v>327163.3333333333</x:v>
      </x:c>
      <x:c r="F21" s="32" t="n">
        <x:v>232938.48000000004</x:v>
      </x:c>
      <x:c r="G21" s="32" t="n">
        <x:v>-391890.36248177756</x:v>
      </x:c>
      <x:c r="H21" s="32" t="n">
        <x:v>14250</x:v>
      </x:c>
      <x:c r="I21" s="32" t="n">
        <x:v>-406140.36248177756</x:v>
      </x:c>
      <x:c r="J21" s="32" t="n">
        <x:v>-389872.2226660663</x:v>
      </x:c>
      <x:c r="K21" s="32" t="n">
        <x:v>-15000</x:v>
      </x:c>
      <x:c r="L21" s="32" t="n">
        <x:v>0</x:v>
      </x:c>
      <x:c r="M21" s="32" t="n">
        <x:v>-404872.2226660663</x:v>
      </x:c>
      <x:c r="N21" s="32" t="n">
        <x:v>13716585.388855364</x:v>
      </x:c>
      <x:c r="O21" s="32" t="n">
        <x:v>70307.50953199988</x:v>
      </x:c>
    </x:row>
    <x:row r="22">
      <x:c r="A22" s="33" t="n">
        <x:v>45444</x:v>
      </x:c>
      <x:c r="B22" s="32" t="n">
        <x:v>217015.87922999996</x:v>
      </x:c>
      <x:c r="C22" s="32" t="n">
        <x:v>41958.839938419434</x:v>
      </x:c>
      <x:c r="D22" s="32" t="n">
        <x:v>175057.03929158053</x:v>
      </x:c>
      <x:c r="E22" s="32" t="n">
        <x:v>337279.1666666667</x:v>
      </x:c>
      <x:c r="F22" s="32" t="n">
        <x:v>229814.69</x:v>
      </x:c>
      <x:c r="G22" s="32" t="n">
        <x:v>-392036.81737508613</x:v>
      </x:c>
      <x:c r="H22" s="32" t="n">
        <x:v>14250</x:v>
      </x:c>
      <x:c r="I22" s="32" t="n">
        <x:v>-406286.81737508613</x:v>
      </x:c>
      <x:c r="J22" s="32" t="n">
        <x:v>-389948.03953749733</x:v>
      </x:c>
      <x:c r="K22" s="32" t="n">
        <x:v>-15000</x:v>
      </x:c>
      <x:c r="L22" s="32" t="n">
        <x:v>0</x:v>
      </x:c>
      <x:c r="M22" s="32" t="n">
        <x:v>-404948.03953749733</x:v>
      </x:c>
      <x:c r="N22" s="32" t="n">
        <x:v>13316472.254364997</x:v>
      </x:c>
      <x:c r="O22" s="32" t="n">
        <x:v>75732.90651274988</x:v>
      </x:c>
    </x:row>
    <x:row r="23">
      <x:c r="A23" s="33" t="n">
        <x:v>45474</x:v>
      </x:c>
      <x:c r="B23" s="32" t="n">
        <x:v>223770.57075</x:v>
      </x:c>
      <x:c r="C23" s="32" t="n">
        <x:v>41667.033940117464</x:v>
      </x:c>
      <x:c r="D23" s="32" t="n">
        <x:v>182103.53680988256</x:v>
      </x:c>
      <x:c r="E23" s="32" t="n">
        <x:v>337279.1666666667</x:v>
      </x:c>
      <x:c r="F23" s="32" t="n">
        <x:v>239949.09999999998</x:v>
      </x:c>
      <x:c r="G23" s="32" t="n">
        <x:v>-395124.7298567841</x:v>
      </x:c>
      <x:c r="H23" s="32" t="n">
        <x:v>18750</x:v>
      </x:c>
      <x:c r="I23" s="32" t="n">
        <x:v>-413874.7298567841</x:v>
      </x:c>
      <x:c r="J23" s="32" t="n">
        <x:v>-392970.9381133154</x:v>
      </x:c>
      <x:c r="K23" s="32" t="n">
        <x:v>-45000</x:v>
      </x:c>
      <x:c r="L23" s="32" t="n">
        <x:v>0</x:v>
      </x:c>
      <x:c r="M23" s="32" t="n">
        <x:v>-437970.9381133154</x:v>
      </x:c>
      <x:c r="N23" s="32" t="n">
        <x:v>12889968.71228883</x:v>
      </x:c>
      <x:c r="O23" s="32" t="n">
        <x:v>81327.17078149988</x:v>
      </x:c>
    </x:row>
    <x:row r="24">
      <x:c r="A24" s="33" t="n">
        <x:v>45505</x:v>
      </x:c>
      <x:c r="B24" s="32" t="n">
        <x:v>230480.95185</x:v>
      </x:c>
      <x:c r="C24" s="32" t="n">
        <x:v>42213.58835608775</x:v>
      </x:c>
      <x:c r="D24" s="32" t="n">
        <x:v>188267.36349391227</x:v>
      </x:c>
      <x:c r="E24" s="32" t="n">
        <x:v>360743.83333333326</x:v>
      </x:c>
      <x:c r="F24" s="32" t="n">
        <x:v>241409.99000000002</x:v>
      </x:c>
      <x:c r="G24" s="32" t="n">
        <x:v>-413886.459839421</x:v>
      </x:c>
      <x:c r="H24" s="32" t="n">
        <x:v>14250</x:v>
      </x:c>
      <x:c r="I24" s="32" t="n">
        <x:v>-428136.459839421</x:v>
      </x:c>
      <x:c r="J24" s="32" t="n">
        <x:v>-411668.0806778647</x:v>
      </x:c>
      <x:c r="K24" s="32" t="n">
        <x:v>-15000</x:v>
      </x:c>
      <x:c r="L24" s="32" t="n">
        <x:v>0</x:v>
      </x:c>
      <x:c r="M24" s="32" t="n">
        <x:v>-426668.0806778647</x:v>
      </x:c>
      <x:c r="N24" s="32" t="n">
        <x:v>12473385.958829122</x:v>
      </x:c>
      <x:c r="O24" s="32" t="n">
        <x:v>87089.19457774985</x:v>
      </x:c>
    </x:row>
    <x:row r="25">
      <x:c r="A25" s="33" t="n">
        <x:v>45536</x:v>
      </x:c>
      <x:c r="B25" s="32" t="n">
        <x:v>235868.8203</x:v>
      </x:c>
      <x:c r="C25" s="32" t="n">
        <x:v>42288.93671903918</x:v>
      </x:c>
      <x:c r="D25" s="32" t="n">
        <x:v>193579.8835809608</x:v>
      </x:c>
      <x:c r="E25" s="32" t="n">
        <x:v>387187.33333333326</x:v>
      </x:c>
      <x:c r="F25" s="32" t="n">
        <x:v>238841.78999999998</x:v>
      </x:c>
      <x:c r="G25" s="32" t="n">
        <x:v>-432449.23975237244</x:v>
      </x:c>
      <x:c r="H25" s="32" t="n">
        <x:v>14250</x:v>
      </x:c>
      <x:c r="I25" s="32" t="n">
        <x:v>-446699.23975237244</x:v>
      </x:c>
      <x:c r="J25" s="32" t="n">
        <x:v>-430179.002356985</x:v>
      </x:c>
      <x:c r="K25" s="32" t="n">
        <x:v>-15000</x:v>
      </x:c>
      <x:c r="L25" s="32" t="n">
        <x:v>4000000</x:v>
      </x:c>
      <x:c r="M25" s="32" t="n">
        <x:v>3554820.997643015</x:v>
      </x:c>
      <x:c r="N25" s="32" t="n">
        <x:v>16032414.410501188</x:v>
      </x:c>
      <x:c r="O25" s="32" t="n">
        <x:v>92985.91508524981</x:v>
      </x:c>
    </x:row>
    <x:row r="26">
      <x:c r="A26" s="33" t="n">
        <x:v>45566</x:v>
      </x:c>
      <x:c r="B26" s="32" t="n">
        <x:v>241461.61874999997</x:v>
      </x:c>
      <x:c r="C26" s="32" t="n">
        <x:v>45011.047249348034</x:v>
      </x:c>
      <x:c r="D26" s="32" t="n">
        <x:v>196450.57150065195</x:v>
      </x:c>
      <x:c r="E26" s="32" t="n">
        <x:v>404623.1666666666</x:v>
      </x:c>
      <x:c r="F26" s="32" t="n">
        <x:v>250321.82999999996</x:v>
      </x:c>
      <x:c r="G26" s="32" t="n">
        <x:v>-458494.42516601464</x:v>
      </x:c>
      <x:c r="H26" s="32" t="n">
        <x:v>14250</x:v>
      </x:c>
      <x:c r="I26" s="32" t="n">
        <x:v>-472744.42516601464</x:v>
      </x:c>
      <x:c r="J26" s="32" t="n">
        <x:v>-456170.3570855459</x:v>
      </x:c>
      <x:c r="K26" s="32" t="n">
        <x:v>-15000</x:v>
      </x:c>
      <x:c r="L26" s="32" t="n">
        <x:v>0</x:v>
      </x:c>
      <x:c r="M26" s="32" t="n">
        <x:v>-471170.3570855459</x:v>
      </x:c>
      <x:c r="N26" s="32" t="n">
        <x:v>15575699.960189031</x:v>
      </x:c>
      <x:c r="O26" s="32" t="n">
        <x:v>99022.45555399981</x:v>
      </x:c>
    </x:row>
    <x:row r="27">
      <x:c r="A27" s="33" t="n">
        <x:v>45597</x:v>
      </x:c>
      <x:c r="B27" s="32" t="n">
        <x:v>246951.95219999997</x:v>
      </x:c>
      <x:c r="C27" s="32" t="n">
        <x:v>45863.13570836223</x:v>
      </x:c>
      <x:c r="D27" s="32" t="n">
        <x:v>201088.81649163773</x:v>
      </x:c>
      <x:c r="E27" s="32" t="n">
        <x:v>404623.1666666666</x:v>
      </x:c>
      <x:c r="F27" s="32" t="n">
        <x:v>248775.41000000003</x:v>
      </x:c>
      <x:c r="G27" s="32" t="n">
        <x:v>-452309.76017502893</x:v>
      </x:c>
      <x:c r="H27" s="32" t="n">
        <x:v>14250</x:v>
      </x:c>
      <x:c r="I27" s="32" t="n">
        <x:v>-466559.76017502893</x:v>
      </x:c>
      <x:c r="J27" s="32" t="n">
        <x:v>-449932.847635104</x:v>
      </x:c>
      <x:c r="K27" s="32" t="n">
        <x:v>-15000</x:v>
      </x:c>
      <x:c r="L27" s="32" t="n">
        <x:v>0</x:v>
      </x:c>
      <x:c r="M27" s="32" t="n">
        <x:v>-464932.847635104</x:v>
      </x:c>
      <x:c r="N27" s="32" t="n">
        <x:v>15120136.212613165</x:v>
      </x:c>
      <x:c r="O27" s="32" t="n">
        <x:v>105196.25435899978</x:v>
      </x:c>
    </x:row>
    <x:row r="28">
      <x:c r="A28" s="33" t="n">
        <x:v>45627</x:v>
      </x:c>
      <x:c r="B28" s="32" t="n">
        <x:v>252179.20106999995</x:v>
      </x:c>
      <x:c r="C28" s="32" t="n">
        <x:v>45893.16050926437</x:v>
      </x:c>
      <x:c r="D28" s="32" t="n">
        <x:v>206286.04056073556</x:v>
      </x:c>
      <x:c r="E28" s="32" t="n">
        <x:v>421154.1666666666</x:v>
      </x:c>
      <x:c r="F28" s="32" t="n">
        <x:v>259584.24000000002</x:v>
      </x:c>
      <x:c r="G28" s="32" t="n">
        <x:v>-474452.3661059311</x:v>
      </x:c>
      <x:c r="H28" s="32" t="n">
        <x:v>14250</x:v>
      </x:c>
      <x:c r="I28" s="32" t="n">
        <x:v>-488702.3661059311</x:v>
      </x:c>
      <x:c r="J28" s="32" t="n">
        <x:v>-472025.14129563235</x:v>
      </x:c>
      <x:c r="K28" s="32" t="n">
        <x:v>-15000</x:v>
      </x:c>
      <x:c r="L28" s="32" t="n">
        <x:v>0</x:v>
      </x:c>
      <x:c r="M28" s="32" t="n">
        <x:v>-487025.14129563235</x:v>
      </x:c>
      <x:c r="N28" s="32" t="n">
        <x:v>14648706.588813199</x:v>
      </x:c>
      <x:c r="O28" s="32" t="n">
        <x:v>111500.73438574979</x:v>
      </x:c>
    </x:row>
    <x:row r="29">
      <x:c r="A29" s="33" t="n">
        <x:v>45658</x:v>
      </x:c>
      <x:c r="B29" s="32" t="n">
        <x:v>268268.87137095</x:v>
      </x:c>
      <x:c r="C29" s="32" t="n">
        <x:v>54201.75599118696</x:v>
      </x:c>
      <x:c r="D29" s="32" t="n">
        <x:v>214067.11537976307</x:v>
      </x:c>
      <x:c r="E29" s="32" t="n">
        <x:v>436109.33333333326</x:v>
      </x:c>
      <x:c r="F29" s="32" t="n">
        <x:v>252720.84</x:v>
      </x:c>
      <x:c r="G29" s="32" t="n">
        <x:v>-474763.05795357015</x:v>
      </x:c>
      <x:c r="H29" s="32" t="n">
        <x:v>18750</x:v>
      </x:c>
      <x:c r="I29" s="32" t="n">
        <x:v>-493513.05795357015</x:v>
      </x:c>
      <x:c r="J29" s="32" t="n">
        <x:v>-472180.97006662475</x:v>
      </x:c>
      <x:c r="K29" s="32" t="n">
        <x:v>-45000</x:v>
      </x:c>
      <x:c r="L29" s="32" t="n">
        <x:v>0</x:v>
      </x:c>
      <x:c r="M29" s="32" t="n">
        <x:v>-517180.97006662475</x:v>
      </x:c>
      <x:c r="N29" s="32" t="n">
        <x:v>14140451.04580485</x:v>
      </x:c>
      <x:c r="O29" s="32" t="n">
        <x:v>118207.45617002354</x:v>
      </x:c>
    </x:row>
    <x:row r="30">
      <x:c r="A30" s="33" t="n">
        <x:v>45689</x:v>
      </x:c>
      <x:c r="B30" s="32" t="n">
        <x:v>276349.14725534996</x:v>
      </x:c>
      <x:c r="C30" s="32" t="n">
        <x:v>53750.62645092381</x:v>
      </x:c>
      <x:c r="D30" s="32" t="n">
        <x:v>222598.52080442617</x:v>
      </x:c>
      <x:c r="E30" s="32" t="n">
        <x:v>484451.8333333333</x:v>
      </x:c>
      <x:c r="F30" s="32" t="n">
        <x:v>255015.49000000002</x:v>
      </x:c>
      <x:c r="G30" s="32" t="n">
        <x:v>-516868.8025289072</x:v>
      </x:c>
      <x:c r="H30" s="32" t="n">
        <x:v>14250</x:v>
      </x:c>
      <x:c r="I30" s="32" t="n">
        <x:v>-531118.8025289072</x:v>
      </x:c>
      <x:c r="J30" s="32" t="n">
        <x:v>-514208.94198657444</x:v>
      </x:c>
      <x:c r="K30" s="32" t="n">
        <x:v>-15000</x:v>
      </x:c>
      <x:c r="L30" s="32" t="n">
        <x:v>0</x:v>
      </x:c>
      <x:c r="M30" s="32" t="n">
        <x:v>-529208.9419865744</x:v>
      </x:c>
      <x:c r="N30" s="32" t="n">
        <x:v>13616647.268693652</x:v>
      </x:c>
      <x:c r="O30" s="32" t="n">
        <x:v>125116.1848514073</x:v>
      </x:c>
    </x:row>
    <x:row r="31">
      <x:c r="A31" s="33" t="n">
        <x:v>45717</x:v>
      </x:c>
      <x:c r="B31" s="32" t="n">
        <x:v>285231.97205504996</x:v>
      </x:c>
      <x:c r="C31" s="32" t="n">
        <x:v>57632.75825424839</x:v>
      </x:c>
      <x:c r="D31" s="32" t="n">
        <x:v>227599.21380080158</x:v>
      </x:c>
      <x:c r="E31" s="32" t="n">
        <x:v>495828.3333333333</x:v>
      </x:c>
      <x:c r="F31" s="32" t="n">
        <x:v>263464.18</x:v>
      </x:c>
      <x:c r="G31" s="32" t="n">
        <x:v>-531693.2995325318</x:v>
      </x:c>
      <x:c r="H31" s="32" t="n">
        <x:v>14250</x:v>
      </x:c>
      <x:c r="I31" s="32" t="n">
        <x:v>-545943.2995325318</x:v>
      </x:c>
      <x:c r="J31" s="32" t="n">
        <x:v>-528947.9418015019</x:v>
      </x:c>
      <x:c r="K31" s="32" t="n">
        <x:v>-15000</x:v>
      </x:c>
      <x:c r="L31" s="32" t="n">
        <x:v>0</x:v>
      </x:c>
      <x:c r="M31" s="32" t="n">
        <x:v>-543947.9418015019</x:v>
      </x:c>
      <x:c r="N31" s="32" t="n">
        <x:v>13085293.296948468</x:v>
      </x:c>
      <x:c r="O31" s="32" t="n">
        <x:v>132246.98415278358</x:v>
      </x:c>
    </x:row>
    <x:row r="32">
      <x:c r="A32" s="33" t="n">
        <x:v>45748</x:v>
      </x:c>
      <x:c r="B32" s="32" t="n">
        <x:v>292685.80627169996</x:v>
      </x:c>
      <x:c r="C32" s="32" t="n">
        <x:v>57182.55781998742</x:v>
      </x:c>
      <x:c r="D32" s="32" t="n">
        <x:v>235503.24845171254</x:v>
      </x:c>
      <x:c r="E32" s="32" t="n">
        <x:v>507092.99999999994</x:v>
      </x:c>
      <x:c r="F32" s="32" t="n">
        <x:v>265889.16000000003</x:v>
      </x:c>
      <x:c r="G32" s="32" t="n">
        <x:v>-537478.9115482874</x:v>
      </x:c>
      <x:c r="H32" s="32" t="n">
        <x:v>14250</x:v>
      </x:c>
      <x:c r="I32" s="32" t="n">
        <x:v>-551728.9115482874</x:v>
      </x:c>
      <x:c r="J32" s="32" t="n">
        <x:v>-534661.8106629222</x:v>
      </x:c>
      <x:c r="K32" s="32" t="n">
        <x:v>-15000</x:v>
      </x:c>
      <x:c r="L32" s="32" t="n">
        <x:v>0</x:v>
      </x:c>
      <x:c r="M32" s="32" t="n">
        <x:v>-549661.8106629222</x:v>
      </x:c>
      <x:c r="N32" s="32" t="n">
        <x:v>12546129.143280078</x:v>
      </x:c>
      <x:c r="O32" s="32" t="n">
        <x:v>139564.12930957606</x:v>
      </x:c>
    </x:row>
    <x:row r="33">
      <x:c r="A33" s="33" t="n">
        <x:v>45778</x:v>
      </x:c>
      <x:c r="B33" s="32" t="n">
        <x:v>302385.50869229995</x:v>
      </x:c>
      <x:c r="C33" s="32" t="n">
        <x:v>60132.05305201214</x:v>
      </x:c>
      <x:c r="D33" s="32" t="n">
        <x:v>242253.4556402878</x:v>
      </x:c>
      <x:c r="E33" s="32" t="n">
        <x:v>507092.99999999994</x:v>
      </x:c>
      <x:c r="F33" s="32" t="n">
        <x:v>272099.93</x:v>
      </x:c>
      <x:c r="G33" s="32" t="n">
        <x:v>-536939.4743597121</x:v>
      </x:c>
      <x:c r="H33" s="32" t="n">
        <x:v>14250</x:v>
      </x:c>
      <x:c r="I33" s="32" t="n">
        <x:v>-551189.4743597121</x:v>
      </x:c>
      <x:c r="J33" s="32" t="n">
        <x:v>-534029.0138385487</x:v>
      </x:c>
      <x:c r="K33" s="32" t="n">
        <x:v>-15000</x:v>
      </x:c>
      <x:c r="L33" s="32" t="n">
        <x:v>0</x:v>
      </x:c>
      <x:c r="M33" s="32" t="n">
        <x:v>-549029.0138385487</x:v>
      </x:c>
      <x:c r="N33" s="32" t="n">
        <x:v>12012544.533286072</x:v>
      </x:c>
      <x:c r="O33" s="32" t="n">
        <x:v>147123.76702688355</x:v>
      </x:c>
    </x:row>
    <x:row r="34">
      <x:c r="A34" s="33" t="n">
        <x:v>45809</x:v>
      </x:c>
      <x:c r="B34" s="32" t="n">
        <x:v>310550.16925484996</x:v>
      </x:c>
      <x:c r="C34" s="32" t="n">
        <x:v>57409.99841763445</x:v>
      </x:c>
      <x:c r="D34" s="32" t="n">
        <x:v>253140.1708372155</x:v>
      </x:c>
      <x:c r="E34" s="32" t="n">
        <x:v>507092.99999999994</x:v>
      </x:c>
      <x:c r="F34" s="32" t="n">
        <x:v>274695.89999999997</x:v>
      </x:c>
      <x:c r="G34" s="32" t="n">
        <x:v>-528648.7291627844</x:v>
      </x:c>
      <x:c r="H34" s="32" t="n">
        <x:v>14250</x:v>
      </x:c>
      <x:c r="I34" s="32" t="n">
        <x:v>-542898.7291627844</x:v>
      </x:c>
      <x:c r="J34" s="32" t="n">
        <x:v>-525659.6837837065</x:v>
      </x:c>
      <x:c r="K34" s="32" t="n">
        <x:v>-15000</x:v>
      </x:c>
      <x:c r="L34" s="32" t="n">
        <x:v>0</x:v>
      </x:c>
      <x:c r="M34" s="32" t="n">
        <x:v>-540659.6837837065</x:v>
      </x:c>
      <x:c r="N34" s="32" t="n">
        <x:v>11483863.9003825</x:v>
      </x:c>
      <x:c r="O34" s="32" t="n">
        <x:v>154887.52125825483</x:v>
      </x:c>
    </x:row>
    <x:row r="35">
      <x:c r="A35" s="33" t="n">
        <x:v>45839</x:v>
      </x:c>
      <x:c r="B35" s="32" t="n">
        <x:v>318881.0710826999</x:v>
      </x:c>
      <x:c r="C35" s="32" t="n">
        <x:v>58245.55772189688</x:v>
      </x:c>
      <x:c r="D35" s="32" t="n">
        <x:v>260635.51336080304</x:v>
      </x:c>
      <x:c r="E35" s="32" t="n">
        <x:v>507092.99999999994</x:v>
      </x:c>
      <x:c r="F35" s="32" t="n">
        <x:v>271421.79</x:v>
      </x:c>
      <x:c r="G35" s="32" t="n">
        <x:v>-517879.2766391969</x:v>
      </x:c>
      <x:c r="H35" s="32" t="n">
        <x:v>18750</x:v>
      </x:c>
      <x:c r="I35" s="32" t="n">
        <x:v>-536629.2766391969</x:v>
      </x:c>
      <x:c r="J35" s="32" t="n">
        <x:v>-514810.0463300259</x:v>
      </x:c>
      <x:c r="K35" s="32" t="n">
        <x:v>-45000</x:v>
      </x:c>
      <x:c r="L35" s="32" t="n">
        <x:v>0</x:v>
      </x:c>
      <x:c r="M35" s="32" t="n">
        <x:v>-559810.0463300259</x:v>
      </x:c>
      <x:c r="N35" s="32" t="n">
        <x:v>10930268.772243818</x:v>
      </x:c>
      <x:c r="O35" s="32" t="n">
        <x:v>162859.54803532234</x:v>
      </x:c>
    </x:row>
    <x:row r="36">
      <x:c r="A36" s="33" t="n">
        <x:v>45870</x:v>
      </x:c>
      <x:c r="B36" s="32" t="n">
        <x:v>326734.9157115</x:v>
      </x:c>
      <x:c r="C36" s="32" t="n">
        <x:v>61102.39245182915</x:v>
      </x:c>
      <x:c r="D36" s="32" t="n">
        <x:v>265632.5232596708</x:v>
      </x:c>
      <x:c r="E36" s="32" t="n">
        <x:v>507092.99999999994</x:v>
      </x:c>
      <x:c r="F36" s="32" t="n">
        <x:v>271270.20999999996</x:v>
      </x:c>
      <x:c r="G36" s="32" t="n">
        <x:v>-512730.6867403291</x:v>
      </x:c>
      <x:c r="H36" s="32" t="n">
        <x:v>14250</x:v>
      </x:c>
      <x:c r="I36" s="32" t="n">
        <x:v>-526980.686740329</x:v>
      </x:c>
      <x:c r="J36" s="32" t="n">
        <x:v>-509585.8631766059</x:v>
      </x:c>
      <x:c r="K36" s="32" t="n">
        <x:v>-15000</x:v>
      </x:c>
      <x:c r="L36" s="32" t="n">
        <x:v>0</x:v>
      </x:c>
      <x:c r="M36" s="32" t="n">
        <x:v>-524585.8631766059</x:v>
      </x:c>
      <x:c r="N36" s="32" t="n">
        <x:v>10411140.21986861</x:v>
      </x:c>
      <x:c r="O36" s="32" t="n">
        <x:v>171027.92092810984</x:v>
      </x:c>
    </x:row>
    <x:row r="37">
      <x:c r="A37" s="33" t="n">
        <x:v>45901</x:v>
      </x:c>
      <x:c r="B37" s="32" t="n">
        <x:v>332961.9959128499</x:v>
      </x:c>
      <x:c r="C37" s="32" t="n">
        <x:v>60328.31107432355</x:v>
      </x:c>
      <x:c r="D37" s="32" t="n">
        <x:v>272633.68483852636</x:v>
      </x:c>
      <x:c r="E37" s="32" t="n">
        <x:v>530537.3333333333</x:v>
      </x:c>
      <x:c r="F37" s="32" t="n">
        <x:v>288454.13</x:v>
      </x:c>
      <x:c r="G37" s="32" t="n">
        <x:v>-546357.778494807</x:v>
      </x:c>
      <x:c r="H37" s="32" t="n">
        <x:v>14250</x:v>
      </x:c>
      <x:c r="I37" s="32" t="n">
        <x:v>-560607.778494807</x:v>
      </x:c>
      <x:c r="J37" s="32" t="n">
        <x:v>-543153.0192841459</x:v>
      </x:c>
      <x:c r="K37" s="32" t="n">
        <x:v>-15000</x:v>
      </x:c>
      <x:c r="L37" s="32" t="n">
        <x:v>0</x:v>
      </x:c>
      <x:c r="M37" s="32" t="n">
        <x:v>-558153.0192841459</x:v>
      </x:c>
      <x:c r="N37" s="32" t="n">
        <x:v>9871315.169191988</x:v>
      </x:c>
      <x:c r="O37" s="32" t="n">
        <x:v>179351.97082593106</x:v>
      </x:c>
    </x:row>
    <x:row r="38">
      <x:c r="A38" s="33" t="n">
        <x:v>45931</x:v>
      </x:c>
      <x:c r="B38" s="32" t="n">
        <x:v>339885.57375449996</x:v>
      </x:c>
      <x:c r="C38" s="32" t="n">
        <x:v>58758.416916319715</x:v>
      </x:c>
      <x:c r="D38" s="32" t="n">
        <x:v>281127.15683818026</x:v>
      </x:c>
      <x:c r="E38" s="32" t="n">
        <x:v>530537.3333333333</x:v>
      </x:c>
      <x:c r="F38" s="32" t="n">
        <x:v>274239.04000000004</x:v>
      </x:c>
      <x:c r="G38" s="32" t="n">
        <x:v>-523649.216495153</x:v>
      </x:c>
      <x:c r="H38" s="32" t="n">
        <x:v>14250</x:v>
      </x:c>
      <x:c r="I38" s="32" t="n">
        <x:v>-537899.216495153</x:v>
      </x:c>
      <x:c r="J38" s="32" t="n">
        <x:v>-520377.817847766</x:v>
      </x:c>
      <x:c r="K38" s="32" t="n">
        <x:v>-15000</x:v>
      </x:c>
      <x:c r="L38" s="32" t="n">
        <x:v>0</x:v>
      </x:c>
      <x:c r="M38" s="32" t="n">
        <x:v>-535377.817847766</x:v>
      </x:c>
      <x:c r="N38" s="32" t="n">
        <x:v>9334013.10692981</x:v>
      </x:c>
      <x:c r="O38" s="32" t="n">
        <x:v>187849.11016979354</x:v>
      </x:c>
    </x:row>
    <x:row r="39">
      <x:c r="A39" s="33" t="n">
        <x:v>45962</x:v>
      </x:c>
      <x:c r="B39" s="32" t="n">
        <x:v>347127.30542114994</x:v>
      </x:c>
      <x:c r="C39" s="32" t="n">
        <x:v>64005.65341131413</x:v>
      </x:c>
      <x:c r="D39" s="32" t="n">
        <x:v>283121.6520098358</x:v>
      </x:c>
      <x:c r="E39" s="32" t="n">
        <x:v>530537.3333333333</x:v>
      </x:c>
      <x:c r="F39" s="32" t="n">
        <x:v>288801.19</x:v>
      </x:c>
      <x:c r="G39" s="32" t="n">
        <x:v>-536216.8713234975</x:v>
      </x:c>
      <x:c r="H39" s="32" t="n">
        <x:v>14250</x:v>
      </x:c>
      <x:c r="I39" s="32" t="n">
        <x:v>-550466.8713234975</x:v>
      </x:c>
      <x:c r="J39" s="32" t="n">
        <x:v>-532875.7710088189</x:v>
      </x:c>
      <x:c r="K39" s="32" t="n">
        <x:v>-15000</x:v>
      </x:c>
      <x:c r="L39" s="32" t="n">
        <x:v>0</x:v>
      </x:c>
      <x:c r="M39" s="32" t="n">
        <x:v>-547875.7710088189</x:v>
      </x:c>
      <x:c r="N39" s="32" t="n">
        <x:v>8798797.760209294</x:v>
      </x:c>
      <x:c r="O39" s="32" t="n">
        <x:v>196527.29280532227</x:v>
      </x:c>
    </x:row>
    <x:row r="40">
      <x:c r="A40" s="33" t="n">
        <x:v>45992</x:v>
      </x:c>
      <x:c r="B40" s="32" t="n">
        <x:v>352597.6979919</x:v>
      </x:c>
      <x:c r="C40" s="32" t="n">
        <x:v>66573.96621426764</x:v>
      </x:c>
      <x:c r="D40" s="32" t="n">
        <x:v>286023.7317776323</x:v>
      </x:c>
      <x:c r="E40" s="32" t="n">
        <x:v>548359.5</x:v>
      </x:c>
      <x:c r="F40" s="32" t="n">
        <x:v>284873.48000000004</x:v>
      </x:c>
      <x:c r="G40" s="32" t="n">
        <x:v>-547209.2482223677</x:v>
      </x:c>
      <x:c r="H40" s="32" t="n">
        <x:v>14250</x:v>
      </x:c>
      <x:c r="I40" s="32" t="n">
        <x:v>-561459.2482223677</x:v>
      </x:c>
      <x:c r="J40" s="32" t="n">
        <x:v>-543815.4953791957</x:v>
      </x:c>
      <x:c r="K40" s="32" t="n">
        <x:v>-15000</x:v>
      </x:c>
      <x:c r="L40" s="32" t="n">
        <x:v>0</x:v>
      </x:c>
      <x:c r="M40" s="32" t="n">
        <x:v>-558815.4953791957</x:v>
      </x:c>
      <x:c r="N40" s="32" t="n">
        <x:v>8246193.655582733</x:v>
      </x:c>
      <x:c r="O40" s="32" t="n">
        <x:v>205342.2352551198</x:v>
      </x:c>
    </x:row>
    <x:row r="41">
      <x:c r="A41" s="33" t="n">
        <x:v>46023</x:v>
      </x:c>
      <x:c r="B41" s="32" t="n">
        <x:v>374047.61952160567</x:v>
      </x:c>
      <x:c r="C41" s="32" t="n">
        <x:v>72953.55595520242</x:v>
      </x:c>
      <x:c r="D41" s="32" t="n">
        <x:v>301094.06356640323</x:v>
      </x:c>
      <x:c r="E41" s="32" t="n">
        <x:v>569485.8333333334</x:v>
      </x:c>
      <x:c r="F41" s="32" t="n">
        <x:v>294425.93</x:v>
      </x:c>
      <x:c r="G41" s="32" t="n">
        <x:v>-562817.6997669302</x:v>
      </x:c>
      <x:c r="H41" s="32" t="n">
        <x:v>18750</x:v>
      </x:c>
      <x:c r="I41" s="32" t="n">
        <x:v>-581567.6997669302</x:v>
      </x:c>
      <x:c r="J41" s="32" t="n">
        <x:v>-559217.4914290346</x:v>
      </x:c>
      <x:c r="K41" s="32" t="n">
        <x:v>-45000</x:v>
      </x:c>
      <x:c r="L41" s="32" t="n">
        <x:v>0</x:v>
      </x:c>
      <x:c r="M41" s="32" t="n">
        <x:v>-604217.4914290346</x:v>
      </x:c>
      <x:c r="N41" s="32" t="n">
        <x:v>7653894.723583814</x:v>
      </x:c>
      <x:c r="O41" s="32" t="n">
        <x:v>214693.42574315995</x:v>
      </x:c>
    </x:row>
    <x:row r="42">
      <x:c r="A42" s="33" t="n">
        <x:v>46054</x:v>
      </x:c>
      <x:c r="B42" s="32" t="n">
        <x:v>386139.67363043316</x:v>
      </x:c>
      <x:c r="C42" s="32" t="n">
        <x:v>75556.90952178548</x:v>
      </x:c>
      <x:c r="D42" s="32" t="n">
        <x:v>310582.7641086477</x:v>
      </x:c>
      <x:c r="E42" s="32" t="n">
        <x:v>597251</x:v>
      </x:c>
      <x:c r="F42" s="32" t="n">
        <x:v>286002.16000000003</x:v>
      </x:c>
      <x:c r="G42" s="32" t="n">
        <x:v>-572670.3958913523</x:v>
      </x:c>
      <x:c r="H42" s="32" t="n">
        <x:v>14250</x:v>
      </x:c>
      <x:c r="I42" s="32" t="n">
        <x:v>-586920.3958913523</x:v>
      </x:c>
      <x:c r="J42" s="32" t="n">
        <x:v>-568953.8015326594</x:v>
      </x:c>
      <x:c r="K42" s="32" t="n">
        <x:v>-15000</x:v>
      </x:c>
      <x:c r="L42" s="32" t="n">
        <x:v>0</x:v>
      </x:c>
      <x:c r="M42" s="32" t="n">
        <x:v>-583953.8015326594</x:v>
      </x:c>
      <x:c r="N42" s="32" t="n">
        <x:v>7069075.5450902805</x:v>
      </x:c>
      <x:c r="O42" s="32" t="n">
        <x:v>224346.91758392076</x:v>
      </x:c>
    </x:row>
    <x:row r="43">
      <x:c r="A43" s="33" t="n">
        <x:v>46082</x:v>
      </x:c>
      <x:c r="B43" s="32" t="n">
        <x:v>397181.56347267516</x:v>
      </x:c>
      <x:c r="C43" s="32" t="n">
        <x:v>76160.40880132568</x:v>
      </x:c>
      <x:c r="D43" s="32" t="n">
        <x:v>321021.15467134945</x:v>
      </x:c>
      <x:c r="E43" s="32" t="n">
        <x:v>619241.5</x:v>
      </x:c>
      <x:c r="F43" s="32" t="n">
        <x:v>313887.57</x:v>
      </x:c>
      <x:c r="G43" s="32" t="n">
        <x:v>-612107.9153286505</x:v>
      </x:c>
      <x:c r="H43" s="32" t="n">
        <x:v>14250</x:v>
      </x:c>
      <x:c r="I43" s="32" t="n">
        <x:v>-626357.9153286505</x:v>
      </x:c>
      <x:c r="J43" s="32" t="n">
        <x:v>-608285.0427802261</x:v>
      </x:c>
      <x:c r="K43" s="32" t="n">
        <x:v>-15000</x:v>
      </x:c>
      <x:c r="L43" s="32" t="n">
        <x:v>0</x:v>
      </x:c>
      <x:c r="M43" s="32" t="n">
        <x:v>-623285.0427802261</x:v>
      </x:c>
      <x:c r="N43" s="32" t="n">
        <x:v>6467457.778995366</x:v>
      </x:c>
      <x:c r="O43" s="32" t="n">
        <x:v>234276.45667073765</x:v>
      </x:c>
    </x:row>
    <x:row r="44">
      <x:c r="A44" s="33" t="n">
        <x:v>46113</x:v>
      </x:c>
      <x:c r="B44" s="32" t="n">
        <x:v>410448.3751280091</x:v>
      </x:c>
      <x:c r="C44" s="32" t="n">
        <x:v>81793.57675865221</x:v>
      </x:c>
      <x:c r="D44" s="32" t="n">
        <x:v>328654.7983693569</x:v>
      </x:c>
      <x:c r="E44" s="32" t="n">
        <x:v>629245.5</x:v>
      </x:c>
      <x:c r="F44" s="32" t="n">
        <x:v>290675.31</x:v>
      </x:c>
      <x:c r="G44" s="32" t="n">
        <x:v>-591266.0116306432</x:v>
      </x:c>
      <x:c r="H44" s="32" t="n">
        <x:v>14250</x:v>
      </x:c>
      <x:c r="I44" s="32" t="n">
        <x:v>-605516.0116306432</x:v>
      </x:c>
      <x:c r="J44" s="32" t="n">
        <x:v>-587315.4460200362</x:v>
      </x:c>
      <x:c r="K44" s="32" t="n">
        <x:v>-15000</x:v>
      </x:c>
      <x:c r="L44" s="32" t="n">
        <x:v>0</x:v>
      </x:c>
      <x:c r="M44" s="32" t="n">
        <x:v>-602315.4460200362</x:v>
      </x:c>
      <x:c r="N44" s="32" t="n">
        <x:v>5863410.23309063</x:v>
      </x:c>
      <x:c r="O44" s="32" t="n">
        <x:v>244537.66604893783</x:v>
      </x:c>
    </x:row>
    <x:row r="45">
      <x:c r="A45" s="33" t="n">
        <x:v>46143</x:v>
      </x:c>
      <x:c r="B45" s="32" t="n">
        <x:v>420574.9052752154</x:v>
      </x:c>
      <x:c r="C45" s="32" t="n">
        <x:v>80910.06566867138</x:v>
      </x:c>
      <x:c r="D45" s="32" t="n">
        <x:v>339664.839606544</x:v>
      </x:c>
      <x:c r="E45" s="32" t="n">
        <x:v>652232.3333333334</x:v>
      </x:c>
      <x:c r="F45" s="32" t="n">
        <x:v>307979.79</x:v>
      </x:c>
      <x:c r="G45" s="32" t="n">
        <x:v>-620547.2837267893</x:v>
      </x:c>
      <x:c r="H45" s="32" t="n">
        <x:v>14250</x:v>
      </x:c>
      <x:c r="I45" s="32" t="n">
        <x:v>-634797.2837267893</x:v>
      </x:c>
      <x:c r="J45" s="32" t="n">
        <x:v>-616499.2502635153</x:v>
      </x:c>
      <x:c r="K45" s="32" t="n">
        <x:v>-15000</x:v>
      </x:c>
      <x:c r="L45" s="32" t="n">
        <x:v>0</x:v>
      </x:c>
      <x:c r="M45" s="32" t="n">
        <x:v>-631499.2502635153</x:v>
      </x:c>
      <x:c r="N45" s="32" t="n">
        <x:v>5242595.16340912</x:v>
      </x:c>
      <x:c r="O45" s="32" t="n">
        <x:v>255052.03868081822</x:v>
      </x:c>
    </x:row>
    <x:row r="46">
      <x:c r="A46" s="33" t="n">
        <x:v>46174</x:v>
      </x:c>
      <x:c r="B46" s="32" t="n">
        <x:v>430357.31600325066</x:v>
      </x:c>
      <x:c r="C46" s="32" t="n">
        <x:v>83214.33114170936</x:v>
      </x:c>
      <x:c r="D46" s="32" t="n">
        <x:v>347142.9848615413</x:v>
      </x:c>
      <x:c r="E46" s="32" t="n">
        <x:v>666130.1666666667</x:v>
      </x:c>
      <x:c r="F46" s="32" t="n">
        <x:v>295398.17</x:v>
      </x:c>
      <x:c r="G46" s="32" t="n">
        <x:v>-614385.3518051254</x:v>
      </x:c>
      <x:c r="H46" s="32" t="n">
        <x:v>14250</x:v>
      </x:c>
      <x:c r="I46" s="32" t="n">
        <x:v>-628635.3518051254</x:v>
      </x:c>
      <x:c r="J46" s="32" t="n">
        <x:v>-610243.162638594</x:v>
      </x:c>
      <x:c r="K46" s="32" t="n">
        <x:v>-15000</x:v>
      </x:c>
      <x:c r="L46" s="32" t="n">
        <x:v>0</x:v>
      </x:c>
      <x:c r="M46" s="32" t="n">
        <x:v>-625243.162638594</x:v>
      </x:c>
      <x:c r="N46" s="32" t="n">
        <x:v>4614383.332705087</x:v>
      </x:c>
      <x:c r="O46" s="32" t="n">
        <x:v>265810.9715808995</x:v>
      </x:c>
    </x:row>
    <x:row r="47">
      <x:c r="A47" s="33" t="n">
        <x:v>46204</x:v>
      </x:c>
      <x:c r="B47" s="32" t="n">
        <x:v>440593.60922008194</x:v>
      </x:c>
      <x:c r="C47" s="32" t="n">
        <x:v>81950.41131493523</x:v>
      </x:c>
      <x:c r="D47" s="32" t="n">
        <x:v>358643.1979051467</x:v>
      </x:c>
      <x:c r="E47" s="32" t="n">
        <x:v>666130.1666666667</x:v>
      </x:c>
      <x:c r="F47" s="32" t="n">
        <x:v>298828.27</x:v>
      </x:c>
      <x:c r="G47" s="32" t="n">
        <x:v>-606315.23876152</x:v>
      </x:c>
      <x:c r="H47" s="32" t="n">
        <x:v>18750</x:v>
      </x:c>
      <x:c r="I47" s="32" t="n">
        <x:v>-625065.23876152</x:v>
      </x:c>
      <x:c r="J47" s="32" t="n">
        <x:v>-602074.5252727767</x:v>
      </x:c>
      <x:c r="K47" s="32" t="n">
        <x:v>-45000</x:v>
      </x:c>
      <x:c r="L47" s="32" t="n">
        <x:v>0</x:v>
      </x:c>
      <x:c r="M47" s="32" t="n">
        <x:v>-647074.5252727767</x:v>
      </x:c>
      <x:c r="N47" s="32" t="n">
        <x:v>3963068.093943567</x:v>
      </x:c>
      <x:c r="O47" s="32" t="n">
        <x:v>276825.81181140157</x:v>
      </x:c>
    </x:row>
    <x:row r="48">
      <x:c r="A48" s="33" t="n">
        <x:v>46235</x:v>
      </x:c>
      <x:c r="B48" s="32" t="n">
        <x:v>449936.96766961715</x:v>
      </x:c>
      <x:c r="C48" s="32" t="n">
        <x:v>82370.76910439825</x:v>
      </x:c>
      <x:c r="D48" s="32" t="n">
        <x:v>367566.1985652189</x:v>
      </x:c>
      <x:c r="E48" s="32" t="n">
        <x:v>666130.1666666667</x:v>
      </x:c>
      <x:c r="F48" s="32" t="n">
        <x:v>301882.75</x:v>
      </x:c>
      <x:c r="G48" s="32" t="n">
        <x:v>-600446.7181014479</x:v>
      </x:c>
      <x:c r="H48" s="32" t="n">
        <x:v>14250</x:v>
      </x:c>
      <x:c r="I48" s="32" t="n">
        <x:v>-614696.7181014479</x:v>
      </x:c>
      <x:c r="J48" s="32" t="n">
        <x:v>-596116.0747876279</x:v>
      </x:c>
      <x:c r="K48" s="32" t="n">
        <x:v>-15000</x:v>
      </x:c>
      <x:c r="L48" s="32" t="n">
        <x:v>0</x:v>
      </x:c>
      <x:c r="M48" s="32" t="n">
        <x:v>-611116.0747876279</x:v>
      </x:c>
      <x:c r="N48" s="32" t="n">
        <x:v>3347621.375842119</x:v>
      </x:c>
      <x:c r="O48" s="32" t="n">
        <x:v>288074.236003142</x:v>
      </x:c>
    </x:row>
    <x:row r="49">
      <x:c r="A49" s="33" t="n">
        <x:v>46266</x:v>
      </x:c>
      <x:c r="B49" s="32" t="n">
        <x:v>459060.7999799024</x:v>
      </x:c>
      <x:c r="C49" s="32" t="n">
        <x:v>83549.06559634223</x:v>
      </x:c>
      <x:c r="D49" s="32" t="n">
        <x:v>375511.73438356014</x:v>
      </x:c>
      <x:c r="E49" s="32" t="n">
        <x:v>666130.1666666667</x:v>
      </x:c>
      <x:c r="F49" s="32" t="n">
        <x:v>304911.99</x:v>
      </x:c>
      <x:c r="G49" s="32" t="n">
        <x:v>-595530.4222831066</x:v>
      </x:c>
      <x:c r="H49" s="32" t="n">
        <x:v>14250</x:v>
      </x:c>
      <x:c r="I49" s="32" t="n">
        <x:v>-609780.4222831066</x:v>
      </x:c>
      <x:c r="J49" s="32" t="n">
        <x:v>-591111.9620833001</x:v>
      </x:c>
      <x:c r="K49" s="32" t="n">
        <x:v>-15000</x:v>
      </x:c>
      <x:c r="L49" s="32" t="n">
        <x:v>0</x:v>
      </x:c>
      <x:c r="M49" s="32" t="n">
        <x:v>-606111.9620833001</x:v>
      </x:c>
      <x:c r="N49" s="32" t="n">
        <x:v>2737090.9535590126</x:v>
      </x:c>
      <x:c r="O49" s="32" t="n">
        <x:v>299550.75600263954</x:v>
      </x:c>
    </x:row>
    <x:row r="50">
      <x:c r="A50" s="33" t="n">
        <x:v>46296</x:v>
      </x:c>
      <x:c r="B50" s="32" t="n">
        <x:v>468184.63229018764</x:v>
      </x:c>
      <x:c r="C50" s="32" t="n">
        <x:v>85711.40185333742</x:v>
      </x:c>
      <x:c r="D50" s="32" t="n">
        <x:v>382473.2304368502</x:v>
      </x:c>
      <x:c r="E50" s="32" t="n">
        <x:v>666130.1666666667</x:v>
      </x:c>
      <x:c r="F50" s="32" t="n">
        <x:v>307941.23</x:v>
      </x:c>
      <x:c r="G50" s="32" t="n">
        <x:v>-591598.1662298165</x:v>
      </x:c>
      <x:c r="H50" s="32" t="n">
        <x:v>14250</x:v>
      </x:c>
      <x:c r="I50" s="32" t="n">
        <x:v>-605848.1662298165</x:v>
      </x:c>
      <x:c r="J50" s="32" t="n">
        <x:v>-587091.8891440234</x:v>
      </x:c>
      <x:c r="K50" s="32" t="n">
        <x:v>-15000</x:v>
      </x:c>
      <x:c r="L50" s="32" t="n">
        <x:v>0</x:v>
      </x:c>
      <x:c r="M50" s="32" t="n">
        <x:v>-602091.8891440234</x:v>
      </x:c>
      <x:c r="N50" s="32" t="n">
        <x:v>2130492.787329196</x:v>
      </x:c>
      <x:c r="O50" s="32" t="n">
        <x:v>311255.3718098942</x:v>
      </x:c>
    </x:row>
    <x:row r="51">
      <x:c r="A51" s="33" t="n">
        <x:v>46327</x:v>
      </x:c>
      <x:c r="B51" s="32" t="n">
        <x:v>477809.81351893337</x:v>
      </x:c>
      <x:c r="C51" s="32" t="n">
        <x:v>88872.6253145216</x:v>
      </x:c>
      <x:c r="D51" s="32" t="n">
        <x:v>388937.18820441177</x:v>
      </x:c>
      <x:c r="E51" s="32" t="n">
        <x:v>666130.1666666667</x:v>
      </x:c>
      <x:c r="F51" s="32" t="n">
        <x:v>311028.13</x:v>
      </x:c>
      <x:c r="G51" s="32" t="n">
        <x:v>-588221.108462255</x:v>
      </x:c>
      <x:c r="H51" s="32" t="n">
        <x:v>14250</x:v>
      </x:c>
      <x:c r="I51" s="32" t="n">
        <x:v>-602471.108462255</x:v>
      </x:c>
      <x:c r="J51" s="32" t="n">
        <x:v>-583622.1890071352</x:v>
      </x:c>
      <x:c r="K51" s="32" t="n">
        <x:v>-15000</x:v>
      </x:c>
      <x:c r="L51" s="32" t="n">
        <x:v>0</x:v>
      </x:c>
      <x:c r="M51" s="32" t="n">
        <x:v>-598622.1890071352</x:v>
      </x:c>
      <x:c r="N51" s="32" t="n">
        <x:v>1527271.678866941</x:v>
      </x:c>
      <x:c r="O51" s="32" t="n">
        <x:v>323200.61714786757</x:v>
      </x:c>
    </x:row>
    <x:row r="52">
      <x:c r="A52" s="33" t="n">
        <x:v>46357</x:v>
      </x:c>
      <x:c r="B52" s="32" t="n">
        <x:v>487936.34366613964</x:v>
      </x:c>
      <x:c r="C52" s="32" t="n">
        <x:v>92707.90529656653</x:v>
      </x:c>
      <x:c r="D52" s="32" t="n">
        <x:v>395228.4383695731</x:v>
      </x:c>
      <x:c r="E52" s="32" t="n">
        <x:v>666130.1666666667</x:v>
      </x:c>
      <x:c r="F52" s="32" t="n">
        <x:v>314172.68</x:v>
      </x:c>
      <x:c r="G52" s="32" t="n">
        <x:v>-585074.4082970936</x:v>
      </x:c>
      <x:c r="H52" s="32" t="n">
        <x:v>14250</x:v>
      </x:c>
      <x:c r="I52" s="32" t="n">
        <x:v>-599324.4082970936</x:v>
      </x:c>
      <x:c r="J52" s="32" t="n">
        <x:v>-580378.020989307</x:v>
      </x:c>
      <x:c r="K52" s="32" t="n">
        <x:v>-15000</x:v>
      </x:c>
      <x:c r="L52" s="32" t="n">
        <x:v>0</x:v>
      </x:c>
      <x:c r="M52" s="32" t="n">
        <x:v>-595378.020989307</x:v>
      </x:c>
      <x:c r="N52" s="32" t="n">
        <x:v>927197.2705698474</x:v>
      </x:c>
      <x:c r="O52" s="32" t="n">
        <x:v>335399.0257395211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24" t="str">
        <x:v>Scenario comparison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Six-month outlook from July to December 2026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Scenario</x:v>
      </x:c>
      <x:c r="B4" s="27" t="str">
        <x:v>Growth</x:v>
      </x:c>
      <x:c r="C4" s="27" t="str">
        <x:v>Churn</x:v>
      </x:c>
      <x:c r="D4" s="27" t="str">
        <x:v>Price</x:v>
      </x:c>
      <x:c r="E4" s="27" t="str">
        <x:v>Hiring</x:v>
      </x:c>
      <x:c r="F4" s="27" t="str">
        <x:v>Marketing</x:v>
      </x:c>
      <x:c r="G4" s="27" t="str">
        <x:v>Cloud cost</x:v>
      </x:c>
      <x:c r="H4" s="27" t="str">
        <x:v>Dec-26 ending cash</x:v>
      </x:c>
      <x:c r="I4" s="31"/>
      <x:c r="J4" s="31"/>
      <x:c r="K4" s="31"/>
      <x:c r="L4" s="31"/>
    </x:row>
    <x:row r="5">
      <x:c r="A5" s="31" t="str">
        <x:v>Base</x:v>
      </x:c>
      <x:c r="B5" s="42" t="n">
        <x:v>0.045</x:v>
      </x:c>
      <x:c r="C5" s="42" t="n">
        <x:v>0.018</x:v>
      </x:c>
      <x:c r="D5" s="43" t="n">
        <x:v>1</x:v>
      </x:c>
      <x:c r="E5" s="43" t="n">
        <x:v>1</x:v>
      </x:c>
      <x:c r="F5" s="43" t="n">
        <x:v>1</x:v>
      </x:c>
      <x:c r="G5" s="43" t="n">
        <x:v>1</x:v>
      </x:c>
      <x:c r="H5" s="32" t="n">
        <x:f>'Cash Flow'!H46 + SUM('Cash Flow'!G47:G52) + ('Revenue Model'!F46*6*(B5-C5)*D5) - (SUM('Headcount'!H215:H240)*(E5-1)) - (SUMIFS('Expense Model'!E:E,'Expense Model'!B:B,"Marketing")*(F5-1)) - (SUMIFS('Expense Model'!E:E,'Expense Model'!B:B,"Cloud &amp; API")*(G5-1))</x:f>
        <x:v>996915.1557623745</x:v>
      </x:c>
      <x:c r="I5" s="31"/>
      <x:c r="J5" s="31"/>
      <x:c r="K5" s="31"/>
      <x:c r="L5" s="31"/>
    </x:row>
    <x:row r="6">
      <x:c r="A6" s="31" t="str">
        <x:v>Upside</x:v>
      </x:c>
      <x:c r="B6" s="42" t="n">
        <x:v>0.06</x:v>
      </x:c>
      <x:c r="C6" s="42" t="n">
        <x:v>0.014</x:v>
      </x:c>
      <x:c r="D6" s="43" t="n">
        <x:v>1.04</x:v>
      </x:c>
      <x:c r="E6" s="43" t="n">
        <x:v>1.1</x:v>
      </x:c>
      <x:c r="F6" s="43" t="n">
        <x:v>1.12</x:v>
      </x:c>
      <x:c r="G6" s="43" t="n">
        <x:v>0.95</x:v>
      </x:c>
      <x:c r="H6" s="32" t="n">
        <x:f>'Cash Flow'!H46 + SUM('Cash Flow'!G47:G52) + ('Revenue Model'!F46*6*(B6-C6)*D6) - (SUM('Headcount'!H215:H240)*(E6-1)) - (SUMIFS('Expense Model'!E:E,'Expense Model'!B:B,"Marketing")*(F6-1)) - (SUMIFS('Expense Model'!E:E,'Expense Model'!B:B,"Cloud &amp; API")*(G6-1))</x:f>
        <x:v>69090.32455542001</x:v>
      </x:c>
      <x:c r="I6" s="31"/>
      <x:c r="J6" s="31"/>
      <x:c r="K6" s="31"/>
      <x:c r="L6" s="31"/>
    </x:row>
    <x:row r="7">
      <x:c r="A7" s="31" t="str">
        <x:v>Downside</x:v>
      </x:c>
      <x:c r="B7" s="42" t="n">
        <x:v>0.025</x:v>
      </x:c>
      <x:c r="C7" s="42" t="n">
        <x:v>0.026</x:v>
      </x:c>
      <x:c r="D7" s="43" t="n">
        <x:v>0.97</x:v>
      </x:c>
      <x:c r="E7" s="43" t="n">
        <x:v>0.75</x:v>
      </x:c>
      <x:c r="F7" s="43" t="n">
        <x:v>0.82</x:v>
      </x:c>
      <x:c r="G7" s="43" t="n">
        <x:v>1.12</x:v>
      </x:c>
      <x:c r="H7" s="32" t="n">
        <x:f>'Cash Flow'!H46 + SUM('Cash Flow'!G47:G52) + ('Revenue Model'!F46*6*(B7-C7)*D7) - (SUM('Headcount'!H215:H240)*(E7-1)) - (SUMIFS('Expense Model'!E:E,'Expense Model'!B:B,"Marketing")*(F7-1)) - (SUMIFS('Expense Model'!E:E,'Expense Model'!B:B,"Cloud &amp; API")*(G7-1))</x:f>
        <x:v>2684860.232390709</x:v>
      </x:c>
      <x:c r="I7" s="31"/>
      <x:c r="J7" s="31"/>
      <x:c r="K7" s="31"/>
      <x:c r="L7" s="31"/>
    </x:row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24" t="str">
        <x:v>MRR sensitivity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December 2026 MRR response to monthly growth and churn assumptions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31"/>
      <x:c r="B4" s="31"/>
      <x:c r="C4" s="31"/>
      <x:c r="D4" s="31"/>
      <x:c r="E4" s="31"/>
      <x:c r="F4" s="31"/>
      <x:c r="G4" s="31"/>
      <x:c r="H4" s="31"/>
      <x:c r="I4" s="31"/>
      <x:c r="J4" s="31"/>
      <x:c r="K4" s="31"/>
      <x:c r="L4" s="31"/>
    </x:row>
    <x:row r="5">
      <x:c r="A5" s="27" t="str">
        <x:v>Growth / churn</x:v>
      </x:c>
      <x:c r="B5" s="48" t="n">
        <x:v>0.01</x:v>
      </x:c>
      <x:c r="C5" s="48" t="n">
        <x:v>0.015</x:v>
      </x:c>
      <x:c r="D5" s="48" t="n">
        <x:v>0.02</x:v>
      </x:c>
      <x:c r="E5" s="48" t="n">
        <x:v>0.025</x:v>
      </x:c>
      <x:c r="F5" s="48" t="n">
        <x:v>0.03</x:v>
      </x:c>
      <x:c r="G5" s="31"/>
      <x:c r="H5" s="31"/>
      <x:c r="I5" s="31"/>
      <x:c r="J5" s="31"/>
      <x:c r="K5" s="31"/>
      <x:c r="L5" s="31"/>
    </x:row>
    <x:row r="6">
      <x:c r="A6" s="48" t="n">
        <x:v>0.02</x:v>
      </x:c>
      <x:c r="B6" s="32" t="n">
        <x:f>'Revenue Model'!F46*(1+$A6-B$5)^6</x:f>
        <x:v>456832.9628960128</x:v>
      </x:c>
      <x:c r="C6" s="32" t="n">
        <x:f>'Revenue Model'!F46*(1+$A6-C$5)^6</x:f>
        <x:v>443430.4994128155</x:v>
      </x:c>
      <x:c r="D6" s="32" t="n">
        <x:f>'Revenue Model'!F46*(1+$A6-D$5)^6</x:f>
        <x:v>430357.31600325066</x:v>
      </x:c>
      <x:c r="E6" s="32" t="n">
        <x:f>'Revenue Model'!F46*(1+$A6-E$5)^6</x:f>
        <x:v>417606.9086499017</x:v>
      </x:c>
      <x:c r="F6" s="32" t="n">
        <x:f>'Revenue Model'!F46*(1+$A6-F$5)^6</x:f>
        <x:v>405172.8701665538</x:v>
      </x:c>
      <x:c r="G6" s="31"/>
      <x:c r="H6" s="31"/>
      <x:c r="I6" s="31"/>
      <x:c r="J6" s="31"/>
      <x:c r="K6" s="31"/>
      <x:c r="L6" s="31"/>
    </x:row>
    <x:row r="7">
      <x:c r="A7" s="48" t="n">
        <x:v>0.03</x:v>
      </x:c>
      <x:c r="B7" s="32" t="n">
        <x:f>'Revenue Model'!F46*(1+$A7-B$5)^6</x:f>
        <x:v>484652.2361381825</x:v>
      </x:c>
      <x:c r="C7" s="32" t="n">
        <x:f>'Revenue Model'!F46*(1+$A7-C$5)^6</x:f>
        <x:v>470571.30827218917</x:v>
      </x:c>
      <x:c r="D7" s="32" t="n">
        <x:f>'Revenue Model'!F46*(1+$A7-D$5)^6</x:f>
        <x:v>456832.9628960128</x:v>
      </x:c>
      <x:c r="E7" s="32" t="n">
        <x:f>'Revenue Model'!F46*(1+$A7-E$5)^6</x:f>
        <x:v>443430.4994128155</x:v>
      </x:c>
      <x:c r="F7" s="32" t="n">
        <x:f>'Revenue Model'!F46*(1+$A7-F$5)^6</x:f>
        <x:v>430357.31600325066</x:v>
      </x:c>
      <x:c r="G7" s="31"/>
      <x:c r="H7" s="31"/>
      <x:c r="I7" s="31"/>
      <x:c r="J7" s="31"/>
      <x:c r="K7" s="31"/>
      <x:c r="L7" s="31"/>
    </x:row>
    <x:row r="8">
      <x:c r="A8" s="48" t="n">
        <x:v>0.04</x:v>
      </x:c>
      <x:c r="B8" s="32" t="n">
        <x:f>'Revenue Model'!F46*(1+$A8-B$5)^6</x:f>
        <x:v>513869.14150173805</x:v>
      </x:c>
      <x:c r="C8" s="32" t="n">
        <x:f>'Revenue Model'!F46*(1+$A8-C$5)^6</x:f>
        <x:v>499082.54684873525</x:v>
      </x:c>
      <x:c r="D8" s="32" t="n">
        <x:f>'Revenue Model'!F46*(1+$A8-D$5)^6</x:f>
        <x:v>484652.2361381825</x:v>
      </x:c>
      <x:c r="E8" s="32" t="n">
        <x:f>'Revenue Model'!F46*(1+$A8-E$5)^6</x:f>
        <x:v>470571.30827218917</x:v>
      </x:c>
      <x:c r="F8" s="32" t="n">
        <x:f>'Revenue Model'!F46*(1+$A8-F$5)^6</x:f>
        <x:v>456832.9628960128</x:v>
      </x:c>
      <x:c r="G8" s="31"/>
      <x:c r="H8" s="31"/>
      <x:c r="I8" s="31"/>
      <x:c r="J8" s="31"/>
      <x:c r="K8" s="31"/>
      <x:c r="L8" s="31"/>
    </x:row>
    <x:row r="9">
      <x:c r="A9" s="48" t="n">
        <x:v>0.05</x:v>
      </x:c>
      <x:c r="B9" s="32" t="n">
        <x:f>'Revenue Model'!F46*(1+$A9-B$5)^6</x:f>
        <x:v>544539.2966878061</x:v>
      </x:c>
      <x:c r="C9" s="32" t="n">
        <x:f>'Revenue Model'!F46*(1+$A9-C$5)^6</x:f>
        <x:v>529019.0229283262</x:v>
      </x:c>
      <x:c r="D9" s="32" t="n">
        <x:f>'Revenue Model'!F46*(1+$A9-D$5)^6</x:f>
        <x:v>513869.14150173805</x:v>
      </x:c>
      <x:c r="E9" s="32" t="n">
        <x:f>'Revenue Model'!F46*(1+$A9-E$5)^6</x:f>
        <x:v>499082.54684873525</x:v>
      </x:c>
      <x:c r="F9" s="32" t="n">
        <x:f>'Revenue Model'!F46*(1+$A9-F$5)^6</x:f>
        <x:v>484652.2361381825</x:v>
      </x:c>
      <x:c r="G9" s="31"/>
      <x:c r="H9" s="31"/>
      <x:c r="I9" s="31"/>
      <x:c r="J9" s="31"/>
      <x:c r="K9" s="31"/>
      <x:c r="L9" s="31"/>
    </x:row>
    <x:row r="10">
      <x:c r="A10" s="48" t="n">
        <x:v>0.06</x:v>
      </x:c>
      <x:c r="B10" s="32" t="n">
        <x:f>'Revenue Model'!F46*(1+$A10-B$5)^6</x:f>
        <x:v>576719.963087032</x:v>
      </x:c>
      <x:c r="C10" s="32" t="n">
        <x:f>'Revenue Model'!F46*(1+$A10-C$5)^6</x:f>
        <x:v>560437.1720674355</x:v>
      </x:c>
      <x:c r="D10" s="32" t="n">
        <x:f>'Revenue Model'!F46*(1+$A10-D$5)^6</x:f>
        <x:v>544539.2966878061</x:v>
      </x:c>
      <x:c r="E10" s="32" t="n">
        <x:f>'Revenue Model'!F46*(1+$A10-E$5)^6</x:f>
        <x:v>529019.0229283262</x:v>
      </x:c>
      <x:c r="F10" s="32" t="n">
        <x:f>'Revenue Model'!F46*(1+$A10-F$5)^6</x:f>
        <x:v>513869.14150173805</x:v>
      </x:c>
      <x:c r="G10" s="31"/>
      <x:c r="H10" s="31"/>
      <x:c r="I10" s="31"/>
      <x:c r="J10" s="31"/>
      <x:c r="K10" s="31"/>
      <x:c r="L10" s="31"/>
    </x:row>
  </x:sheetData>
  <x:mergeCells>
    <x:mergeCell ref="A1:L1"/>
    <x:mergeCell ref="A2:L2"/>
  </x:mergeCells>
  <x:conditionalFormatting sqref="B6:F1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24" t="str">
        <x:v>Forecast validation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Rolling one-step revenue back-test and error diagnostics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month</x:v>
      </x:c>
      <x:c r="B4" s="27" t="str">
        <x:v>predicted_revenue</x:v>
      </x:c>
      <x:c r="C4" s="27" t="str">
        <x:v>actual_revenue</x:v>
      </x:c>
      <x:c r="D4" s="27" t="str">
        <x:v>forecast_error</x:v>
      </x:c>
      <x:c r="E4" s="27" t="str">
        <x:v>absolute_percentage_error</x:v>
      </x:c>
      <x:c r="F4" s="31"/>
      <x:c r="G4" s="27" t="str">
        <x:v>Diagnostic</x:v>
      </x:c>
      <x:c r="H4" s="27" t="str">
        <x:v>Result</x:v>
      </x:c>
      <x:c r="I4" s="31"/>
      <x:c r="J4" s="31"/>
      <x:c r="K4" s="31"/>
      <x:c r="L4" s="31"/>
    </x:row>
    <x:row r="5">
      <x:c r="A5" s="33" t="n">
        <x:v>45292</x:v>
      </x:c>
      <x:c r="B5" s="32" t="n">
        <x:v>179865.61829290976</x:v>
      </x:c>
      <x:c r="C5" s="32" t="n">
        <x:v>185552.36361</x:v>
      </x:c>
      <x:c r="D5" s="32" t="n">
        <x:v>-5686.7453170902445</x:v>
      </x:c>
      <x:c r="E5" s="42" t="n">
        <x:v>0.030647657655511362</x:v>
      </x:c>
      <x:c r="F5" s="31"/>
      <x:c r="G5" s="31" t="str">
        <x:v>Mean absolute percentage error</x:v>
      </x:c>
      <x:c r="H5" s="42" t="n">
        <x:f>AVERAGE(E5:E34)</x:f>
        <x:v>0.008751365915486625</x:v>
      </x:c>
      <x:c r="I5" s="31"/>
      <x:c r="J5" s="31"/>
      <x:c r="K5" s="31"/>
      <x:c r="L5" s="31"/>
    </x:row>
    <x:row r="6">
      <x:c r="A6" s="33" t="n">
        <x:v>45323</x:v>
      </x:c>
      <x:c r="B6" s="32" t="n">
        <x:v>193629.7899602392</x:v>
      </x:c>
      <x:c r="C6" s="32" t="n">
        <x:v>190311.5979</x:v>
      </x:c>
      <x:c r="D6" s="32" t="n">
        <x:v>3318.1920602392056</x:v>
      </x:c>
      <x:c r="E6" s="42" t="n">
        <x:v>0.01743557458848495</x:v>
      </x:c>
      <x:c r="F6" s="31"/>
      <x:c r="G6" s="31" t="str">
        <x:v>Bias</x:v>
      </x:c>
      <x:c r="H6" s="32" t="n">
        <x:f>AVERAGE(D5:D34)</x:f>
        <x:v>144.78114277845404</x:v>
      </x:c>
      <x:c r="I6" s="31"/>
      <x:c r="J6" s="31"/>
      <x:c r="K6" s="31"/>
      <x:c r="L6" s="31"/>
    </x:row>
    <x:row r="7">
      <x:c r="A7" s="33" t="n">
        <x:v>45352</x:v>
      </x:c>
      <x:c r="B7" s="32" t="n">
        <x:v>198414.28993330605</x:v>
      </x:c>
      <x:c r="C7" s="32" t="n">
        <x:v>196211.79134999996</x:v>
      </x:c>
      <x:c r="D7" s="32" t="n">
        <x:v>2202.4985833060928</x:v>
      </x:c>
      <x:c r="E7" s="42" t="n">
        <x:v>0.011225108175977586</x:v>
      </x:c>
      <x:c r="F7" s="31"/>
      <x:c r="G7" s="31"/>
      <x:c r="H7" s="31"/>
      <x:c r="I7" s="31"/>
      <x:c r="J7" s="31"/>
      <x:c r="K7" s="31"/>
      <x:c r="L7" s="31"/>
    </x:row>
    <x:row r="8">
      <x:c r="A8" s="33" t="n">
        <x:v>45383</x:v>
      </x:c>
      <x:c r="B8" s="32" t="n">
        <x:v>201769.66837524239</x:v>
      </x:c>
      <x:c r="C8" s="32" t="n">
        <x:v>203332.03245</x:v>
      </x:c>
      <x:c r="D8" s="32" t="n">
        <x:v>-1562.3640747576137</x:v>
      </x:c>
      <x:c r="E8" s="42" t="n">
        <x:v>0.007683806904068616</x:v>
      </x:c>
      <x:c r="F8" s="31"/>
      <x:c r="G8" s="31"/>
      <x:c r="H8" s="31"/>
      <x:c r="I8" s="31"/>
      <x:c r="J8" s="31"/>
      <x:c r="K8" s="31"/>
      <x:c r="L8" s="31"/>
    </x:row>
    <x:row r="9">
      <x:c r="A9" s="33" t="n">
        <x:v>45413</x:v>
      </x:c>
      <x:c r="B9" s="32" t="n">
        <x:v>210173.27633192306</x:v>
      </x:c>
      <x:c r="C9" s="32" t="n">
        <x:v>209676.86397</x:v>
      </x:c>
      <x:c r="D9" s="32" t="n">
        <x:v>496.41236192305223</x:v>
      </x:c>
      <x:c r="E9" s="42" t="n">
        <x:v>0.0023675113816757462</x:v>
      </x:c>
      <x:c r="F9" s="31"/>
      <x:c r="G9" s="31"/>
      <x:c r="H9" s="31"/>
      <x:c r="I9" s="31"/>
      <x:c r="J9" s="31"/>
      <x:c r="K9" s="31"/>
      <x:c r="L9" s="31"/>
    </x:row>
    <x:row r="10">
      <x:c r="A10" s="33" t="n">
        <x:v>45444</x:v>
      </x:c>
      <x:c r="B10" s="32" t="n">
        <x:v>216752.7072286446</x:v>
      </x:c>
      <x:c r="C10" s="32" t="n">
        <x:v>217015.87922999996</x:v>
      </x:c>
      <x:c r="D10" s="32" t="n">
        <x:v>-263.17200135535677</x:v>
      </x:c>
      <x:c r="E10" s="42" t="n">
        <x:v>0.0012126854601106822</x:v>
      </x:c>
      <x:c r="F10" s="31"/>
      <x:c r="G10" s="31"/>
      <x:c r="H10" s="31"/>
      <x:c r="I10" s="31"/>
      <x:c r="J10" s="31"/>
      <x:c r="K10" s="31"/>
      <x:c r="L10" s="31"/>
    </x:row>
    <x:row r="11">
      <x:c r="A11" s="33" t="n">
        <x:v>45474</x:v>
      </x:c>
      <x:c r="B11" s="32" t="n">
        <x:v>224199.73843050192</x:v>
      </x:c>
      <x:c r="C11" s="32" t="n">
        <x:v>223770.57075</x:v>
      </x:c>
      <x:c r="D11" s="32" t="n">
        <x:v>429.16768050190876</x:v>
      </x:c>
      <x:c r="E11" s="42" t="n">
        <x:v>0.0019178915219436143</x:v>
      </x:c>
      <x:c r="F11" s="31"/>
      <x:c r="G11" s="31"/>
      <x:c r="H11" s="31"/>
      <x:c r="I11" s="31"/>
      <x:c r="J11" s="31"/>
      <x:c r="K11" s="31"/>
      <x:c r="L11" s="31"/>
    </x:row>
    <x:row r="12">
      <x:c r="A12" s="33" t="n">
        <x:v>45505</x:v>
      </x:c>
      <x:c r="B12" s="32" t="n">
        <x:v>231169.19594364264</x:v>
      </x:c>
      <x:c r="C12" s="32" t="n">
        <x:v>230480.95185</x:v>
      </x:c>
      <x:c r="D12" s="32" t="n">
        <x:v>688.2440936426283</x:v>
      </x:c>
      <x:c r="E12" s="42" t="n">
        <x:v>0.002986121361085607</x:v>
      </x:c>
      <x:c r="F12" s="31"/>
      <x:c r="G12" s="31"/>
      <x:c r="H12" s="31"/>
      <x:c r="I12" s="31"/>
      <x:c r="J12" s="31"/>
      <x:c r="K12" s="31"/>
      <x:c r="L12" s="31"/>
    </x:row>
    <x:row r="13">
      <x:c r="A13" s="33" t="n">
        <x:v>45536</x:v>
      </x:c>
      <x:c r="B13" s="32" t="n">
        <x:v>237523.65528786575</x:v>
      </x:c>
      <x:c r="C13" s="32" t="n">
        <x:v>235868.8203</x:v>
      </x:c>
      <x:c r="D13" s="32" t="n">
        <x:v>1654.834987865761</x:v>
      </x:c>
      <x:c r="E13" s="42" t="n">
        <x:v>0.007015912428615987</x:v>
      </x:c>
      <x:c r="F13" s="31"/>
      <x:c r="G13" s="31"/>
      <x:c r="H13" s="31"/>
      <x:c r="I13" s="31"/>
      <x:c r="J13" s="31"/>
      <x:c r="K13" s="31"/>
      <x:c r="L13" s="31"/>
    </x:row>
    <x:row r="14">
      <x:c r="A14" s="33" t="n">
        <x:v>45566</x:v>
      </x:c>
      <x:c r="B14" s="32" t="n">
        <x:v>242162.31996580906</x:v>
      </x:c>
      <x:c r="C14" s="32" t="n">
        <x:v>241461.61874999997</x:v>
      </x:c>
      <x:c r="D14" s="32" t="n">
        <x:v>700.7012158090947</x:v>
      </x:c>
      <x:c r="E14" s="42" t="n">
        <x:v>0.002901915507054451</x:v>
      </x:c>
      <x:c r="F14" s="31"/>
      <x:c r="G14" s="31"/>
      <x:c r="H14" s="31"/>
      <x:c r="I14" s="31"/>
      <x:c r="J14" s="31"/>
      <x:c r="K14" s="31"/>
      <x:c r="L14" s="31"/>
    </x:row>
    <x:row r="15">
      <x:c r="A15" s="33" t="n">
        <x:v>45597</x:v>
      </x:c>
      <x:c r="B15" s="32" t="n">
        <x:v>247146.60446590846</x:v>
      </x:c>
      <x:c r="C15" s="32" t="n">
        <x:v>246951.95219999997</x:v>
      </x:c>
      <x:c r="D15" s="32" t="n">
        <x:v>194.6522659084876</x:v>
      </x:c>
      <x:c r="E15" s="42" t="n">
        <x:v>0.0007882191826159114</x:v>
      </x:c>
      <x:c r="F15" s="31"/>
      <x:c r="G15" s="31"/>
      <x:c r="H15" s="31"/>
      <x:c r="I15" s="31"/>
      <x:c r="J15" s="31"/>
      <x:c r="K15" s="31"/>
      <x:c r="L15" s="31"/>
    </x:row>
    <x:row r="16">
      <x:c r="A16" s="33" t="n">
        <x:v>45627</x:v>
      </x:c>
      <x:c r="B16" s="32" t="n">
        <x:v>252687.33623570926</x:v>
      </x:c>
      <x:c r="C16" s="32" t="n">
        <x:v>252179.20106999995</x:v>
      </x:c>
      <x:c r="D16" s="32" t="n">
        <x:v>508.1351657093037</x:v>
      </x:c>
      <x:c r="E16" s="42" t="n">
        <x:v>0.002014976506996925</x:v>
      </x:c>
      <x:c r="F16" s="31"/>
      <x:c r="G16" s="31"/>
      <x:c r="H16" s="31"/>
      <x:c r="I16" s="31"/>
      <x:c r="J16" s="31"/>
      <x:c r="K16" s="31"/>
      <x:c r="L16" s="31"/>
    </x:row>
    <x:row r="17">
      <x:c r="A17" s="33" t="n">
        <x:v>45658</x:v>
      </x:c>
      <x:c r="B17" s="32" t="n">
        <x:v>257715.1627282085</x:v>
      </x:c>
      <x:c r="C17" s="32" t="n">
        <x:v>268268.87137095</x:v>
      </x:c>
      <x:c r="D17" s="32" t="n">
        <x:v>-10553.70864274152</x:v>
      </x:c>
      <x:c r="E17" s="42" t="n">
        <x:v>0.03934004190947794</x:v>
      </x:c>
      <x:c r="F17" s="31"/>
      <x:c r="G17" s="31"/>
      <x:c r="H17" s="31"/>
      <x:c r="I17" s="31"/>
      <x:c r="J17" s="31"/>
      <x:c r="K17" s="31"/>
      <x:c r="L17" s="31"/>
    </x:row>
    <x:row r="18">
      <x:c r="A18" s="33" t="n">
        <x:v>45689</x:v>
      </x:c>
      <x:c r="B18" s="32" t="n">
        <x:v>279666.2201121841</x:v>
      </x:c>
      <x:c r="C18" s="32" t="n">
        <x:v>276349.14725534996</x:v>
      </x:c>
      <x:c r="D18" s="32" t="n">
        <x:v>3317.0728568341583</x:v>
      </x:c>
      <x:c r="E18" s="42" t="n">
        <x:v>0.012003195558150728</x:v>
      </x:c>
      <x:c r="F18" s="31"/>
      <x:c r="G18" s="31"/>
      <x:c r="H18" s="31"/>
      <x:c r="I18" s="31"/>
      <x:c r="J18" s="31"/>
      <x:c r="K18" s="31"/>
      <x:c r="L18" s="31"/>
    </x:row>
    <x:row r="19">
      <x:c r="A19" s="33" t="n">
        <x:v>45717</x:v>
      </x:c>
      <x:c r="B19" s="32" t="n">
        <x:v>289326.8613888728</x:v>
      </x:c>
      <x:c r="C19" s="32" t="n">
        <x:v>285231.97205504996</x:v>
      </x:c>
      <x:c r="D19" s="32" t="n">
        <x:v>4094.8893338228227</x:v>
      </x:c>
      <x:c r="E19" s="42" t="n">
        <x:v>0.014356347587263136</x:v>
      </x:c>
      <x:c r="F19" s="31"/>
      <x:c r="G19" s="31"/>
      <x:c r="H19" s="31"/>
      <x:c r="I19" s="31"/>
      <x:c r="J19" s="31"/>
      <x:c r="K19" s="31"/>
      <x:c r="L19" s="31"/>
    </x:row>
    <x:row r="20">
      <x:c r="A20" s="33" t="n">
        <x:v>45748</x:v>
      </x:c>
      <x:c r="B20" s="32" t="n">
        <x:v>294111.74972095166</x:v>
      </x:c>
      <x:c r="C20" s="32" t="n">
        <x:v>292685.80627169996</x:v>
      </x:c>
      <x:c r="D20" s="32" t="n">
        <x:v>1425.943449251703</x:v>
      </x:c>
      <x:c r="E20" s="42" t="n">
        <x:v>0.004871925521143998</x:v>
      </x:c>
      <x:c r="F20" s="31"/>
      <x:c r="G20" s="31"/>
      <x:c r="H20" s="31"/>
      <x:c r="I20" s="31"/>
      <x:c r="J20" s="31"/>
      <x:c r="K20" s="31"/>
      <x:c r="L20" s="31"/>
    </x:row>
    <x:row r="21">
      <x:c r="A21" s="33" t="n">
        <x:v>45778</x:v>
      </x:c>
      <x:c r="B21" s="32" t="n">
        <x:v>301214.0881489091</x:v>
      </x:c>
      <x:c r="C21" s="32" t="n">
        <x:v>302385.50869229995</x:v>
      </x:c>
      <x:c r="D21" s="32" t="n">
        <x:v>-1171.42054339085</x:v>
      </x:c>
      <x:c r="E21" s="42" t="n">
        <x:v>0.0038739308257753147</x:v>
      </x:c>
      <x:c r="F21" s="31"/>
      <x:c r="G21" s="31"/>
      <x:c r="H21" s="31"/>
      <x:c r="I21" s="31"/>
      <x:c r="J21" s="31"/>
      <x:c r="K21" s="31"/>
      <x:c r="L21" s="31"/>
    </x:row>
    <x:row r="22">
      <x:c r="A22" s="33" t="n">
        <x:v>45809</x:v>
      </x:c>
      <x:c r="B22" s="32" t="n">
        <x:v>311347.13534086634</x:v>
      </x:c>
      <x:c r="C22" s="32" t="n">
        <x:v>310550.16925484996</x:v>
      </x:c>
      <x:c r="D22" s="32" t="n">
        <x:v>796.9660860163858</x:v>
      </x:c>
      <x:c r="E22" s="42" t="n">
        <x:v>0.00256630382114641</x:v>
      </x:c>
      <x:c r="F22" s="31"/>
      <x:c r="G22" s="31"/>
      <x:c r="H22" s="31"/>
      <x:c r="I22" s="31"/>
      <x:c r="J22" s="31"/>
      <x:c r="K22" s="31"/>
      <x:c r="L22" s="31"/>
    </x:row>
    <x:row r="23">
      <x:c r="A23" s="33" t="n">
        <x:v>45839</x:v>
      </x:c>
      <x:c r="B23" s="32" t="n">
        <x:v>319888.5924515593</x:v>
      </x:c>
      <x:c r="C23" s="32" t="n">
        <x:v>318881.0710826999</x:v>
      </x:c>
      <x:c r="D23" s="32" t="n">
        <x:v>1007.521368859394</x:v>
      </x:c>
      <x:c r="E23" s="42" t="n">
        <x:v>0.00315955213471451</x:v>
      </x:c>
      <x:c r="F23" s="31"/>
      <x:c r="G23" s="31"/>
      <x:c r="H23" s="31"/>
      <x:c r="I23" s="31"/>
      <x:c r="J23" s="31"/>
      <x:c r="K23" s="31"/>
      <x:c r="L23" s="31"/>
    </x:row>
    <x:row r="24">
      <x:c r="A24" s="33" t="n">
        <x:v>45870</x:v>
      </x:c>
      <x:c r="B24" s="32" t="n">
        <x:v>327463.2927382937</x:v>
      </x:c>
      <x:c r="C24" s="32" t="n">
        <x:v>326734.9157115</x:v>
      </x:c>
      <x:c r="D24" s="32" t="n">
        <x:v>728.3770267937216</x:v>
      </x:c>
      <x:c r="E24" s="42" t="n">
        <x:v>0.0022292598426697165</x:v>
      </x:c>
      <x:c r="F24" s="31"/>
      <x:c r="G24" s="31"/>
      <x:c r="H24" s="31"/>
      <x:c r="I24" s="31"/>
      <x:c r="J24" s="31"/>
      <x:c r="K24" s="31"/>
      <x:c r="L24" s="31"/>
    </x:row>
    <x:row r="25">
      <x:c r="A25" s="33" t="n">
        <x:v>45901</x:v>
      </x:c>
      <x:c r="B25" s="32" t="n">
        <x:v>335141.09478760196</x:v>
      </x:c>
      <x:c r="C25" s="32" t="n">
        <x:v>332961.9959128499</x:v>
      </x:c>
      <x:c r="D25" s="32" t="n">
        <x:v>2179.0988747520605</x:v>
      </x:c>
      <x:c r="E25" s="42" t="n">
        <x:v>0.006544587374837884</x:v>
      </x:c>
      <x:c r="F25" s="31"/>
      <x:c r="G25" s="31"/>
      <x:c r="H25" s="31"/>
      <x:c r="I25" s="31"/>
      <x:c r="J25" s="31"/>
      <x:c r="K25" s="31"/>
      <x:c r="L25" s="31"/>
    </x:row>
    <x:row r="26">
      <x:c r="A26" s="33" t="n">
        <x:v>45931</x:v>
      </x:c>
      <x:c r="B26" s="32" t="n">
        <x:v>340235.2000172267</x:v>
      </x:c>
      <x:c r="C26" s="32" t="n">
        <x:v>339885.57375449996</x:v>
      </x:c>
      <x:c r="D26" s="32" t="n">
        <x:v>349.6262627267279</x:v>
      </x:c>
      <x:c r="E26" s="42" t="n">
        <x:v>0.0010286587302445018</x:v>
      </x:c>
      <x:c r="F26" s="31"/>
      <x:c r="G26" s="31"/>
      <x:c r="H26" s="31"/>
      <x:c r="I26" s="31"/>
      <x:c r="J26" s="31"/>
      <x:c r="K26" s="31"/>
      <x:c r="L26" s="31"/>
    </x:row>
    <x:row r="27">
      <x:c r="A27" s="33" t="n">
        <x:v>45962</x:v>
      </x:c>
      <x:c r="B27" s="32" t="n">
        <x:v>346658.2028270598</x:v>
      </x:c>
      <x:c r="C27" s="32" t="n">
        <x:v>347127.30542114994</x:v>
      </x:c>
      <x:c r="D27" s="32" t="n">
        <x:v>-469.10259409016</x:v>
      </x:c>
      <x:c r="E27" s="42" t="n">
        <x:v>0.0013513848860752234</x:v>
      </x:c>
      <x:c r="F27" s="31"/>
      <x:c r="G27" s="31"/>
      <x:c r="H27" s="31"/>
      <x:c r="I27" s="31"/>
      <x:c r="J27" s="31"/>
      <x:c r="K27" s="31"/>
      <x:c r="L27" s="31"/>
    </x:row>
    <x:row r="28">
      <x:c r="A28" s="33" t="n">
        <x:v>45992</x:v>
      </x:c>
      <x:c r="B28" s="32" t="n">
        <x:v>354434.38372556126</x:v>
      </x:c>
      <x:c r="C28" s="32" t="n">
        <x:v>352597.6979919</x:v>
      </x:c>
      <x:c r="D28" s="32" t="n">
        <x:v>1836.6857336612884</x:v>
      </x:c>
      <x:c r="E28" s="42" t="n">
        <x:v>0.005209012265597609</x:v>
      </x:c>
      <x:c r="F28" s="31"/>
      <x:c r="G28" s="31"/>
      <x:c r="H28" s="31"/>
      <x:c r="I28" s="31"/>
      <x:c r="J28" s="31"/>
      <x:c r="K28" s="31"/>
      <x:c r="L28" s="31"/>
    </x:row>
    <x:row r="29">
      <x:c r="A29" s="33" t="n">
        <x:v>46023</x:v>
      </x:c>
      <x:c r="B29" s="32" t="n">
        <x:v>359132.2888578688</x:v>
      </x:c>
      <x:c r="C29" s="32" t="n">
        <x:v>374047.61952160567</x:v>
      </x:c>
      <x:c r="D29" s="32" t="n">
        <x:v>-14915.330663736851</x:v>
      </x:c>
      <x:c r="E29" s="42" t="n">
        <x:v>0.0398754861287797</x:v>
      </x:c>
      <x:c r="F29" s="31"/>
      <x:c r="G29" s="31"/>
      <x:c r="H29" s="31"/>
      <x:c r="I29" s="31"/>
      <x:c r="J29" s="31"/>
      <x:c r="K29" s="31"/>
      <x:c r="L29" s="31"/>
    </x:row>
    <x:row r="30">
      <x:c r="A30" s="33" t="n">
        <x:v>46054</x:v>
      </x:c>
      <x:c r="B30" s="32" t="n">
        <x:v>388372.3377604356</x:v>
      </x:c>
      <x:c r="C30" s="32" t="n">
        <x:v>386139.67363043316</x:v>
      </x:c>
      <x:c r="D30" s="32" t="n">
        <x:v>2232.664130002435</x:v>
      </x:c>
      <x:c r="E30" s="42" t="n">
        <x:v>0.005782011749818991</x:v>
      </x:c>
      <x:c r="F30" s="31"/>
      <x:c r="G30" s="31"/>
      <x:c r="H30" s="31"/>
      <x:c r="I30" s="31"/>
      <x:c r="J30" s="31"/>
      <x:c r="K30" s="31"/>
      <x:c r="L30" s="31"/>
    </x:row>
    <x:row r="31">
      <x:c r="A31" s="33" t="n">
        <x:v>46082</x:v>
      </x:c>
      <x:c r="B31" s="32" t="n">
        <x:v>404126.3608173216</x:v>
      </x:c>
      <x:c r="C31" s="32" t="n">
        <x:v>397181.56347267516</x:v>
      </x:c>
      <x:c r="D31" s="32" t="n">
        <x:v>6944.797344646417</x:v>
      </x:c>
      <x:c r="E31" s="42" t="n">
        <x:v>0.01748519564686239</x:v>
      </x:c>
      <x:c r="F31" s="31"/>
      <x:c r="G31" s="31"/>
      <x:c r="H31" s="31"/>
      <x:c r="I31" s="31"/>
      <x:c r="J31" s="31"/>
      <x:c r="K31" s="31"/>
      <x:c r="L31" s="31"/>
    </x:row>
    <x:row r="32">
      <x:c r="A32" s="33" t="n">
        <x:v>46113</x:v>
      </x:c>
      <x:c r="B32" s="32" t="n">
        <x:v>409280.34230236773</x:v>
      </x:c>
      <x:c r="C32" s="32" t="n">
        <x:v>410448.3751280091</x:v>
      </x:c>
      <x:c r="D32" s="32" t="n">
        <x:v>-1168.0328256413923</x:v>
      </x:c>
      <x:c r="E32" s="42" t="n">
        <x:v>0.0028457484458967843</x:v>
      </x:c>
      <x:c r="F32" s="31"/>
      <x:c r="G32" s="31"/>
      <x:c r="H32" s="31"/>
      <x:c r="I32" s="31"/>
      <x:c r="J32" s="31"/>
      <x:c r="K32" s="31"/>
      <x:c r="L32" s="31"/>
    </x:row>
    <x:row r="33">
      <x:c r="A33" s="33" t="n">
        <x:v>46143</x:v>
      </x:c>
      <x:c r="B33" s="32" t="n">
        <x:v>423171.8582241654</x:v>
      </x:c>
      <x:c r="C33" s="32" t="n">
        <x:v>420574.9052752154</x:v>
      </x:c>
      <x:c r="D33" s="32" t="n">
        <x:v>2596.9529489499982</x:v>
      </x:c>
      <x:c r="E33" s="42" t="n">
        <x:v>0.006174769146653215</x:v>
      </x:c>
      <x:c r="F33" s="31"/>
      <x:c r="G33" s="31"/>
      <x:c r="H33" s="31"/>
      <x:c r="I33" s="31"/>
      <x:c r="J33" s="31"/>
      <x:c r="K33" s="31"/>
      <x:c r="L33" s="31"/>
    </x:row>
    <x:row r="34">
      <x:c r="A34" s="33" t="n">
        <x:v>46174</x:v>
      </x:c>
      <x:c r="B34" s="32" t="n">
        <x:v>432787.1931181856</x:v>
      </x:c>
      <x:c r="C34" s="32" t="n">
        <x:v>430357.31600325066</x:v>
      </x:c>
      <x:c r="D34" s="32" t="n">
        <x:v>2429.877114934963</x:v>
      </x:c>
      <x:c r="E34" s="42" t="n">
        <x:v>0.005646185215349306</x:v>
      </x:c>
      <x:c r="F34" s="31"/>
      <x:c r="G34" s="31"/>
      <x:c r="H34" s="31"/>
      <x:c r="I34" s="31"/>
      <x:c r="J34" s="31"/>
      <x:c r="K34" s="31"/>
      <x:c r="L34" s="31"/>
    </x:row>
  </x:sheetData>
  <x:mergeCells>
    <x:mergeCell ref="A1:L1"/>
    <x:mergeCell ref="A2:L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24" t="str">
        <x:v>Liquidity risk simulation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2,000 stochastic paths for growth, churn, and operating cost through December 2026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metric</x:v>
      </x:c>
      <x:c r="B4" s="27" t="str">
        <x:v>value</x:v>
      </x:c>
      <x:c r="C4" s="31"/>
      <x:c r="D4" s="27" t="str">
        <x:v>simulation_id</x:v>
      </x:c>
      <x:c r="E4" s="27" t="str">
        <x:v>growth_shock</x:v>
      </x:c>
      <x:c r="F4" s="27" t="str">
        <x:v>churn_shock</x:v>
      </x:c>
      <x:c r="G4" s="27" t="str">
        <x:v>cost_multiplier</x:v>
      </x:c>
      <x:c r="H4" s="27" t="str">
        <x:v>dec_ending_cash</x:v>
      </x:c>
      <x:c r="I4" s="27" t="str">
        <x:v>below_1m</x:v>
      </x:c>
      <x:c r="J4" s="27" t="str">
        <x:v>below_zero</x:v>
      </x:c>
      <x:c r="K4" s="31"/>
      <x:c r="L4" s="31"/>
    </x:row>
    <x:row r="5">
      <x:c r="A5" s="31" t="str">
        <x:v>P05 ending cash</x:v>
      </x:c>
      <x:c r="B5" s="32" t="n">
        <x:v>451732.7197337442</x:v>
      </x:c>
      <x:c r="C5" s="31"/>
      <x:c r="D5" s="31" t="n">
        <x:v>1</x:v>
      </x:c>
      <x:c r="E5" s="42" t="n">
        <x:v>-0.007573133899368498</x:v>
      </x:c>
      <x:c r="F5" s="42" t="n">
        <x:v>-0.003082008399983194</x:v>
      </x:c>
      <x:c r="G5" s="43" t="n">
        <x:v>1.0100675138036808</x:v>
      </x:c>
      <x:c r="H5" s="32" t="n">
        <x:v>850760.2804370995</x:v>
      </x:c>
      <x:c r="I5" s="50" t="b">
        <x:v>1</x:v>
      </x:c>
      <x:c r="J5" s="50" t="b">
        <x:v>0</x:v>
      </x:c>
      <x:c r="K5" s="31"/>
      <x:c r="L5" s="31"/>
    </x:row>
    <x:row r="6">
      <x:c r="A6" s="31" t="str">
        <x:v>P50 ending cash</x:v>
      </x:c>
      <x:c r="B6" s="32" t="n">
        <x:v>927302.8677371081</x:v>
      </x:c>
      <x:c r="C6" s="31"/>
      <x:c r="D6" s="31" t="n">
        <x:v>2</x:v>
      </x:c>
      <x:c r="E6" s="42" t="n">
        <x:v>0.0016925226126745393</x:v>
      </x:c>
      <x:c r="F6" s="42" t="n">
        <x:v>0.0034755716946797154</x:v>
      </x:c>
      <x:c r="G6" s="43" t="n">
        <x:v>0.9914584718224227</x:v>
      </x:c>
      <x:c r="H6" s="32" t="n">
        <x:v>976478.8672075394</x:v>
      </x:c>
      <x:c r="I6" s="50" t="b">
        <x:v>1</x:v>
      </x:c>
      <x:c r="J6" s="50" t="b">
        <x:v>0</x:v>
      </x:c>
      <x:c r="K6" s="31"/>
      <x:c r="L6" s="31"/>
    </x:row>
    <x:row r="7">
      <x:c r="A7" s="31" t="str">
        <x:v>P95 ending cash</x:v>
      </x:c>
      <x:c r="B7" s="32" t="n">
        <x:v>1402008.8502900086</x:v>
      </x:c>
      <x:c r="C7" s="31"/>
      <x:c r="D7" s="31" t="n">
        <x:v>3</x:v>
      </x:c>
      <x:c r="E7" s="42" t="n">
        <x:v>0.008474020581349983</x:v>
      </x:c>
      <x:c r="F7" s="42" t="n">
        <x:v>-0.00018498870891542048</x:v>
      </x:c>
      <x:c r="G7" s="43" t="n">
        <x:v>0.9773410818803947</x:v>
      </x:c>
      <x:c r="H7" s="32" t="n">
        <x:v>1095199.9926185217</x:v>
      </x:c>
      <x:c r="I7" s="50" t="b">
        <x:v>0</x:v>
      </x:c>
      <x:c r="J7" s="50" t="b">
        <x:v>0</x:v>
      </x:c>
      <x:c r="K7" s="31"/>
      <x:c r="L7" s="31"/>
    </x:row>
    <x:row r="8">
      <x:c r="A8" s="31" t="str">
        <x:v>Probability below $1M</x:v>
      </x:c>
      <x:c r="B8" s="42" t="n">
        <x:v>0.597</x:v>
      </x:c>
      <x:c r="C8" s="31"/>
      <x:c r="D8" s="31" t="n">
        <x:v>4</x:v>
      </x:c>
      <x:c r="E8" s="42" t="n">
        <x:v>0.010512573966098468</x:v>
      </x:c>
      <x:c r="F8" s="42" t="n">
        <x:v>0.0009545449504391312</x:v>
      </x:c>
      <x:c r="G8" s="43" t="n">
        <x:v>1.031388910107809</x:v>
      </x:c>
      <x:c r="H8" s="32" t="n">
        <x:v>754460.4464968173</x:v>
      </x:c>
      <x:c r="I8" s="50" t="b">
        <x:v>1</x:v>
      </x:c>
      <x:c r="J8" s="50" t="b">
        <x:v>0</x:v>
      </x:c>
      <x:c r="K8" s="31"/>
      <x:c r="L8" s="31"/>
    </x:row>
    <x:row r="9">
      <x:c r="A9" s="31" t="str">
        <x:v>Probability below zero</x:v>
      </x:c>
      <x:c r="B9" s="42" t="n">
        <x:v>0.001</x:v>
      </x:c>
      <x:c r="C9" s="31"/>
      <x:c r="D9" s="31" t="n">
        <x:v>5</x:v>
      </x:c>
      <x:c r="E9" s="42" t="n">
        <x:v>-0.008617917425205268</x:v>
      </x:c>
      <x:c r="F9" s="42" t="n">
        <x:v>-0.005046000165685119</x:v>
      </x:c>
      <x:c r="G9" s="43" t="n">
        <x:v>0.9792897478138123</x:v>
      </x:c>
      <x:c r="H9" s="32" t="n">
        <x:v>1048779.5286743438</x:v>
      </x:c>
      <x:c r="I9" s="50" t="b">
        <x:v>0</x:v>
      </x:c>
      <x:c r="J9" s="50" t="b">
        <x:v>0</x:v>
      </x:c>
      <x:c r="K9" s="31"/>
      <x:c r="L9" s="31"/>
    </x:row>
    <x:row r="10">
      <x:c r="A10" s="31" t="str">
        <x:v>Revenue forecast MAPE</x:v>
      </x:c>
      <x:c r="B10" s="42" t="n">
        <x:v>0.008751365915486625</x:v>
      </x:c>
      <x:c r="C10" s="31"/>
      <x:c r="D10" s="31" t="n">
        <x:v>6</x:v>
      </x:c>
      <x:c r="E10" s="42" t="n">
        <x:v>-0.006541366591357211</x:v>
      </x:c>
      <x:c r="F10" s="42" t="n">
        <x:v>-0.0006315475294427731</x:v>
      </x:c>
      <x:c r="G10" s="43" t="n">
        <x:v>1.071161757682023</x:v>
      </x:c>
      <x:c r="H10" s="32" t="n">
        <x:v>458819.5981475916</x:v>
      </x:c>
      <x:c r="I10" s="50" t="b">
        <x:v>1</x:v>
      </x:c>
      <x:c r="J10" s="50" t="b">
        <x:v>0</x:v>
      </x:c>
      <x:c r="K10" s="31"/>
      <x:c r="L10" s="31"/>
    </x:row>
    <x:row r="11">
      <x:c r="A11" s="31"/>
      <x:c r="B11" s="31"/>
      <x:c r="C11" s="31"/>
      <x:c r="D11" s="31" t="n">
        <x:v>7</x:v>
      </x:c>
      <x:c r="E11" s="42" t="n">
        <x:v>0.011212020824353809</x:v>
      </x:c>
      <x:c r="F11" s="42" t="n">
        <x:v>-0.00209472479807846</x:v>
      </x:c>
      <x:c r="G11" s="43" t="n">
        <x:v>1.0095830677301978</x:v>
      </x:c>
      <x:c r="H11" s="32" t="n">
        <x:v>903377.6248835514</x:v>
      </x:c>
      <x:c r="I11" s="50" t="b">
        <x:v>1</x:v>
      </x:c>
      <x:c r="J11" s="50" t="b">
        <x:v>0</x:v>
      </x:c>
      <x:c r="K11" s="31"/>
      <x:c r="L11" s="31"/>
    </x:row>
    <x:row r="12">
      <x:c r="A12" s="31"/>
      <x:c r="B12" s="31"/>
      <x:c r="C12" s="31"/>
      <x:c r="D12" s="31" t="n">
        <x:v>8</x:v>
      </x:c>
      <x:c r="E12" s="42" t="n">
        <x:v>0.012702350037128775</x:v>
      </x:c>
      <x:c r="F12" s="42" t="n">
        <x:v>-0.0017821623018383726</x:v>
      </x:c>
      <x:c r="G12" s="43" t="n">
        <x:v>0.9896618203546591</x:v>
      </x:c>
      <x:c r="H12" s="32" t="n">
        <x:v>1033169.9942752311</x:v>
      </x:c>
      <x:c r="I12" s="50" t="b">
        <x:v>0</x:v>
      </x:c>
      <x:c r="J12" s="50" t="b">
        <x:v>0</x:v>
      </x:c>
      <x:c r="K12" s="31"/>
      <x:c r="L12" s="31"/>
    </x:row>
    <x:row r="13">
      <x:c r="A13" s="31"/>
      <x:c r="B13" s="31"/>
      <x:c r="C13" s="31"/>
      <x:c r="D13" s="31" t="n">
        <x:v>9</x:v>
      </x:c>
      <x:c r="E13" s="42" t="n">
        <x:v>-0.02163782388476936</x:v>
      </x:c>
      <x:c r="F13" s="42" t="n">
        <x:v>-0.005561735165504906</x:v>
      </x:c>
      <x:c r="G13" s="43" t="n">
        <x:v>0.9704920631670851</x:v>
      </x:c>
      <x:c r="H13" s="32" t="n">
        <x:v>1069845.4185219123</x:v>
      </x:c>
      <x:c r="I13" s="50" t="b">
        <x:v>0</x:v>
      </x:c>
      <x:c r="J13" s="50" t="b">
        <x:v>0</x:v>
      </x:c>
      <x:c r="K13" s="31"/>
      <x:c r="L13" s="31"/>
    </x:row>
    <x:row r="14">
      <x:c r="A14" s="31"/>
      <x:c r="B14" s="31"/>
      <x:c r="C14" s="31"/>
      <x:c r="D14" s="31" t="n">
        <x:v>10</x:v>
      </x:c>
      <x:c r="E14" s="42" t="n">
        <x:v>0.006717351146445382</x:v>
      </x:c>
      <x:c r="F14" s="42" t="n">
        <x:v>-0.005984197565430979</x:v>
      </x:c>
      <x:c r="G14" s="43" t="n">
        <x:v>1.0901029437328245</x:v>
      </x:c>
      <x:c r="H14" s="32" t="n">
        <x:v>390334.80678193574</x:v>
      </x:c>
      <x:c r="I14" s="50" t="b">
        <x:v>1</x:v>
      </x:c>
      <x:c r="J14" s="50" t="b">
        <x:v>0</x:v>
      </x:c>
      <x:c r="K14" s="31"/>
      <x:c r="L14" s="31"/>
    </x:row>
    <x:row r="15">
      <x:c r="A15" s="31"/>
      <x:c r="B15" s="31"/>
      <x:c r="C15" s="31"/>
      <x:c r="D15" s="31" t="n">
        <x:v>11</x:v>
      </x:c>
      <x:c r="E15" s="42" t="n">
        <x:v>0.0023610954501248962</x:v>
      </x:c>
      <x:c r="F15" s="42" t="n">
        <x:v>-0.0037027117795086916</x:v>
      </x:c>
      <x:c r="G15" s="43" t="n">
        <x:v>1.0332955809529214</x:v>
      </x:c>
      <x:c r="H15" s="32" t="n">
        <x:v>732625.4924762314</x:v>
      </x:c>
      <x:c r="I15" s="50" t="b">
        <x:v>1</x:v>
      </x:c>
      <x:c r="J15" s="50" t="b">
        <x:v>0</x:v>
      </x:c>
      <x:c r="K15" s="31"/>
      <x:c r="L15" s="31"/>
    </x:row>
    <x:row r="16">
      <x:c r="A16" s="31"/>
      <x:c r="B16" s="31"/>
      <x:c r="C16" s="31"/>
      <x:c r="D16" s="31" t="n">
        <x:v>12</x:v>
      </x:c>
      <x:c r="E16" s="42" t="n">
        <x:v>0.011365163128008043</x:v>
      </x:c>
      <x:c r="F16" s="42" t="n">
        <x:v>-0.012829568063302292</x:v>
      </x:c>
      <x:c r="G16" s="43" t="n">
        <x:v>1.0262594820447404</x:v>
      </x:c>
      <x:c r="H16" s="32" t="n">
        <x:v>827777.5324524574</x:v>
      </x:c>
      <x:c r="I16" s="50" t="b">
        <x:v>1</x:v>
      </x:c>
      <x:c r="J16" s="50" t="b">
        <x:v>0</x:v>
      </x:c>
      <x:c r="K16" s="31"/>
      <x:c r="L16" s="31"/>
    </x:row>
    <x:row r="17">
      <x:c r="A17" s="31"/>
      <x:c r="B17" s="31"/>
      <x:c r="C17" s="31"/>
      <x:c r="D17" s="31" t="n">
        <x:v>13</x:v>
      </x:c>
      <x:c r="E17" s="42" t="n">
        <x:v>0.013077790825291945</x:v>
      </x:c>
      <x:c r="F17" s="42" t="n">
        <x:v>-0.0024414463057451413</x:v>
      </x:c>
      <x:c r="G17" s="43" t="n">
        <x:v>1.0452218014413366</x:v>
      </x:c>
      <x:c r="H17" s="32" t="n">
        <x:v>683204.9446086622</x:v>
      </x:c>
      <x:c r="I17" s="50" t="b">
        <x:v>1</x:v>
      </x:c>
      <x:c r="J17" s="50" t="b">
        <x:v>0</x:v>
      </x:c>
      <x:c r="K17" s="31"/>
      <x:c r="L17" s="31"/>
    </x:row>
    <x:row r="18">
      <x:c r="A18" s="31"/>
      <x:c r="B18" s="31"/>
      <x:c r="C18" s="31"/>
      <x:c r="D18" s="31" t="n">
        <x:v>14</x:v>
      </x:c>
      <x:c r="E18" s="42" t="n">
        <x:v>-0.023635091540455504</x:v>
      </x:c>
      <x:c r="F18" s="42" t="n">
        <x:v>0.00006298046413746347</x:v>
      </x:c>
      <x:c r="G18" s="43" t="n">
        <x:v>0.9701275997068889</x:v>
      </x:c>
      <x:c r="H18" s="32" t="n">
        <x:v>1050944.0601913386</x:v>
      </x:c>
      <x:c r="I18" s="50" t="b">
        <x:v>0</x:v>
      </x:c>
      <x:c r="J18" s="50" t="b">
        <x:v>0</x:v>
      </x:c>
      <x:c r="K18" s="31"/>
      <x:c r="L18" s="31"/>
    </x:row>
    <x:row r="19">
      <x:c r="A19" s="31"/>
      <x:c r="B19" s="31"/>
      <x:c r="C19" s="31"/>
      <x:c r="D19" s="31" t="n">
        <x:v>15</x:v>
      </x:c>
      <x:c r="E19" s="42" t="n">
        <x:v>0.0071996796896572225</x:v>
      </x:c>
      <x:c r="F19" s="42" t="n">
        <x:v>0.0010376619669562905</x:v>
      </x:c>
      <x:c r="G19" s="43" t="n">
        <x:v>1.007286581003631</x:v>
      </x:c>
      <x:c r="H19" s="32" t="n">
        <x:v>898074.4335531485</x:v>
      </x:c>
      <x:c r="I19" s="50" t="b">
        <x:v>1</x:v>
      </x:c>
      <x:c r="J19" s="50" t="b">
        <x:v>0</x:v>
      </x:c>
      <x:c r="K19" s="31"/>
      <x:c r="L19" s="31"/>
    </x:row>
    <x:row r="20">
      <x:c r="A20" s="31"/>
      <x:c r="B20" s="31"/>
      <x:c r="C20" s="31"/>
      <x:c r="D20" s="31" t="n">
        <x:v>16</x:v>
      </x:c>
      <x:c r="E20" s="42" t="n">
        <x:v>-0.002024176216438006</x:v>
      </x:c>
      <x:c r="F20" s="42" t="n">
        <x:v>-0.005897129509513657</x:v>
      </x:c>
      <x:c r="G20" s="43" t="n">
        <x:v>0.9888713872315902</x:v>
      </x:c>
      <x:c r="H20" s="32" t="n">
        <x:v>1008652.294590251</x:v>
      </x:c>
      <x:c r="I20" s="50" t="b">
        <x:v>0</x:v>
      </x:c>
      <x:c r="J20" s="50" t="b">
        <x:v>0</x:v>
      </x:c>
      <x:c r="K20" s="31"/>
      <x:c r="L20" s="31"/>
    </x:row>
    <x:row r="21">
      <x:c r="A21" s="31"/>
      <x:c r="B21" s="31"/>
      <x:c r="C21" s="31"/>
      <x:c r="D21" s="31" t="n">
        <x:v>17</x:v>
      </x:c>
      <x:c r="E21" s="42" t="n">
        <x:v>-0.007323380589436307</x:v>
      </x:c>
      <x:c r="F21" s="42" t="n">
        <x:v>-0.002570584057569636</x:v>
      </x:c>
      <x:c r="G21" s="43" t="n">
        <x:v>1.0093708140787183</x:v>
      </x:c>
      <x:c r="H21" s="32" t="n">
        <x:v>854456.4499939957</x:v>
      </x:c>
      <x:c r="I21" s="50" t="b">
        <x:v>1</x:v>
      </x:c>
      <x:c r="J21" s="50" t="b">
        <x:v>0</x:v>
      </x:c>
      <x:c r="K21" s="31"/>
      <x:c r="L21" s="31"/>
    </x:row>
    <x:row r="22">
      <x:c r="A22" s="31"/>
      <x:c r="B22" s="31"/>
      <x:c r="C22" s="31"/>
      <x:c r="D22" s="31" t="n">
        <x:v>18</x:v>
      </x:c>
      <x:c r="E22" s="42" t="n">
        <x:v>0.0292456879857162</x:v>
      </x:c>
      <x:c r="F22" s="42" t="n">
        <x:v>-0.00020042163892546023</x:v>
      </x:c>
      <x:c r="G22" s="43" t="n">
        <x:v>0.946754778286437</x:v>
      </x:c>
      <x:c r="H22" s="32" t="n">
        <x:v>1347306.0370862312</x:v>
      </x:c>
      <x:c r="I22" s="50" t="b">
        <x:v>0</x:v>
      </x:c>
      <x:c r="J22" s="50" t="b">
        <x:v>0</x:v>
      </x:c>
      <x:c r="K22" s="31"/>
      <x:c r="L22" s="31"/>
    </x:row>
    <x:row r="23">
      <x:c r="A23" s="31"/>
      <x:c r="B23" s="31"/>
      <x:c r="C23" s="31"/>
      <x:c r="D23" s="31" t="n">
        <x:v>19</x:v>
      </x:c>
      <x:c r="E23" s="42" t="n">
        <x:v>0.018291742646065274</x:v>
      </x:c>
      <x:c r="F23" s="42" t="n">
        <x:v>-0.007028217013341892</x:v>
      </x:c>
      <x:c r="G23" s="43" t="n">
        <x:v>0.9993888304162949</x:v>
      </x:c>
      <x:c r="H23" s="32" t="n">
        <x:v>1001557.2992369988</x:v>
      </x:c>
      <x:c r="I23" s="50" t="b">
        <x:v>0</x:v>
      </x:c>
      <x:c r="J23" s="50" t="b">
        <x:v>0</x:v>
      </x:c>
      <x:c r="K23" s="31"/>
      <x:c r="L23" s="31"/>
    </x:row>
    <x:row r="24">
      <x:c r="A24" s="31"/>
      <x:c r="B24" s="31"/>
      <x:c r="C24" s="31"/>
      <x:c r="D24" s="31" t="n">
        <x:v>20</x:v>
      </x:c>
      <x:c r="E24" s="42" t="n">
        <x:v>0.00038876204567171626</x:v>
      </x:c>
      <x:c r="F24" s="42" t="n">
        <x:v>0.0017908453411067111</x:v>
      </x:c>
      <x:c r="G24" s="43" t="n">
        <x:v>0.9976844303995154</x:v>
      </x:c>
      <x:c r="H24" s="32" t="n">
        <x:v>938000.0475533591</x:v>
      </x:c>
      <x:c r="I24" s="50" t="b">
        <x:v>1</x:v>
      </x:c>
      <x:c r="J24" s="50" t="b">
        <x:v>0</x:v>
      </x:c>
      <x:c r="K24" s="31"/>
      <x:c r="L24" s="31"/>
    </x:row>
    <x:row r="25">
      <x:c r="A25" s="31"/>
      <x:c r="B25" s="31"/>
      <x:c r="C25" s="31"/>
      <x:c r="D25" s="31" t="n">
        <x:v>21</x:v>
      </x:c>
      <x:c r="E25" s="42" t="n">
        <x:v>-0.009307721881381278</x:v>
      </x:c>
      <x:c r="F25" s="42" t="n">
        <x:v>0.003419305643619843</x:v>
      </x:c>
      <x:c r="G25" s="43" t="n">
        <x:v>1.0333826622656506</x:v>
      </x:c>
      <x:c r="H25" s="32" t="n">
        <x:v>679767.7594032866</x:v>
      </x:c>
      <x:c r="I25" s="50" t="b">
        <x:v>1</x:v>
      </x:c>
      <x:c r="J25" s="50" t="b">
        <x:v>0</x:v>
      </x:c>
      <x:c r="K25" s="31"/>
      <x:c r="L25" s="31"/>
    </x:row>
    <x:row r="26">
      <x:c r="A26" s="31"/>
      <x:c r="B26" s="31"/>
      <x:c r="C26" s="31"/>
      <x:c r="D26" s="31" t="n">
        <x:v>22</x:v>
      </x:c>
      <x:c r="E26" s="42" t="n">
        <x:v>0.0056736844573574766</x:v>
      </x:c>
      <x:c r="F26" s="42" t="n">
        <x:v>-0.0011068871499934668</x:v>
      </x:c>
      <x:c r="G26" s="43" t="n">
        <x:v>0.9282163445883347</x:v>
      </x:c>
      <x:c r="H26" s="32" t="n">
        <x:v>1401948.1930326407</x:v>
      </x:c>
      <x:c r="I26" s="50" t="b">
        <x:v>0</x:v>
      </x:c>
      <x:c r="J26" s="50" t="b">
        <x:v>0</x:v>
      </x:c>
      <x:c r="K26" s="31"/>
      <x:c r="L26" s="31"/>
    </x:row>
    <x:row r="27">
      <x:c r="A27" s="31"/>
      <x:c r="B27" s="31"/>
      <x:c r="C27" s="31"/>
      <x:c r="D27" s="31" t="n">
        <x:v>23</x:v>
      </x:c>
      <x:c r="E27" s="42" t="n">
        <x:v>0.008298908166071312</x:v>
      </x:c>
      <x:c r="F27" s="42" t="n">
        <x:v>0.0043215851843018465</x:v>
      </x:c>
      <x:c r="G27" s="43" t="n">
        <x:v>1.0693434574397567</x:v>
      </x:c>
      <x:c r="H27" s="32" t="n">
        <x:v>497888.1714983934</x:v>
      </x:c>
      <x:c r="I27" s="50" t="b">
        <x:v>1</x:v>
      </x:c>
      <x:c r="J27" s="50" t="b">
        <x:v>0</x:v>
      </x:c>
      <x:c r="K27" s="31"/>
      <x:c r="L27" s="31"/>
    </x:row>
    <x:row r="28">
      <x:c r="A28" s="31"/>
      <x:c r="B28" s="31"/>
      <x:c r="C28" s="31"/>
      <x:c r="D28" s="31" t="n">
        <x:v>24</x:v>
      </x:c>
      <x:c r="E28" s="42" t="n">
        <x:v>0.0014102840957938149</x:v>
      </x:c>
      <x:c r="F28" s="42" t="n">
        <x:v>0.004756499074998388</x:v>
      </x:c>
      <x:c r="G28" s="43" t="n">
        <x:v>1.0904026437154315</x:v>
      </x:c>
      <x:c r="H28" s="32" t="n">
        <x:v>343762.1936819311</x:v>
      </x:c>
      <x:c r="I28" s="50" t="b">
        <x:v>1</x:v>
      </x:c>
      <x:c r="J28" s="50" t="b">
        <x:v>0</x:v>
      </x:c>
      <x:c r="K28" s="31"/>
      <x:c r="L28" s="31"/>
    </x:row>
    <x:row r="29">
      <x:c r="A29" s="31"/>
      <x:c r="B29" s="31"/>
      <x:c r="C29" s="31"/>
      <x:c r="D29" s="31" t="n">
        <x:v>25</x:v>
      </x:c>
      <x:c r="E29" s="42" t="n">
        <x:v>-0.019333765679257934</x:v>
      </x:c>
      <x:c r="F29" s="42" t="n">
        <x:v>0.006966983053626208</x:v>
      </x:c>
      <x:c r="G29" s="43" t="n">
        <x:v>0.9681242004621126</x:v>
      </x:c>
      <x:c r="H29" s="32" t="n">
        <x:v>1056422.4558950423</x:v>
      </x:c>
      <x:c r="I29" s="50" t="b">
        <x:v>0</x:v>
      </x:c>
      <x:c r="J29" s="50" t="b">
        <x:v>0</x:v>
      </x:c>
      <x:c r="K29" s="31"/>
      <x:c r="L29" s="31"/>
    </x:row>
    <x:row r="30">
      <x:c r="A30" s="31"/>
      <x:c r="B30" s="31"/>
      <x:c r="C30" s="31"/>
      <x:c r="D30" s="31" t="n">
        <x:v>26</x:v>
      </x:c>
      <x:c r="E30" s="42" t="n">
        <x:v>-0.01804474353396458</x:v>
      </x:c>
      <x:c r="F30" s="42" t="n">
        <x:v>0.004162262548700954</x:v>
      </x:c>
      <x:c r="G30" s="43" t="n">
        <x:v>1.011120582072875</x:v>
      </x:c>
      <x:c r="H30" s="32" t="n">
        <x:v>794760.004814897</x:v>
      </x:c>
      <x:c r="I30" s="50" t="b">
        <x:v>1</x:v>
      </x:c>
      <x:c r="J30" s="50" t="b">
        <x:v>0</x:v>
      </x:c>
      <x:c r="K30" s="31"/>
      <x:c r="L30" s="31"/>
    </x:row>
    <x:row r="31">
      <x:c r="A31" s="31"/>
      <x:c r="B31" s="31"/>
      <x:c r="C31" s="31"/>
      <x:c r="D31" s="31" t="n">
        <x:v>27</x:v>
      </x:c>
      <x:c r="E31" s="42" t="n">
        <x:v>-0.0014778826582539182</x:v>
      </x:c>
      <x:c r="F31" s="42" t="n">
        <x:v>-0.007628324946829925</x:v>
      </x:c>
      <x:c r="G31" s="43" t="n">
        <x:v>0.9504979923019724</x:v>
      </x:c>
      <x:c r="H31" s="32" t="n">
        <x:v>1258689.9706270732</x:v>
      </x:c>
      <x:c r="I31" s="50" t="b">
        <x:v>0</x:v>
      </x:c>
      <x:c r="J31" s="50" t="b">
        <x:v>0</x:v>
      </x:c>
      <x:c r="K31" s="31"/>
      <x:c r="L31" s="31"/>
    </x:row>
    <x:row r="32">
      <x:c r="A32" s="31"/>
      <x:c r="B32" s="31"/>
      <x:c r="C32" s="31"/>
      <x:c r="D32" s="31" t="n">
        <x:v>28</x:v>
      </x:c>
      <x:c r="E32" s="42" t="n">
        <x:v>-0.0011484367886558562</x:v>
      </x:c>
      <x:c r="F32" s="42" t="n">
        <x:v>-0.004330865352148912</x:v>
      </x:c>
      <x:c r="G32" s="43" t="n">
        <x:v>1.0077056786752143</x:v>
      </x:c>
      <x:c r="H32" s="32" t="n">
        <x:v>887119.1140504321</x:v>
      </x:c>
      <x:c r="I32" s="50" t="b">
        <x:v>1</x:v>
      </x:c>
      <x:c r="J32" s="50" t="b">
        <x:v>0</x:v>
      </x:c>
      <x:c r="K32" s="31"/>
      <x:c r="L32" s="31"/>
    </x:row>
    <x:row r="33">
      <x:c r="A33" s="31"/>
      <x:c r="B33" s="31"/>
      <x:c r="C33" s="31"/>
      <x:c r="D33" s="31" t="n">
        <x:v>29</x:v>
      </x:c>
      <x:c r="E33" s="42" t="n">
        <x:v>-0.02473193605084044</x:v>
      </x:c>
      <x:c r="F33" s="42" t="n">
        <x:v>-0.008120791011315246</x:v>
      </x:c>
      <x:c r="G33" s="43" t="n">
        <x:v>1.0513203911675078</x:v>
      </x:c>
      <x:c r="H33" s="32" t="n">
        <x:v>555038.9496676512</x:v>
      </x:c>
      <x:c r="I33" s="50" t="b">
        <x:v>1</x:v>
      </x:c>
      <x:c r="J33" s="50" t="b">
        <x:v>0</x:v>
      </x:c>
      <x:c r="K33" s="31"/>
      <x:c r="L33" s="31"/>
    </x:row>
    <x:row r="34">
      <x:c r="A34" s="31"/>
      <x:c r="B34" s="31"/>
      <x:c r="C34" s="31"/>
      <x:c r="D34" s="31" t="n">
        <x:v>30</x:v>
      </x:c>
      <x:c r="E34" s="42" t="n">
        <x:v>0.0037148658930962726</x:v>
      </x:c>
      <x:c r="F34" s="42" t="n">
        <x:v>0.002849529076574015</x:v>
      </x:c>
      <x:c r="G34" s="43" t="n">
        <x:v>1.0519733213186535</x:v>
      </x:c>
      <x:c r="H34" s="32" t="n">
        <x:v>599538.5554201787</x:v>
      </x:c>
      <x:c r="I34" s="50" t="b">
        <x:v>1</x:v>
      </x:c>
      <x:c r="J34" s="50" t="b">
        <x:v>0</x:v>
      </x:c>
      <x:c r="K34" s="31"/>
      <x:c r="L34" s="31"/>
    </x:row>
    <x:row r="35">
      <x:c r="A35" s="31"/>
      <x:c r="B35" s="31"/>
      <x:c r="C35" s="31"/>
      <x:c r="D35" s="31" t="n">
        <x:v>31</x:v>
      </x:c>
      <x:c r="E35" s="42" t="n">
        <x:v>0.0005545591210409853</x:v>
      </x:c>
      <x:c r="F35" s="42" t="n">
        <x:v>-0.008692918317342996</x:v>
      </x:c>
      <x:c r="G35" s="43" t="n">
        <x:v>0.9915893981771978</x:v>
      </x:c>
      <x:c r="H35" s="32" t="n">
        <x:v>1006351.1072049027</x:v>
      </x:c>
      <x:c r="I35" s="50" t="b">
        <x:v>0</x:v>
      </x:c>
      <x:c r="J35" s="50" t="b">
        <x:v>0</x:v>
      </x:c>
      <x:c r="K35" s="31"/>
      <x:c r="L35" s="31"/>
    </x:row>
    <x:row r="36">
      <x:c r="A36" s="31"/>
      <x:c r="B36" s="31"/>
      <x:c r="C36" s="31"/>
      <x:c r="D36" s="31" t="n">
        <x:v>32</x:v>
      </x:c>
      <x:c r="E36" s="42" t="n">
        <x:v>0.017414312926564562</x:v>
      </x:c>
      <x:c r="F36" s="42" t="n">
        <x:v>0.007481900383176686</x:v>
      </x:c>
      <x:c r="G36" s="43" t="n">
        <x:v>1.0552257056252616</x:v>
      </x:c>
      <x:c r="H36" s="32" t="n">
        <x:v>604122.0179116798</x:v>
      </x:c>
      <x:c r="I36" s="50" t="b">
        <x:v>1</x:v>
      </x:c>
      <x:c r="J36" s="50" t="b">
        <x:v>0</x:v>
      </x:c>
      <x:c r="K36" s="31"/>
      <x:c r="L36" s="31"/>
    </x:row>
    <x:row r="37">
      <x:c r="A37" s="31"/>
      <x:c r="B37" s="31"/>
      <x:c r="C37" s="31"/>
      <x:c r="D37" s="31" t="n">
        <x:v>33</x:v>
      </x:c>
      <x:c r="E37" s="42" t="n">
        <x:v>0.009101836400123459</x:v>
      </x:c>
      <x:c r="F37" s="42" t="n">
        <x:v>0.0075878325168513994</x:v>
      </x:c>
      <x:c r="G37" s="43" t="n">
        <x:v>1.0740611468075991</x:v>
      </x:c>
      <x:c r="H37" s="32" t="n">
        <x:v>461070.799497174</x:v>
      </x:c>
      <x:c r="I37" s="50" t="b">
        <x:v>1</x:v>
      </x:c>
      <x:c r="J37" s="50" t="b">
        <x:v>0</x:v>
      </x:c>
      <x:c r="K37" s="31"/>
      <x:c r="L37" s="31"/>
    </x:row>
    <x:row r="38">
      <x:c r="A38" s="31"/>
      <x:c r="B38" s="31"/>
      <x:c r="C38" s="31"/>
      <x:c r="D38" s="31" t="n">
        <x:v>34</x:v>
      </x:c>
      <x:c r="E38" s="42" t="n">
        <x:v>-0.012951562953830884</x:v>
      </x:c>
      <x:c r="F38" s="42" t="n">
        <x:v>-0.004456619672742218</x:v>
      </x:c>
      <x:c r="G38" s="43" t="n">
        <x:v>1.0345381689480493</x:v>
      </x:c>
      <x:c r="H38" s="32" t="n">
        <x:v>684209.5739100826</x:v>
      </x:c>
      <x:c r="I38" s="50" t="b">
        <x:v>1</x:v>
      </x:c>
      <x:c r="J38" s="50" t="b">
        <x:v>0</x:v>
      </x:c>
      <x:c r="K38" s="31"/>
      <x:c r="L38" s="31"/>
    </x:row>
    <x:row r="39">
      <x:c r="A39" s="31"/>
      <x:c r="B39" s="31"/>
      <x:c r="C39" s="31"/>
      <x:c r="D39" s="31" t="n">
        <x:v>35</x:v>
      </x:c>
      <x:c r="E39" s="42" t="n">
        <x:v>-0.0037789151710963765</x:v>
      </x:c>
      <x:c r="F39" s="42" t="n">
        <x:v>-0.0024678944406055863</x:v>
      </x:c>
      <x:c r="G39" s="43" t="n">
        <x:v>1.0710583721614133</x:v>
      </x:c>
      <x:c r="H39" s="32" t="n">
        <x:v>472277.02651809936</x:v>
      </x:c>
      <x:c r="I39" s="50" t="b">
        <x:v>1</x:v>
      </x:c>
      <x:c r="J39" s="50" t="b">
        <x:v>0</x:v>
      </x:c>
      <x:c r="K39" s="31"/>
      <x:c r="L39" s="31"/>
    </x:row>
    <x:row r="40">
      <x:c r="A40" s="31"/>
      <x:c r="B40" s="31"/>
      <x:c r="C40" s="31"/>
      <x:c r="D40" s="31" t="n">
        <x:v>36</x:v>
      </x:c>
      <x:c r="E40" s="42" t="n">
        <x:v>-0.02590731967538163</x:v>
      </x:c>
      <x:c r="F40" s="42" t="n">
        <x:v>0.003072507488336997</x:v>
      </x:c>
      <x:c r="G40" s="43" t="n">
        <x:v>1.061774831123076</x:v>
      </x:c>
      <x:c r="H40" s="32" t="n">
        <x:v>454217.35095650714</x:v>
      </x:c>
      <x:c r="I40" s="50" t="b">
        <x:v>1</x:v>
      </x:c>
      <x:c r="J40" s="50" t="b">
        <x:v>0</x:v>
      </x:c>
      <x:c r="K40" s="31"/>
      <x:c r="L40" s="31"/>
    </x:row>
    <x:row r="41">
      <x:c r="A41" s="31"/>
      <x:c r="B41" s="31"/>
      <x:c r="C41" s="31"/>
      <x:c r="D41" s="31" t="n">
        <x:v>37</x:v>
      </x:c>
      <x:c r="E41" s="42" t="n">
        <x:v>0.008381203047221312</x:v>
      </x:c>
      <x:c r="F41" s="42" t="n">
        <x:v>0.0025105012074131874</x:v>
      </x:c>
      <x:c r="G41" s="43" t="n">
        <x:v>0.9416515482923316</x:v>
      </x:c>
      <x:c r="H41" s="32" t="n">
        <x:v>1314092.491651919</x:v>
      </x:c>
      <x:c r="I41" s="50" t="b">
        <x:v>0</x:v>
      </x:c>
      <x:c r="J41" s="50" t="b">
        <x:v>0</x:v>
      </x:c>
      <x:c r="K41" s="31"/>
      <x:c r="L41" s="31"/>
    </x:row>
    <x:row r="42">
      <x:c r="A42" s="31"/>
      <x:c r="B42" s="31"/>
      <x:c r="C42" s="31"/>
      <x:c r="D42" s="31" t="n">
        <x:v>38</x:v>
      </x:c>
      <x:c r="E42" s="42" t="n">
        <x:v>0.0024412325621254853</x:v>
      </x:c>
      <x:c r="F42" s="42" t="n">
        <x:v>0.005255577255738552</x:v>
      </x:c>
      <x:c r="G42" s="43" t="n">
        <x:v>1.0232946172208772</x:v>
      </x:c>
      <x:c r="H42" s="32" t="n">
        <x:v>771426.1624675216</x:v>
      </x:c>
      <x:c r="I42" s="50" t="b">
        <x:v>1</x:v>
      </x:c>
      <x:c r="J42" s="50" t="b">
        <x:v>0</x:v>
      </x:c>
      <x:c r="K42" s="31"/>
      <x:c r="L42" s="31"/>
    </x:row>
    <x:row r="43">
      <x:c r="A43" s="31"/>
      <x:c r="B43" s="31"/>
      <x:c r="C43" s="31"/>
      <x:c r="D43" s="31" t="n">
        <x:v>39</x:v>
      </x:c>
      <x:c r="E43" s="42" t="n">
        <x:v>0.013287705296959607</x:v>
      </x:c>
      <x:c r="F43" s="42" t="n">
        <x:v>-0.00846558518755129</x:v>
      </x:c>
      <x:c r="G43" s="43" t="n">
        <x:v>1.0352528713272569</x:v>
      </x:c>
      <x:c r="H43" s="32" t="n">
        <x:v>763867.3368088612</x:v>
      </x:c>
      <x:c r="I43" s="50" t="b">
        <x:v>1</x:v>
      </x:c>
      <x:c r="J43" s="50" t="b">
        <x:v>0</x:v>
      </x:c>
      <x:c r="K43" s="31"/>
      <x:c r="L43" s="31"/>
    </x:row>
    <x:row r="44">
      <x:c r="A44" s="31"/>
      <x:c r="B44" s="31"/>
      <x:c r="C44" s="31"/>
      <x:c r="D44" s="31" t="n">
        <x:v>40</x:v>
      </x:c>
      <x:c r="E44" s="42" t="n">
        <x:v>-0.010515610401789</x:v>
      </x:c>
      <x:c r="F44" s="42" t="n">
        <x:v>-0.004171356701573716</x:v>
      </x:c>
      <x:c r="G44" s="43" t="n">
        <x:v>1.01959335509989</x:v>
      </x:c>
      <x:c r="H44" s="32" t="n">
        <x:v>785106.2183099797</x:v>
      </x:c>
      <x:c r="I44" s="50" t="b">
        <x:v>1</x:v>
      </x:c>
      <x:c r="J44" s="50" t="b">
        <x:v>0</x:v>
      </x:c>
      <x:c r="K44" s="31"/>
      <x:c r="L44" s="31"/>
    </x:row>
    <x:row r="45">
      <x:c r="A45" s="31"/>
      <x:c r="B45" s="31"/>
      <x:c r="C45" s="31"/>
      <x:c r="D45" s="31" t="n">
        <x:v>41</x:v>
      </x:c>
      <x:c r="E45" s="42" t="n">
        <x:v>-0.0010896817450769857</x:v>
      </x:c>
      <x:c r="F45" s="42" t="n">
        <x:v>-0.00504127794967544</x:v>
      </x:c>
      <x:c r="G45" s="43" t="n">
        <x:v>0.9519642492231521</x:v>
      </x:c>
      <x:c r="H45" s="32" t="n">
        <x:v>1243257.6639175382</x:v>
      </x:c>
      <x:c r="I45" s="50" t="b">
        <x:v>0</x:v>
      </x:c>
      <x:c r="J45" s="50" t="b">
        <x:v>0</x:v>
      </x:c>
      <x:c r="K45" s="31"/>
      <x:c r="L45" s="31"/>
    </x:row>
    <x:row r="46">
      <x:c r="A46" s="31"/>
      <x:c r="B46" s="31"/>
      <x:c r="C46" s="31"/>
      <x:c r="D46" s="31" t="n">
        <x:v>42</x:v>
      </x:c>
      <x:c r="E46" s="42" t="n">
        <x:v>0.01639258271316506</x:v>
      </x:c>
      <x:c r="F46" s="42" t="n">
        <x:v>-0.004511746004592671</x:v>
      </x:c>
      <x:c r="G46" s="43" t="n">
        <x:v>1.0717631839632855</x:v>
      </x:c>
      <x:c r="H46" s="32" t="n">
        <x:v>529637.8900307165</x:v>
      </x:c>
      <x:c r="I46" s="50" t="b">
        <x:v>1</x:v>
      </x:c>
      <x:c r="J46" s="50" t="b">
        <x:v>0</x:v>
      </x:c>
      <x:c r="K46" s="31"/>
      <x:c r="L46" s="31"/>
    </x:row>
    <x:row r="47">
      <x:c r="A47" s="31"/>
      <x:c r="B47" s="31"/>
      <x:c r="C47" s="31"/>
      <x:c r="D47" s="31" t="n">
        <x:v>43</x:v>
      </x:c>
      <x:c r="E47" s="42" t="n">
        <x:v>0.009550349558587868</x:v>
      </x:c>
      <x:c r="F47" s="42" t="n">
        <x:v>-0.001074865520510633</x:v>
      </x:c>
      <x:c r="G47" s="43" t="n">
        <x:v>0.9434793645218389</x:v>
      </x:c>
      <x:c r="H47" s="32" t="n">
        <x:v>1315718.8570747818</x:v>
      </x:c>
      <x:c r="I47" s="50" t="b">
        <x:v>0</x:v>
      </x:c>
      <x:c r="J47" s="50" t="b">
        <x:v>0</x:v>
      </x:c>
      <x:c r="K47" s="31"/>
      <x:c r="L47" s="31"/>
    </x:row>
    <x:row r="48">
      <x:c r="A48" s="31"/>
      <x:c r="B48" s="31"/>
      <x:c r="C48" s="31"/>
      <x:c r="D48" s="31" t="n">
        <x:v>44</x:v>
      </x:c>
      <x:c r="E48" s="42" t="n">
        <x:v>0.016643953453114972</x:v>
      </x:c>
      <x:c r="F48" s="42" t="n">
        <x:v>-0.007881289987553306</x:v>
      </x:c>
      <x:c r="G48" s="43" t="n">
        <x:v>0.9389126494483525</x:v>
      </x:c>
      <x:c r="H48" s="32" t="n">
        <x:v>1383411.769126348</x:v>
      </x:c>
      <x:c r="I48" s="50" t="b">
        <x:v>0</x:v>
      </x:c>
      <x:c r="J48" s="50" t="b">
        <x:v>0</x:v>
      </x:c>
      <x:c r="K48" s="31"/>
      <x:c r="L48" s="31"/>
    </x:row>
    <x:row r="49">
      <x:c r="A49" s="31"/>
      <x:c r="B49" s="31"/>
      <x:c r="C49" s="31"/>
      <x:c r="D49" s="31" t="n">
        <x:v>45</x:v>
      </x:c>
      <x:c r="E49" s="42" t="n">
        <x:v>-0.006570306099926991</x:v>
      </x:c>
      <x:c r="F49" s="42" t="n">
        <x:v>-0.007065627533709558</x:v>
      </x:c>
      <x:c r="G49" s="43" t="n">
        <x:v>0.9918632626147342</x:v>
      </x:c>
      <x:c r="H49" s="32" t="n">
        <x:v>980250.0538258355</x:v>
      </x:c>
      <x:c r="I49" s="50" t="b">
        <x:v>1</x:v>
      </x:c>
      <x:c r="J49" s="50" t="b">
        <x:v>0</x:v>
      </x:c>
      <x:c r="K49" s="31"/>
      <x:c r="L49" s="31"/>
    </x:row>
    <x:row r="50">
      <x:c r="A50" s="31"/>
      <x:c r="B50" s="31"/>
      <x:c r="C50" s="31"/>
      <x:c r="D50" s="31" t="n">
        <x:v>46</x:v>
      </x:c>
      <x:c r="E50" s="42" t="n">
        <x:v>-0.011543469617215514</x:v>
      </x:c>
      <x:c r="F50" s="42" t="n">
        <x:v>-0.00117954716232317</x:v>
      </x:c>
      <x:c r="G50" s="43" t="n">
        <x:v>0.9833110059456518</x:v>
      </x:c>
      <x:c r="H50" s="32" t="n">
        <x:v>1004335.9945523797</x:v>
      </x:c>
      <x:c r="I50" s="50" t="b">
        <x:v>0</x:v>
      </x:c>
      <x:c r="J50" s="50" t="b">
        <x:v>0</x:v>
      </x:c>
      <x:c r="K50" s="31"/>
      <x:c r="L50" s="31"/>
    </x:row>
    <x:row r="51">
      <x:c r="A51" s="31"/>
      <x:c r="B51" s="31"/>
      <x:c r="C51" s="31"/>
      <x:c r="D51" s="31" t="n">
        <x:v>47</x:v>
      </x:c>
      <x:c r="E51" s="42" t="n">
        <x:v>0.0039694537216452275</x:v>
      </x:c>
      <x:c r="F51" s="42" t="n">
        <x:v>-0.0019338207588902932</x:v>
      </x:c>
      <x:c r="G51" s="43" t="n">
        <x:v>0.9480178576428695</x:v>
      </x:c>
      <x:c r="H51" s="32" t="n">
        <x:v>1273752.5851418893</x:v>
      </x:c>
      <x:c r="I51" s="50" t="b">
        <x:v>0</x:v>
      </x:c>
      <x:c r="J51" s="50" t="b">
        <x:v>0</x:v>
      </x:c>
      <x:c r="K51" s="31"/>
      <x:c r="L51" s="31"/>
    </x:row>
    <x:row r="52">
      <x:c r="A52" s="31"/>
      <x:c r="B52" s="31"/>
      <x:c r="C52" s="31"/>
      <x:c r="D52" s="31" t="n">
        <x:v>48</x:v>
      </x:c>
      <x:c r="E52" s="42" t="n">
        <x:v>0.0032600016086693586</x:v>
      </x:c>
      <x:c r="F52" s="42" t="n">
        <x:v>0.0022220126693399942</x:v>
      </x:c>
      <x:c r="G52" s="43" t="n">
        <x:v>1.0130431652455238</x:v>
      </x:c>
      <x:c r="H52" s="32" t="n">
        <x:v>847253.1989407181</x:v>
      </x:c>
      <x:c r="I52" s="50" t="b">
        <x:v>1</x:v>
      </x:c>
      <x:c r="J52" s="50" t="b">
        <x:v>0</x:v>
      </x:c>
      <x:c r="K52" s="31"/>
      <x:c r="L52" s="31"/>
    </x:row>
    <x:row r="53">
      <x:c r="A53" s="31"/>
      <x:c r="B53" s="31"/>
      <x:c r="C53" s="31"/>
      <x:c r="D53" s="31" t="n">
        <x:v>49</x:v>
      </x:c>
      <x:c r="E53" s="42" t="n">
        <x:v>-0.021497092951649078</x:v>
      </x:c>
      <x:c r="F53" s="42" t="n">
        <x:v>-0.006691347960329915</x:v>
      </x:c>
      <x:c r="G53" s="43" t="n">
        <x:v>1.0073036529021169</x:v>
      </x:c>
      <x:c r="H53" s="32" t="n">
        <x:v>839601.7826138248</x:v>
      </x:c>
      <x:c r="I53" s="50" t="b">
        <x:v>1</x:v>
      </x:c>
      <x:c r="J53" s="50" t="b">
        <x:v>0</x:v>
      </x:c>
      <x:c r="K53" s="31"/>
      <x:c r="L53" s="31"/>
    </x:row>
    <x:row r="54">
      <x:c r="A54" s="31"/>
      <x:c r="B54" s="31"/>
      <x:c r="C54" s="31"/>
      <x:c r="D54" s="31" t="n">
        <x:v>50</x:v>
      </x:c>
      <x:c r="E54" s="42" t="n">
        <x:v>-0.03313887729368283</x:v>
      </x:c>
      <x:c r="F54" s="42" t="n">
        <x:v>-0.004185242908050425</x:v>
      </x:c>
      <x:c r="G54" s="43" t="n">
        <x:v>1.0056465265356813</x:v>
      </x:c>
      <x:c r="H54" s="32" t="n">
        <x:v>810744.7449287124</x:v>
      </x:c>
      <x:c r="I54" s="50" t="b">
        <x:v>1</x:v>
      </x:c>
      <x:c r="J54" s="50" t="b">
        <x:v>0</x:v>
      </x:c>
      <x:c r="K54" s="31"/>
      <x:c r="L54" s="31"/>
    </x:row>
    <x:row r="55">
      <x:c r="A55" s="31"/>
      <x:c r="B55" s="31"/>
      <x:c r="C55" s="31"/>
      <x:c r="D55" s="31" t="n">
        <x:v>51</x:v>
      </x:c>
      <x:c r="E55" s="42" t="n">
        <x:v>-0.016319677936424654</x:v>
      </x:c>
      <x:c r="F55" s="42" t="n">
        <x:v>-0.002226797582797992</x:v>
      </x:c>
      <x:c r="G55" s="43" t="n">
        <x:v>0.9384114609802834</x:v>
      </x:c>
      <x:c r="H55" s="32" t="n">
        <x:v>1279100.2672504636</x:v>
      </x:c>
      <x:c r="I55" s="50" t="b">
        <x:v>0</x:v>
      </x:c>
      <x:c r="J55" s="50" t="b">
        <x:v>0</x:v>
      </x:c>
      <x:c r="K55" s="31"/>
      <x:c r="L55" s="31"/>
    </x:row>
    <x:row r="56">
      <x:c r="A56" s="31"/>
      <x:c r="B56" s="31"/>
      <x:c r="C56" s="31"/>
      <x:c r="D56" s="31" t="n">
        <x:v>52</x:v>
      </x:c>
      <x:c r="E56" s="42" t="n">
        <x:v>-0.00016752320861808165</x:v>
      </x:c>
      <x:c r="F56" s="42" t="n">
        <x:v>0.005448945139034262</x:v>
      </x:c>
      <x:c r="G56" s="43" t="n">
        <x:v>1.0069421153969254</x:v>
      </x:c>
      <x:c r="H56" s="32" t="n">
        <x:v>867476.3570532707</x:v>
      </x:c>
      <x:c r="I56" s="50" t="b">
        <x:v>1</x:v>
      </x:c>
      <x:c r="J56" s="50" t="b">
        <x:v>0</x:v>
      </x:c>
      <x:c r="K56" s="31"/>
      <x:c r="L56" s="31"/>
    </x:row>
    <x:row r="57">
      <x:c r="A57" s="31"/>
      <x:c r="B57" s="31"/>
      <x:c r="C57" s="31"/>
      <x:c r="D57" s="31" t="n">
        <x:v>53</x:v>
      </x:c>
      <x:c r="E57" s="42" t="n">
        <x:v>-0.0035636900647985485</x:v>
      </x:c>
      <x:c r="F57" s="42" t="n">
        <x:v>-0.0035144705439090615</x:v>
      </x:c>
      <x:c r="G57" s="43" t="n">
        <x:v>1.0054120381085578</x:v>
      </x:c>
      <x:c r="H57" s="32" t="n">
        <x:v>892689.9919935695</x:v>
      </x:c>
      <x:c r="I57" s="50" t="b">
        <x:v>1</x:v>
      </x:c>
      <x:c r="J57" s="50" t="b">
        <x:v>0</x:v>
      </x:c>
      <x:c r="K57" s="31"/>
      <x:c r="L57" s="31"/>
    </x:row>
    <x:row r="58">
      <x:c r="A58" s="31"/>
      <x:c r="B58" s="31"/>
      <x:c r="C58" s="31"/>
      <x:c r="D58" s="31" t="n">
        <x:v>54</x:v>
      </x:c>
      <x:c r="E58" s="42" t="n">
        <x:v>0.008400074023255865</x:v>
      </x:c>
      <x:c r="F58" s="42" t="n">
        <x:v>-0.010454215345294306</x:v>
      </x:c>
      <x:c r="G58" s="43" t="n">
        <x:v>0.9598345179867265</x:v>
      </x:c>
      <x:c r="H58" s="32" t="n">
        <x:v>1234757.860080453</x:v>
      </x:c>
      <x:c r="I58" s="50" t="b">
        <x:v>0</x:v>
      </x:c>
      <x:c r="J58" s="50" t="b">
        <x:v>0</x:v>
      </x:c>
      <x:c r="K58" s="31"/>
      <x:c r="L58" s="31"/>
    </x:row>
    <x:row r="59">
      <x:c r="A59" s="31"/>
      <x:c r="B59" s="31"/>
      <x:c r="C59" s="31"/>
      <x:c r="D59" s="31" t="n">
        <x:v>55</x:v>
      </x:c>
      <x:c r="E59" s="42" t="n">
        <x:v>-0.0008312618204301643</x:v>
      </x:c>
      <x:c r="F59" s="42" t="n">
        <x:v>-0.004467347031723098</x:v>
      </x:c>
      <x:c r="G59" s="43" t="n">
        <x:v>1.0140479279972616</x:v>
      </x:c>
      <x:c r="H59" s="32" t="n">
        <x:v>848104.1024288945</x:v>
      </x:c>
      <x:c r="I59" s="50" t="b">
        <x:v>1</x:v>
      </x:c>
      <x:c r="J59" s="50" t="b">
        <x:v>0</x:v>
      </x:c>
      <x:c r="K59" s="31"/>
      <x:c r="L59" s="31"/>
    </x:row>
    <x:row r="60">
      <x:c r="A60" s="31"/>
      <x:c r="B60" s="31"/>
      <x:c r="C60" s="31"/>
      <x:c r="D60" s="31" t="n">
        <x:v>56</x:v>
      </x:c>
      <x:c r="E60" s="42" t="n">
        <x:v>0.0015085778543224427</x:v>
      </x:c>
      <x:c r="F60" s="42" t="n">
        <x:v>-0.009388992880967178</x:v>
      </x:c>
      <x:c r="G60" s="43" t="n">
        <x:v>1.0029539845219722</x:v>
      </x:c>
      <x:c r="H60" s="32" t="n">
        <x:v>938771.0064603456</x:v>
      </x:c>
      <x:c r="I60" s="50" t="b">
        <x:v>1</x:v>
      </x:c>
      <x:c r="J60" s="50" t="b">
        <x:v>0</x:v>
      </x:c>
      <x:c r="K60" s="31"/>
      <x:c r="L60" s="31"/>
    </x:row>
    <x:row r="61">
      <x:c r="A61" s="31"/>
      <x:c r="B61" s="31"/>
      <x:c r="C61" s="31"/>
      <x:c r="D61" s="31" t="n">
        <x:v>57</x:v>
      </x:c>
      <x:c r="E61" s="42" t="n">
        <x:v>-0.0197474059114169</x:v>
      </x:c>
      <x:c r="F61" s="42" t="n">
        <x:v>0.004719602357981359</x:v>
      </x:c>
      <x:c r="G61" s="43" t="n">
        <x:v>1.0355303494552581</x:v>
      </x:c>
      <x:c r="H61" s="32" t="n">
        <x:v>633449.9280615533</x:v>
      </x:c>
      <x:c r="I61" s="50" t="b">
        <x:v>1</x:v>
      </x:c>
      <x:c r="J61" s="50" t="b">
        <x:v>0</x:v>
      </x:c>
      <x:c r="K61" s="31"/>
      <x:c r="L61" s="31"/>
    </x:row>
    <x:row r="62">
      <x:c r="A62" s="31"/>
      <x:c r="B62" s="31"/>
      <x:c r="C62" s="31"/>
      <x:c r="D62" s="31" t="n">
        <x:v>58</x:v>
      </x:c>
      <x:c r="E62" s="42" t="n">
        <x:v>-0.0019277535580268974</x:v>
      </x:c>
      <x:c r="F62" s="42" t="n">
        <x:v>0.0008358763880392109</x:v>
      </x:c>
      <x:c r="G62" s="43" t="n">
        <x:v>1.0608049994092499</x:v>
      </x:c>
      <x:c r="H62" s="32" t="n">
        <x:v>533349.8352743471</x:v>
      </x:c>
      <x:c r="I62" s="50" t="b">
        <x:v>1</x:v>
      </x:c>
      <x:c r="J62" s="50" t="b">
        <x:v>0</x:v>
      </x:c>
      <x:c r="K62" s="31"/>
      <x:c r="L62" s="31"/>
    </x:row>
    <x:row r="63">
      <x:c r="A63" s="31"/>
      <x:c r="B63" s="31"/>
      <x:c r="C63" s="31"/>
      <x:c r="D63" s="31" t="n">
        <x:v>59</x:v>
      </x:c>
      <x:c r="E63" s="42" t="n">
        <x:v>-0.00013856369974967945</x:v>
      </x:c>
      <x:c r="F63" s="42" t="n">
        <x:v>0.0006596342864455218</x:v>
      </x:c>
      <x:c r="G63" s="43" t="n">
        <x:v>1.0944921176765205</x:v>
      </x:c>
      <x:c r="H63" s="32" t="n">
        <x:v>324883.599527352</x:v>
      </x:c>
      <x:c r="I63" s="50" t="b">
        <x:v>1</x:v>
      </x:c>
      <x:c r="J63" s="50" t="b">
        <x:v>0</x:v>
      </x:c>
      <x:c r="K63" s="31"/>
      <x:c r="L63" s="31"/>
    </x:row>
    <x:row r="64">
      <x:c r="A64" s="31"/>
      <x:c r="B64" s="31"/>
      <x:c r="C64" s="31"/>
      <x:c r="D64" s="31" t="n">
        <x:v>60</x:v>
      </x:c>
      <x:c r="E64" s="42" t="n">
        <x:v>-0.014256429569648817</x:v>
      </x:c>
      <x:c r="F64" s="42" t="n">
        <x:v>-0.0040018764710120875</x:v>
      </x:c>
      <x:c r="G64" s="43" t="n">
        <x:v>0.9974715434369709</x:v>
      </x:c>
      <x:c r="H64" s="32" t="n">
        <x:v>914710.9846140156</x:v>
      </x:c>
      <x:c r="I64" s="50" t="b">
        <x:v>1</x:v>
      </x:c>
      <x:c r="J64" s="50" t="b">
        <x:v>0</x:v>
      </x:c>
      <x:c r="K64" s="31"/>
      <x:c r="L64" s="31"/>
    </x:row>
    <x:row r="65">
      <x:c r="A65" s="31"/>
      <x:c r="B65" s="31"/>
      <x:c r="C65" s="31"/>
      <x:c r="D65" s="31" t="n">
        <x:v>61</x:v>
      </x:c>
      <x:c r="E65" s="42" t="n">
        <x:v>0.013430373400760136</x:v>
      </x:c>
      <x:c r="F65" s="42" t="n">
        <x:v>0.010393416545931794</x:v>
      </x:c>
      <x:c r="G65" s="43" t="n">
        <x:v>0.9476394591165648</x:v>
      </x:c>
      <x:c r="H65" s="32" t="n">
        <x:v>1268177.2251295955</x:v>
      </x:c>
      <x:c r="I65" s="50" t="b">
        <x:v>0</x:v>
      </x:c>
      <x:c r="J65" s="50" t="b">
        <x:v>0</x:v>
      </x:c>
      <x:c r="K65" s="31"/>
      <x:c r="L65" s="31"/>
    </x:row>
    <x:row r="66">
      <x:c r="A66" s="31"/>
      <x:c r="B66" s="31"/>
      <x:c r="C66" s="31"/>
      <x:c r="D66" s="31" t="n">
        <x:v>62</x:v>
      </x:c>
      <x:c r="E66" s="42" t="n">
        <x:v>-0.019584335145890457</x:v>
      </x:c>
      <x:c r="F66" s="42" t="n">
        <x:v>-0.0009793424714313276</x:v>
      </x:c>
      <x:c r="G66" s="43" t="n">
        <x:v>0.9824361424418111</x:v>
      </x:c>
      <x:c r="H66" s="32" t="n">
        <x:v>986952.7957744496</x:v>
      </x:c>
      <x:c r="I66" s="50" t="b">
        <x:v>1</x:v>
      </x:c>
      <x:c r="J66" s="50" t="b">
        <x:v>0</x:v>
      </x:c>
      <x:c r="K66" s="31"/>
      <x:c r="L66" s="31"/>
    </x:row>
    <x:row r="67">
      <x:c r="A67" s="31"/>
      <x:c r="B67" s="31"/>
      <x:c r="C67" s="31"/>
      <x:c r="D67" s="31" t="n">
        <x:v>63</x:v>
      </x:c>
      <x:c r="E67" s="42" t="n">
        <x:v>-0.006005852919563855</x:v>
      </x:c>
      <x:c r="F67" s="42" t="n">
        <x:v>0.004777699368806589</x:v>
      </x:c>
      <x:c r="G67" s="43" t="n">
        <x:v>1.0294097101118223</x:v>
      </x:c>
      <x:c r="H67" s="32" t="n">
        <x:v>710408.5257388656</x:v>
      </x:c>
      <x:c r="I67" s="50" t="b">
        <x:v>1</x:v>
      </x:c>
      <x:c r="J67" s="50" t="b">
        <x:v>0</x:v>
      </x:c>
      <x:c r="K67" s="31"/>
      <x:c r="L67" s="31"/>
    </x:row>
    <x:row r="68">
      <x:c r="A68" s="31"/>
      <x:c r="B68" s="31"/>
      <x:c r="C68" s="31"/>
      <x:c r="D68" s="31" t="n">
        <x:v>64</x:v>
      </x:c>
      <x:c r="E68" s="42" t="n">
        <x:v>-0.0066057446799210025</x:v>
      </x:c>
      <x:c r="F68" s="42" t="n">
        <x:v>-0.011190394086319229</x:v>
      </x:c>
      <x:c r="G68" s="43" t="n">
        <x:v>0.9569201598107216</x:v>
      </x:c>
      <x:c r="H68" s="32" t="n">
        <x:v>1213546.2393891339</x:v>
      </x:c>
      <x:c r="I68" s="50" t="b">
        <x:v>0</x:v>
      </x:c>
      <x:c r="J68" s="50" t="b">
        <x:v>0</x:v>
      </x:c>
      <x:c r="K68" s="31"/>
      <x:c r="L68" s="31"/>
    </x:row>
    <x:row r="69">
      <x:c r="A69" s="31"/>
      <x:c r="B69" s="31"/>
      <x:c r="C69" s="31"/>
      <x:c r="D69" s="31" t="n">
        <x:v>65</x:v>
      </x:c>
      <x:c r="E69" s="42" t="n">
        <x:v>0.0005532374080583674</x:v>
      </x:c>
      <x:c r="F69" s="42" t="n">
        <x:v>0.0010711950833242308</x:v>
      </x:c>
      <x:c r="G69" s="43" t="n">
        <x:v>0.9686838111665701</x:v>
      </x:c>
      <x:c r="H69" s="32" t="n">
        <x:v>1124635.5020086167</x:v>
      </x:c>
      <x:c r="I69" s="50" t="b">
        <x:v>0</x:v>
      </x:c>
      <x:c r="J69" s="50" t="b">
        <x:v>0</x:v>
      </x:c>
      <x:c r="K69" s="31"/>
      <x:c r="L69" s="31"/>
    </x:row>
    <x:row r="70">
      <x:c r="A70" s="31"/>
      <x:c r="B70" s="31"/>
      <x:c r="C70" s="31"/>
      <x:c r="D70" s="31" t="n">
        <x:v>66</x:v>
      </x:c>
      <x:c r="E70" s="42" t="n">
        <x:v>-0.007518433102753759</x:v>
      </x:c>
      <x:c r="F70" s="42" t="n">
        <x:v>-0.006749500839035835</x:v>
      </x:c>
      <x:c r="G70" s="43" t="n">
        <x:v>1.0427879300414078</x:v>
      </x:c>
      <x:c r="H70" s="32" t="n">
        <x:v>653323.2711757715</x:v>
      </x:c>
      <x:c r="I70" s="50" t="b">
        <x:v>1</x:v>
      </x:c>
      <x:c r="J70" s="50" t="b">
        <x:v>0</x:v>
      </x:c>
      <x:c r="K70" s="31"/>
      <x:c r="L70" s="31"/>
    </x:row>
    <x:row r="71">
      <x:c r="A71" s="31"/>
      <x:c r="B71" s="31"/>
      <x:c r="C71" s="31"/>
      <x:c r="D71" s="31" t="n">
        <x:v>67</x:v>
      </x:c>
      <x:c r="E71" s="42" t="n">
        <x:v>-0.01375451352088657</x:v>
      </x:c>
      <x:c r="F71" s="42" t="n">
        <x:v>-0.009918917552875087</x:v>
      </x:c>
      <x:c r="G71" s="43" t="n">
        <x:v>0.957646841688171</x:v>
      </x:c>
      <x:c r="H71" s="32" t="n">
        <x:v>1185493.355164797</x:v>
      </x:c>
      <x:c r="I71" s="50" t="b">
        <x:v>0</x:v>
      </x:c>
      <x:c r="J71" s="50" t="b">
        <x:v>0</x:v>
      </x:c>
      <x:c r="K71" s="31"/>
      <x:c r="L71" s="31"/>
    </x:row>
    <x:row r="72">
      <x:c r="A72" s="31"/>
      <x:c r="B72" s="31"/>
      <x:c r="C72" s="31"/>
      <x:c r="D72" s="31" t="n">
        <x:v>68</x:v>
      </x:c>
      <x:c r="E72" s="42" t="n">
        <x:v>-0.003513830155625611</x:v>
      </x:c>
      <x:c r="F72" s="42" t="n">
        <x:v>-0.005402362997207651</x:v>
      </x:c>
      <x:c r="G72" s="43" t="n">
        <x:v>1.0194643280030722</x:v>
      </x:c>
      <x:c r="H72" s="32" t="n">
        <x:v>808841.7755853157</x:v>
      </x:c>
      <x:c r="I72" s="50" t="b">
        <x:v>1</x:v>
      </x:c>
      <x:c r="J72" s="50" t="b">
        <x:v>0</x:v>
      </x:c>
      <x:c r="K72" s="31"/>
      <x:c r="L72" s="31"/>
    </x:row>
    <x:row r="73">
      <x:c r="A73" s="31"/>
      <x:c r="B73" s="31"/>
      <x:c r="C73" s="31"/>
      <x:c r="D73" s="31" t="n">
        <x:v>69</x:v>
      </x:c>
      <x:c r="E73" s="42" t="n">
        <x:v>-0.01927313180925935</x:v>
      </x:c>
      <x:c r="F73" s="42" t="n">
        <x:v>0.004423608720526914</x:v>
      </x:c>
      <x:c r="G73" s="43" t="n">
        <x:v>0.9962648917667821</x:v>
      </x:c>
      <x:c r="H73" s="32" t="n">
        <x:v>884957.4506260254</x:v>
      </x:c>
      <x:c r="I73" s="50" t="b">
        <x:v>1</x:v>
      </x:c>
      <x:c r="J73" s="50" t="b">
        <x:v>0</x:v>
      </x:c>
      <x:c r="K73" s="31"/>
      <x:c r="L73" s="31"/>
    </x:row>
    <x:row r="74">
      <x:c r="A74" s="31"/>
      <x:c r="B74" s="31"/>
      <x:c r="C74" s="31"/>
      <x:c r="D74" s="31" t="n">
        <x:v>70</x:v>
      </x:c>
      <x:c r="E74" s="42" t="n">
        <x:v>0.017516920859550422</x:v>
      </x:c>
      <x:c r="F74" s="42" t="n">
        <x:v>0.006030381273561455</x:v>
      </x:c>
      <x:c r="G74" s="43" t="n">
        <x:v>1.0191628753717454</x:v>
      </x:c>
      <x:c r="H74" s="32" t="n">
        <x:v>837472.4778173632</x:v>
      </x:c>
      <x:c r="I74" s="50" t="b">
        <x:v>1</x:v>
      </x:c>
      <x:c r="J74" s="50" t="b">
        <x:v>0</x:v>
      </x:c>
      <x:c r="K74" s="31"/>
      <x:c r="L74" s="31"/>
    </x:row>
    <x:row r="75">
      <x:c r="A75" s="31"/>
      <x:c r="B75" s="31"/>
      <x:c r="C75" s="31"/>
      <x:c r="D75" s="31" t="n">
        <x:v>71</x:v>
      </x:c>
      <x:c r="E75" s="42" t="n">
        <x:v>0.010567957397464814</x:v>
      </x:c>
      <x:c r="F75" s="42" t="n">
        <x:v>0.0011413907990435734</x:v>
      </x:c>
      <x:c r="G75" s="43" t="n">
        <x:v>0.9069079342308124</x:v>
      </x:c>
      <x:c r="H75" s="32" t="n">
        <x:v>1544636.8757356694</x:v>
      </x:c>
      <x:c r="I75" s="50" t="b">
        <x:v>0</x:v>
      </x:c>
      <x:c r="J75" s="50" t="b">
        <x:v>0</x:v>
      </x:c>
      <x:c r="K75" s="31"/>
      <x:c r="L75" s="31"/>
    </x:row>
    <x:row r="76">
      <x:c r="A76" s="31"/>
      <x:c r="B76" s="31"/>
      <x:c r="C76" s="31"/>
      <x:c r="D76" s="31" t="n">
        <x:v>72</x:v>
      </x:c>
      <x:c r="E76" s="42" t="n">
        <x:v>-0.01051905543041873</x:v>
      </x:c>
      <x:c r="F76" s="42" t="n">
        <x:v>-0.0030143116366528637</x:v>
      </x:c>
      <x:c r="G76" s="43" t="n">
        <x:v>0.9794966134251306</x:v>
      </x:c>
      <x:c r="H76" s="32" t="n">
        <x:v>1036518.6756998929</x:v>
      </x:c>
      <x:c r="I76" s="50" t="b">
        <x:v>0</x:v>
      </x:c>
      <x:c r="J76" s="50" t="b">
        <x:v>0</x:v>
      </x:c>
      <x:c r="K76" s="31"/>
      <x:c r="L76" s="31"/>
    </x:row>
    <x:row r="77">
      <x:c r="A77" s="31"/>
      <x:c r="B77" s="31"/>
      <x:c r="C77" s="31"/>
      <x:c r="D77" s="31" t="n">
        <x:v>73</x:v>
      </x:c>
      <x:c r="E77" s="42" t="n">
        <x:v>-0.012421291678738955</x:v>
      </x:c>
      <x:c r="F77" s="42" t="n">
        <x:v>-0.008446528605332272</x:v>
      </x:c>
      <x:c r="G77" s="43" t="n">
        <x:v>1.01240233358863</x:v>
      </x:c>
      <x:c r="H77" s="32" t="n">
        <x:v>837369.8274753826</x:v>
      </x:c>
      <x:c r="I77" s="50" t="b">
        <x:v>1</x:v>
      </x:c>
      <x:c r="J77" s="50" t="b">
        <x:v>0</x:v>
      </x:c>
      <x:c r="K77" s="31"/>
      <x:c r="L77" s="31"/>
    </x:row>
    <x:row r="78">
      <x:c r="A78" s="31"/>
      <x:c r="B78" s="31"/>
      <x:c r="C78" s="31"/>
      <x:c r="D78" s="31" t="n">
        <x:v>74</x:v>
      </x:c>
      <x:c r="E78" s="42" t="n">
        <x:v>-0.013616334555440389</x:v>
      </x:c>
      <x:c r="F78" s="42" t="n">
        <x:v>-0.003219558756610386</x:v>
      </x:c>
      <x:c r="G78" s="43" t="n">
        <x:v>1.0357608043012527</x:v>
      </x:c>
      <x:c r="H78" s="32" t="n">
        <x:v>671151.1805422539</x:v>
      </x:c>
      <x:c r="I78" s="50" t="b">
        <x:v>1</x:v>
      </x:c>
      <x:c r="J78" s="50" t="b">
        <x:v>0</x:v>
      </x:c>
      <x:c r="K78" s="31"/>
      <x:c r="L78" s="31"/>
    </x:row>
    <x:row r="79">
      <x:c r="A79" s="31"/>
      <x:c r="B79" s="31"/>
      <x:c r="C79" s="31"/>
      <x:c r="D79" s="31" t="n">
        <x:v>75</x:v>
      </x:c>
      <x:c r="E79" s="42" t="n">
        <x:v>0.003513369224126058</x:v>
      </x:c>
      <x:c r="F79" s="42" t="n">
        <x:v>0.006441879910229422</x:v>
      </x:c>
      <x:c r="G79" s="43" t="n">
        <x:v>0.9530873343633797</x:v>
      </x:c>
      <x:c r="H79" s="32" t="n">
        <x:v>1216974.3478391212</x:v>
      </x:c>
      <x:c r="I79" s="50" t="b">
        <x:v>0</x:v>
      </x:c>
      <x:c r="J79" s="50" t="b">
        <x:v>0</x:v>
      </x:c>
      <x:c r="K79" s="31"/>
      <x:c r="L79" s="31"/>
    </x:row>
    <x:row r="80">
      <x:c r="A80" s="31"/>
      <x:c r="B80" s="31"/>
      <x:c r="C80" s="31"/>
      <x:c r="D80" s="31" t="n">
        <x:v>76</x:v>
      </x:c>
      <x:c r="E80" s="42" t="n">
        <x:v>0.021930171514055186</x:v>
      </x:c>
      <x:c r="F80" s="42" t="n">
        <x:v>0.002608843002696343</x:v>
      </x:c>
      <x:c r="G80" s="43" t="n">
        <x:v>1.0729484078192393</x:v>
      </x:c>
      <x:c r="H80" s="32" t="n">
        <x:v>517704.56297228124</x:v>
      </x:c>
      <x:c r="I80" s="50" t="b">
        <x:v>1</x:v>
      </x:c>
      <x:c r="J80" s="50" t="b">
        <x:v>0</x:v>
      </x:c>
      <x:c r="K80" s="31"/>
      <x:c r="L80" s="31"/>
    </x:row>
    <x:row r="81">
      <x:c r="A81" s="31"/>
      <x:c r="B81" s="31"/>
      <x:c r="C81" s="31"/>
      <x:c r="D81" s="31" t="n">
        <x:v>77</x:v>
      </x:c>
      <x:c r="E81" s="42" t="n">
        <x:v>-0.017926127485883177</x:v>
      </x:c>
      <x:c r="F81" s="42" t="n">
        <x:v>-0.001936850857784581</x:v>
      </x:c>
      <x:c r="G81" s="43" t="n">
        <x:v>0.9367091263422967</x:v>
      </x:c>
      <x:c r="H81" s="32" t="n">
        <x:v>1284632.6367773856</x:v>
      </x:c>
      <x:c r="I81" s="50" t="b">
        <x:v>0</x:v>
      </x:c>
      <x:c r="J81" s="50" t="b">
        <x:v>0</x:v>
      </x:c>
      <x:c r="K81" s="31"/>
      <x:c r="L81" s="31"/>
    </x:row>
    <x:row r="82">
      <x:c r="A82" s="31"/>
      <x:c r="B82" s="31"/>
      <x:c r="C82" s="31"/>
      <x:c r="D82" s="31" t="n">
        <x:v>78</x:v>
      </x:c>
      <x:c r="E82" s="42" t="n">
        <x:v>0.0031136936816269075</x:v>
      </x:c>
      <x:c r="F82" s="42" t="n">
        <x:v>0.0020418328221242944</x:v>
      </x:c>
      <x:c r="G82" s="43" t="n">
        <x:v>1.039510078016427</x:v>
      </x:c>
      <x:c r="H82" s="32" t="n">
        <x:v>679263.8414646969</x:v>
      </x:c>
      <x:c r="I82" s="50" t="b">
        <x:v>1</x:v>
      </x:c>
      <x:c r="J82" s="50" t="b">
        <x:v>0</x:v>
      </x:c>
      <x:c r="K82" s="31"/>
      <x:c r="L82" s="31"/>
    </x:row>
    <x:row r="83">
      <x:c r="A83" s="31"/>
      <x:c r="B83" s="31"/>
      <x:c r="C83" s="31"/>
      <x:c r="D83" s="31" t="n">
        <x:v>79</x:v>
      </x:c>
      <x:c r="E83" s="42" t="n">
        <x:v>-0.012300064053915889</x:v>
      </x:c>
      <x:c r="F83" s="42" t="n">
        <x:v>-0.00007661914039075877</x:v>
      </x:c>
      <x:c r="G83" s="43" t="n">
        <x:v>0.9832193310674031</x:v>
      </x:c>
      <x:c r="H83" s="32" t="n">
        <x:v>999742.172973599</x:v>
      </x:c>
      <x:c r="I83" s="50" t="b">
        <x:v>1</x:v>
      </x:c>
      <x:c r="J83" s="50" t="b">
        <x:v>0</x:v>
      </x:c>
      <x:c r="K83" s="31"/>
      <x:c r="L83" s="31"/>
    </x:row>
    <x:row r="84">
      <x:c r="A84" s="31"/>
      <x:c r="B84" s="31"/>
      <x:c r="C84" s="31"/>
      <x:c r="D84" s="31" t="n">
        <x:v>80</x:v>
      </x:c>
      <x:c r="E84" s="42" t="n">
        <x:v>-0.008856356457015985</x:v>
      </x:c>
      <x:c r="F84" s="42" t="n">
        <x:v>0.00007924115532851492</x:v>
      </x:c>
      <x:c r="G84" s="43" t="n">
        <x:v>1.0031788007226279</x:v>
      </x:c>
      <x:c r="H84" s="32" t="n">
        <x:v>882137.2006404572</x:v>
      </x:c>
      <x:c r="I84" s="50" t="b">
        <x:v>1</x:v>
      </x:c>
      <x:c r="J84" s="50" t="b">
        <x:v>0</x:v>
      </x:c>
      <x:c r="K84" s="31"/>
      <x:c r="L84" s="31"/>
    </x:row>
    <x:row r="85">
      <x:c r="A85" s="31"/>
      <x:c r="B85" s="31"/>
      <x:c r="C85" s="31"/>
      <x:c r="D85" s="31" t="n">
        <x:v>81</x:v>
      </x:c>
      <x:c r="E85" s="42" t="n">
        <x:v>-0.006902212827123974</x:v>
      </x:c>
      <x:c r="F85" s="42" t="n">
        <x:v>-0.0025200899705566417</x:v>
      </x:c>
      <x:c r="G85" s="43" t="n">
        <x:v>1.0219268067943863</x:v>
      </x:c>
      <x:c r="H85" s="32" t="n">
        <x:v>775748.7821295431</x:v>
      </x:c>
      <x:c r="I85" s="50" t="b">
        <x:v>1</x:v>
      </x:c>
      <x:c r="J85" s="50" t="b">
        <x:v>0</x:v>
      </x:c>
      <x:c r="K85" s="31"/>
      <x:c r="L85" s="31"/>
    </x:row>
    <x:row r="86">
      <x:c r="A86" s="31"/>
      <x:c r="B86" s="31"/>
      <x:c r="C86" s="31"/>
      <x:c r="D86" s="31" t="n">
        <x:v>82</x:v>
      </x:c>
      <x:c r="E86" s="42" t="n">
        <x:v>-0.010407588290511178</x:v>
      </x:c>
      <x:c r="F86" s="42" t="n">
        <x:v>-0.013339439878101659</x:v>
      </x:c>
      <x:c r="G86" s="43" t="n">
        <x:v>0.991184726456232</x:v>
      </x:c>
      <x:c r="H86" s="32" t="n">
        <x:v>991341.374683049</x:v>
      </x:c>
      <x:c r="I86" s="50" t="b">
        <x:v>1</x:v>
      </x:c>
      <x:c r="J86" s="50" t="b">
        <x:v>0</x:v>
      </x:c>
      <x:c r="K86" s="31"/>
      <x:c r="L86" s="31"/>
    </x:row>
    <x:row r="87">
      <x:c r="A87" s="31"/>
      <x:c r="B87" s="31"/>
      <x:c r="C87" s="31"/>
      <x:c r="D87" s="31" t="n">
        <x:v>83</x:v>
      </x:c>
      <x:c r="E87" s="42" t="n">
        <x:v>-0.0014147778512963677</x:v>
      </x:c>
      <x:c r="F87" s="42" t="n">
        <x:v>0.00007649244945987113</x:v>
      </x:c>
      <x:c r="G87" s="43" t="n">
        <x:v>0.9511800802763184</x:v>
      </x:c>
      <x:c r="H87" s="32" t="n">
        <x:v>1233087.3525346043</x:v>
      </x:c>
      <x:c r="I87" s="50" t="b">
        <x:v>0</x:v>
      </x:c>
      <x:c r="J87" s="50" t="b">
        <x:v>0</x:v>
      </x:c>
      <x:c r="K87" s="31"/>
      <x:c r="L87" s="31"/>
    </x:row>
    <x:row r="88">
      <x:c r="A88" s="31"/>
      <x:c r="B88" s="31"/>
      <x:c r="C88" s="31"/>
      <x:c r="D88" s="31" t="n">
        <x:v>84</x:v>
      </x:c>
      <x:c r="E88" s="42" t="n">
        <x:v>0.01330363759268516</x:v>
      </x:c>
      <x:c r="F88" s="42" t="n">
        <x:v>0.009754737415146776</x:v>
      </x:c>
      <x:c r="G88" s="43" t="n">
        <x:v>1.0066758627430963</x:v>
      </x:c>
      <x:c r="H88" s="32" t="n">
        <x:v>894679.256425386</x:v>
      </x:c>
      <x:c r="I88" s="50" t="b">
        <x:v>1</x:v>
      </x:c>
      <x:c r="J88" s="50" t="b">
        <x:v>0</x:v>
      </x:c>
      <x:c r="K88" s="31"/>
      <x:c r="L88" s="31"/>
    </x:row>
    <x:row r="89">
      <x:c r="A89" s="31"/>
      <x:c r="B89" s="31"/>
      <x:c r="C89" s="31"/>
      <x:c r="D89" s="31" t="n">
        <x:v>85</x:v>
      </x:c>
      <x:c r="E89" s="42" t="n">
        <x:v>-0.027975521796822368</x:v>
      </x:c>
      <x:c r="F89" s="42" t="n">
        <x:v>-0.0034430761196823927</x:v>
      </x:c>
      <x:c r="G89" s="43" t="n">
        <x:v>1.044351952264639</x:v>
      </x:c>
      <x:c r="H89" s="32" t="n">
        <x:v>577244.3560366777</x:v>
      </x:c>
      <x:c r="I89" s="50" t="b">
        <x:v>1</x:v>
      </x:c>
      <x:c r="J89" s="50" t="b">
        <x:v>0</x:v>
      </x:c>
      <x:c r="K89" s="31"/>
      <x:c r="L89" s="31"/>
    </x:row>
    <x:row r="90">
      <x:c r="A90" s="31"/>
      <x:c r="B90" s="31"/>
      <x:c r="C90" s="31"/>
      <x:c r="D90" s="31" t="n">
        <x:v>86</x:v>
      </x:c>
      <x:c r="E90" s="42" t="n">
        <x:v>0.010820518997908245</x:v>
      </x:c>
      <x:c r="F90" s="42" t="n">
        <x:v>-0.006979570294451841</x:v>
      </x:c>
      <x:c r="G90" s="43" t="n">
        <x:v>1.0836997913436361</x:v>
      </x:c>
      <x:c r="H90" s="32" t="n">
        <x:v>445191.2600699519</x:v>
      </x:c>
      <x:c r="I90" s="50" t="b">
        <x:v>1</x:v>
      </x:c>
      <x:c r="J90" s="50" t="b">
        <x:v>0</x:v>
      </x:c>
      <x:c r="K90" s="31"/>
      <x:c r="L90" s="31"/>
    </x:row>
    <x:row r="91">
      <x:c r="A91" s="31"/>
      <x:c r="B91" s="31"/>
      <x:c r="C91" s="31"/>
      <x:c r="D91" s="31" t="n">
        <x:v>87</x:v>
      </x:c>
      <x:c r="E91" s="42" t="n">
        <x:v>0.0010890815185947286</x:v>
      </x:c>
      <x:c r="F91" s="42" t="n">
        <x:v>0.00024159396976090967</x:v>
      </x:c>
      <x:c r="G91" s="43" t="n">
        <x:v>0.9619426206872996</x:v>
      </x:c>
      <x:c r="H91" s="32" t="n">
        <x:v>1171247.5829032823</x:v>
      </x:c>
      <x:c r="I91" s="50" t="b">
        <x:v>0</x:v>
      </x:c>
      <x:c r="J91" s="50" t="b">
        <x:v>0</x:v>
      </x:c>
      <x:c r="K91" s="31"/>
      <x:c r="L91" s="31"/>
    </x:row>
    <x:row r="92">
      <x:c r="A92" s="31"/>
      <x:c r="B92" s="31"/>
      <x:c r="C92" s="31"/>
      <x:c r="D92" s="31" t="n">
        <x:v>88</x:v>
      </x:c>
      <x:c r="E92" s="42" t="n">
        <x:v>-0.00994902693136544</x:v>
      </x:c>
      <x:c r="F92" s="42" t="n">
        <x:v>0.009531633835293894</x:v>
      </x:c>
      <x:c r="G92" s="43" t="n">
        <x:v>0.9701965835081015</x:v>
      </x:c>
      <x:c r="H92" s="32" t="n">
        <x:v>1062245.2218627261</x:v>
      </x:c>
      <x:c r="I92" s="50" t="b">
        <x:v>0</x:v>
      </x:c>
      <x:c r="J92" s="50" t="b">
        <x:v>0</x:v>
      </x:c>
      <x:c r="K92" s="31"/>
      <x:c r="L92" s="31"/>
    </x:row>
    <x:row r="93">
      <x:c r="A93" s="31"/>
      <x:c r="B93" s="31"/>
      <x:c r="C93" s="31"/>
      <x:c r="D93" s="31" t="n">
        <x:v>89</x:v>
      </x:c>
      <x:c r="E93" s="42" t="n">
        <x:v>0.00841561583863035</x:v>
      </x:c>
      <x:c r="F93" s="42" t="n">
        <x:v>0.008856206629453979</x:v>
      </x:c>
      <x:c r="G93" s="43" t="n">
        <x:v>0.9124930565478905</x:v>
      </x:c>
      <x:c r="H93" s="32" t="n">
        <x:v>1481701.942167758</x:v>
      </x:c>
      <x:c r="I93" s="50" t="b">
        <x:v>0</x:v>
      </x:c>
      <x:c r="J93" s="50" t="b">
        <x:v>0</x:v>
      </x:c>
      <x:c r="K93" s="31"/>
      <x:c r="L93" s="31"/>
    </x:row>
    <x:row r="94">
      <x:c r="A94" s="31"/>
      <x:c r="B94" s="31"/>
      <x:c r="C94" s="31"/>
      <x:c r="D94" s="31" t="n">
        <x:v>90</x:v>
      </x:c>
      <x:c r="E94" s="42" t="n">
        <x:v>-0.0025759450017736117</x:v>
      </x:c>
      <x:c r="F94" s="42" t="n">
        <x:v>-0.0020628117400380832</x:v>
      </x:c>
      <x:c r="G94" s="43" t="n">
        <x:v>0.9630853547550958</x:v>
      </x:c>
      <x:c r="H94" s="32" t="n">
        <x:v>1160203.0940697552</x:v>
      </x:c>
      <x:c r="I94" s="50" t="b">
        <x:v>0</x:v>
      </x:c>
      <x:c r="J94" s="50" t="b">
        <x:v>0</x:v>
      </x:c>
      <x:c r="K94" s="31"/>
      <x:c r="L94" s="31"/>
    </x:row>
    <x:row r="95">
      <x:c r="A95" s="31"/>
      <x:c r="B95" s="31"/>
      <x:c r="C95" s="31"/>
      <x:c r="D95" s="31" t="n">
        <x:v>91</x:v>
      </x:c>
      <x:c r="E95" s="42" t="n">
        <x:v>0.0012530295488735635</x:v>
      </x:c>
      <x:c r="F95" s="42" t="n">
        <x:v>-0.009348787310182356</x:v>
      </x:c>
      <x:c r="G95" s="43" t="n">
        <x:v>1.0544990941790378</x:v>
      </x:c>
      <x:c r="H95" s="32" t="n">
        <x:v>610599.8169530312</x:v>
      </x:c>
      <x:c r="I95" s="50" t="b">
        <x:v>1</x:v>
      </x:c>
      <x:c r="J95" s="50" t="b">
        <x:v>0</x:v>
      </x:c>
      <x:c r="K95" s="31"/>
      <x:c r="L95" s="31"/>
    </x:row>
    <x:row r="96">
      <x:c r="A96" s="31"/>
      <x:c r="B96" s="31"/>
      <x:c r="C96" s="31"/>
      <x:c r="D96" s="31" t="n">
        <x:v>92</x:v>
      </x:c>
      <x:c r="E96" s="42" t="n">
        <x:v>-0.0045766792032360315</x:v>
      </x:c>
      <x:c r="F96" s="42" t="n">
        <x:v>0.0012456948768827028</x:v>
      </x:c>
      <x:c r="G96" s="43" t="n">
        <x:v>0.9933792292023356</x:v>
      </x:c>
      <x:c r="H96" s="32" t="n">
        <x:v>953037.1468406939</x:v>
      </x:c>
      <x:c r="I96" s="50" t="b">
        <x:v>1</x:v>
      </x:c>
      <x:c r="J96" s="50" t="b">
        <x:v>0</x:v>
      </x:c>
      <x:c r="K96" s="31"/>
      <x:c r="L96" s="31"/>
    </x:row>
    <x:row r="97">
      <x:c r="A97" s="31"/>
      <x:c r="B97" s="31"/>
      <x:c r="C97" s="31"/>
      <x:c r="D97" s="31" t="n">
        <x:v>93</x:v>
      </x:c>
      <x:c r="E97" s="42" t="n">
        <x:v>0.0014536102368134924</x:v>
      </x:c>
      <x:c r="F97" s="42" t="n">
        <x:v>-0.0013880092501613807</x:v>
      </x:c>
      <x:c r="G97" s="43" t="n">
        <x:v>0.9088443170603591</x:v>
      </x:c>
      <x:c r="H97" s="32" t="n">
        <x:v>1514010.1271176608</x:v>
      </x:c>
      <x:c r="I97" s="50" t="b">
        <x:v>0</x:v>
      </x:c>
      <x:c r="J97" s="50" t="b">
        <x:v>0</x:v>
      </x:c>
      <x:c r="K97" s="31"/>
      <x:c r="L97" s="31"/>
    </x:row>
    <x:row r="98">
      <x:c r="A98" s="31"/>
      <x:c r="B98" s="31"/>
      <x:c r="C98" s="31"/>
      <x:c r="D98" s="31" t="n">
        <x:v>94</x:v>
      </x:c>
      <x:c r="E98" s="42" t="n">
        <x:v>-0.00118094242403997</x:v>
      </x:c>
      <x:c r="F98" s="42" t="n">
        <x:v>-0.005755979461066151</x:v>
      </x:c>
      <x:c r="G98" s="43" t="n">
        <x:v>0.9587561395385791</x:v>
      </x:c>
      <x:c r="H98" s="32" t="n">
        <x:v>1201859.7115808895</x:v>
      </x:c>
      <x:c r="I98" s="50" t="b">
        <x:v>0</x:v>
      </x:c>
      <x:c r="J98" s="50" t="b">
        <x:v>0</x:v>
      </x:c>
      <x:c r="K98" s="31"/>
      <x:c r="L98" s="31"/>
    </x:row>
    <x:row r="99">
      <x:c r="A99" s="31"/>
      <x:c r="B99" s="31"/>
      <x:c r="C99" s="31"/>
      <x:c r="D99" s="31" t="n">
        <x:v>95</x:v>
      </x:c>
      <x:c r="E99" s="42" t="n">
        <x:v>-0.0017390920572678598</x:v>
      </x:c>
      <x:c r="F99" s="42" t="n">
        <x:v>0.00540580232165244</x:v>
      </x:c>
      <x:c r="G99" s="43" t="n">
        <x:v>0.9924076825923132</x:v>
      </x:c>
      <x:c r="H99" s="32" t="n">
        <x:v>955525.8913241588</x:v>
      </x:c>
      <x:c r="I99" s="50" t="b">
        <x:v>1</x:v>
      </x:c>
      <x:c r="J99" s="50" t="b">
        <x:v>0</x:v>
      </x:c>
      <x:c r="K99" s="31"/>
      <x:c r="L99" s="31"/>
    </x:row>
    <x:row r="100">
      <x:c r="A100" s="31"/>
      <x:c r="B100" s="31"/>
      <x:c r="C100" s="31"/>
      <x:c r="D100" s="31" t="n">
        <x:v>96</x:v>
      </x:c>
      <x:c r="E100" s="42" t="n">
        <x:v>0.016994729011980365</x:v>
      </x:c>
      <x:c r="F100" s="42" t="n">
        <x:v>-0.013344781807287206</x:v>
      </x:c>
      <x:c r="G100" s="43" t="n">
        <x:v>0.9613103706572864</x:v>
      </x:c>
      <x:c r="H100" s="32" t="n">
        <x:v>1257354.5188749547</x:v>
      </x:c>
      <x:c r="I100" s="50" t="b">
        <x:v>0</x:v>
      </x:c>
      <x:c r="J100" s="50" t="b">
        <x:v>0</x:v>
      </x:c>
      <x:c r="K100" s="31"/>
      <x:c r="L100" s="31"/>
    </x:row>
    <x:row r="101">
      <x:c r="A101" s="31"/>
      <x:c r="B101" s="31"/>
      <x:c r="C101" s="31"/>
      <x:c r="D101" s="31" t="n">
        <x:v>97</x:v>
      </x:c>
      <x:c r="E101" s="42" t="n">
        <x:v>-0.007488699718261135</x:v>
      </x:c>
      <x:c r="F101" s="42" t="n">
        <x:v>0.0060362201642423586</x:v>
      </x:c>
      <x:c r="G101" s="43" t="n">
        <x:v>1.0310038992604338</x:v>
      </x:c>
      <x:c r="H101" s="32" t="n">
        <x:v>692653.638130656</x:v>
      </x:c>
      <x:c r="I101" s="50" t="b">
        <x:v>1</x:v>
      </x:c>
      <x:c r="J101" s="50" t="b">
        <x:v>0</x:v>
      </x:c>
      <x:c r="K101" s="31"/>
      <x:c r="L101" s="31"/>
    </x:row>
    <x:row r="102">
      <x:c r="A102" s="31"/>
      <x:c r="B102" s="31"/>
      <x:c r="C102" s="31"/>
      <x:c r="D102" s="31" t="n">
        <x:v>98</x:v>
      </x:c>
      <x:c r="E102" s="42" t="n">
        <x:v>-0.0031536442530820745</x:v>
      </x:c>
      <x:c r="F102" s="42" t="n">
        <x:v>-0.014299144586443862</x:v>
      </x:c>
      <x:c r="G102" s="43" t="n">
        <x:v>0.9766068699606294</x:v>
      </x:c>
      <x:c r="H102" s="32" t="n">
        <x:v>1106783.9612337002</x:v>
      </x:c>
      <x:c r="I102" s="50" t="b">
        <x:v>0</x:v>
      </x:c>
      <x:c r="J102" s="50" t="b">
        <x:v>0</x:v>
      </x:c>
      <x:c r="K102" s="31"/>
      <x:c r="L102" s="31"/>
    </x:row>
    <x:row r="103">
      <x:c r="A103" s="31"/>
      <x:c r="B103" s="31"/>
      <x:c r="C103" s="31"/>
      <x:c r="D103" s="31" t="n">
        <x:v>99</x:v>
      </x:c>
      <x:c r="E103" s="42" t="n">
        <x:v>-0.010582714882847708</x:v>
      </x:c>
      <x:c r="F103" s="42" t="n">
        <x:v>-0.008402333009389688</x:v>
      </x:c>
      <x:c r="G103" s="43" t="n">
        <x:v>0.935448314332578</x:v>
      </x:c>
      <x:c r="H103" s="32" t="n">
        <x:v>1331077.0506243384</x:v>
      </x:c>
      <x:c r="I103" s="50" t="b">
        <x:v>0</x:v>
      </x:c>
      <x:c r="J103" s="50" t="b">
        <x:v>0</x:v>
      </x:c>
      <x:c r="K103" s="31"/>
      <x:c r="L103" s="31"/>
    </x:row>
    <x:row r="104">
      <x:c r="A104" s="31"/>
      <x:c r="B104" s="31"/>
      <x:c r="C104" s="31"/>
      <x:c r="D104" s="31" t="n">
        <x:v>100</x:v>
      </x:c>
      <x:c r="E104" s="42" t="n">
        <x:v>0.012757389256981753</x:v>
      </x:c>
      <x:c r="F104" s="42" t="n">
        <x:v>-0.00660342007794612</x:v>
      </x:c>
      <x:c r="G104" s="43" t="n">
        <x:v>0.9981787229081412</x:v>
      </x:c>
      <x:c r="H104" s="32" t="n">
        <x:v>992654.9119256051</x:v>
      </x:c>
      <x:c r="I104" s="50" t="b">
        <x:v>1</x:v>
      </x:c>
      <x:c r="J104" s="50" t="b">
        <x:v>0</x:v>
      </x:c>
      <x:c r="K104" s="31"/>
      <x:c r="L104" s="31"/>
    </x:row>
    <x:row r="105">
      <x:c r="A105" s="31"/>
      <x:c r="B105" s="31"/>
      <x:c r="C105" s="31"/>
      <x:c r="D105" s="31" t="n">
        <x:v>101</x:v>
      </x:c>
      <x:c r="E105" s="42" t="n">
        <x:v>0.012320157741380493</x:v>
      </x:c>
      <x:c r="F105" s="42" t="n">
        <x:v>0.0012259542248181942</x:v>
      </x:c>
      <x:c r="G105" s="43" t="n">
        <x:v>0.9664644654908424</x:v>
      </x:c>
      <x:c r="H105" s="32" t="n">
        <x:v>1171052.6269299253</x:v>
      </x:c>
      <x:c r="I105" s="50" t="b">
        <x:v>0</x:v>
      </x:c>
      <x:c r="J105" s="50" t="b">
        <x:v>0</x:v>
      </x:c>
      <x:c r="K105" s="31"/>
      <x:c r="L105" s="31"/>
    </x:row>
    <x:row r="106">
      <x:c r="A106" s="31"/>
      <x:c r="B106" s="31"/>
      <x:c r="C106" s="31"/>
      <x:c r="D106" s="31" t="n">
        <x:v>102</x:v>
      </x:c>
      <x:c r="E106" s="42" t="n">
        <x:v>-0.0013850393593660252</x:v>
      </x:c>
      <x:c r="F106" s="42" t="n">
        <x:v>-0.000826715240361938</x:v>
      </x:c>
      <x:c r="G106" s="43" t="n">
        <x:v>1.053519491502539</x:v>
      </x:c>
      <x:c r="H106" s="32" t="n">
        <x:v>585756.4879393501</x:v>
      </x:c>
      <x:c r="I106" s="50" t="b">
        <x:v>1</x:v>
      </x:c>
      <x:c r="J106" s="50" t="b">
        <x:v>0</x:v>
      </x:c>
      <x:c r="K106" s="31"/>
      <x:c r="L106" s="31"/>
    </x:row>
    <x:row r="107">
      <x:c r="A107" s="31"/>
      <x:c r="B107" s="31"/>
      <x:c r="C107" s="31"/>
      <x:c r="D107" s="31" t="n">
        <x:v>103</x:v>
      </x:c>
      <x:c r="E107" s="42" t="n">
        <x:v>-0.025941764596970767</x:v>
      </x:c>
      <x:c r="F107" s="42" t="n">
        <x:v>0.003509496696294572</x:v>
      </x:c>
      <x:c r="G107" s="43" t="n">
        <x:v>0.9937156017063041</x:v>
      </x:c>
      <x:c r="H107" s="32" t="n">
        <x:v>885129.4118880501</x:v>
      </x:c>
      <x:c r="I107" s="50" t="b">
        <x:v>1</x:v>
      </x:c>
      <x:c r="J107" s="50" t="b">
        <x:v>0</x:v>
      </x:c>
      <x:c r="K107" s="31"/>
      <x:c r="L107" s="31"/>
    </x:row>
    <x:row r="108">
      <x:c r="A108" s="31"/>
      <x:c r="B108" s="31"/>
      <x:c r="C108" s="31"/>
      <x:c r="D108" s="31" t="n">
        <x:v>104</x:v>
      </x:c>
      <x:c r="E108" s="42" t="n">
        <x:v>-0.00502081670441942</x:v>
      </x:c>
      <x:c r="F108" s="42" t="n">
        <x:v>0.004580183875914336</x:v>
      </x:c>
      <x:c r="G108" s="43" t="n">
        <x:v>0.9585701728009216</x:v>
      </x:c>
      <x:c r="H108" s="32" t="n">
        <x:v>1163581.4171330945</x:v>
      </x:c>
      <x:c r="I108" s="50" t="b">
        <x:v>0</x:v>
      </x:c>
      <x:c r="J108" s="50" t="b">
        <x:v>0</x:v>
      </x:c>
      <x:c r="K108" s="31"/>
      <x:c r="L108" s="31"/>
    </x:row>
    <x:row r="109">
      <x:c r="A109" s="31"/>
      <x:c r="B109" s="31"/>
      <x:c r="C109" s="31"/>
      <x:c r="D109" s="31" t="n">
        <x:v>105</x:v>
      </x:c>
      <x:c r="E109" s="42" t="n">
        <x:v>-0.0030109727389942623</x:v>
      </x:c>
      <x:c r="F109" s="42" t="n">
        <x:v>0.0003290067834108699</x:v>
      </x:c>
      <x:c r="G109" s="43" t="n">
        <x:v>0.9914154091950267</x:v>
      </x:c>
      <x:c r="H109" s="32" t="n">
        <x:v>972418.5949973734</x:v>
      </x:c>
      <x:c r="I109" s="50" t="b">
        <x:v>1</x:v>
      </x:c>
      <x:c r="J109" s="50" t="b">
        <x:v>0</x:v>
      </x:c>
      <x:c r="K109" s="31"/>
      <x:c r="L109" s="31"/>
    </x:row>
    <x:row r="110">
      <x:c r="A110" s="31"/>
      <x:c r="B110" s="31"/>
      <x:c r="C110" s="31"/>
      <x:c r="D110" s="31" t="n">
        <x:v>106</x:v>
      </x:c>
      <x:c r="E110" s="42" t="n">
        <x:v>0.010058016680516372</x:v>
      </x:c>
      <x:c r="F110" s="42" t="n">
        <x:v>-0.008431297525476939</x:v>
      </x:c>
      <x:c r="G110" s="43" t="n">
        <x:v>1.102648230494235</x:v>
      </x:c>
      <x:c r="H110" s="32" t="n">
        <x:v>326773.72446408425</x:v>
      </x:c>
      <x:c r="I110" s="50" t="b">
        <x:v>1</x:v>
      </x:c>
      <x:c r="J110" s="50" t="b">
        <x:v>0</x:v>
      </x:c>
      <x:c r="K110" s="31"/>
      <x:c r="L110" s="31"/>
    </x:row>
    <x:row r="111">
      <x:c r="A111" s="31"/>
      <x:c r="B111" s="31"/>
      <x:c r="C111" s="31"/>
      <x:c r="D111" s="31" t="n">
        <x:v>107</x:v>
      </x:c>
      <x:c r="E111" s="42" t="n">
        <x:v>0.009919704651913679</x:v>
      </x:c>
      <x:c r="F111" s="42" t="n">
        <x:v>0.002941127671501023</x:v>
      </x:c>
      <x:c r="G111" s="43" t="n">
        <x:v>1.0644847904117942</x:v>
      </x:c>
      <x:c r="H111" s="32" t="n">
        <x:v>537098.2052043737</x:v>
      </x:c>
      <x:c r="I111" s="50" t="b">
        <x:v>1</x:v>
      </x:c>
      <x:c r="J111" s="50" t="b">
        <x:v>0</x:v>
      </x:c>
      <x:c r="K111" s="31"/>
      <x:c r="L111" s="31"/>
    </x:row>
    <x:row r="112">
      <x:c r="A112" s="31"/>
      <x:c r="B112" s="31"/>
      <x:c r="C112" s="31"/>
      <x:c r="D112" s="31" t="n">
        <x:v>108</x:v>
      </x:c>
      <x:c r="E112" s="42" t="n">
        <x:v>-0.003264509047160471</x:v>
      </x:c>
      <x:c r="F112" s="42" t="n">
        <x:v>0.006846196364189586</x:v>
      </x:c>
      <x:c r="G112" s="43" t="n">
        <x:v>0.9856265680628514</x:v>
      </x:c>
      <x:c r="H112" s="32" t="n">
        <x:v>990335.3704147199</x:v>
      </x:c>
      <x:c r="I112" s="50" t="b">
        <x:v>1</x:v>
      </x:c>
      <x:c r="J112" s="50" t="b">
        <x:v>0</x:v>
      </x:c>
      <x:c r="K112" s="31"/>
      <x:c r="L112" s="31"/>
    </x:row>
    <x:row r="113">
      <x:c r="A113" s="31"/>
      <x:c r="B113" s="31"/>
      <x:c r="C113" s="31"/>
      <x:c r="D113" s="31" t="n">
        <x:v>109</x:v>
      </x:c>
      <x:c r="E113" s="42" t="n">
        <x:v>0.005395265378699363</x:v>
      </x:c>
      <x:c r="F113" s="42" t="n">
        <x:v>-0.005412064811990989</x:v>
      </x:c>
      <x:c r="G113" s="43" t="n">
        <x:v>0.9235162468741387</x:v>
      </x:c>
      <x:c r="H113" s="32" t="n">
        <x:v>1443005.7140360898</x:v>
      </x:c>
      <x:c r="I113" s="50" t="b">
        <x:v>0</x:v>
      </x:c>
      <x:c r="J113" s="50" t="b">
        <x:v>0</x:v>
      </x:c>
      <x:c r="K113" s="31"/>
      <x:c r="L113" s="31"/>
    </x:row>
    <x:row r="114">
      <x:c r="A114" s="31"/>
      <x:c r="B114" s="31"/>
      <x:c r="C114" s="31"/>
      <x:c r="D114" s="31" t="n">
        <x:v>110</x:v>
      </x:c>
      <x:c r="E114" s="42" t="n">
        <x:v>-0.005950958250234654</x:v>
      </x:c>
      <x:c r="F114" s="42" t="n">
        <x:v>0.0009928582814689797</x:v>
      </x:c>
      <x:c r="G114" s="43" t="n">
        <x:v>0.9510861113093411</x:v>
      </x:c>
      <x:c r="H114" s="32" t="n">
        <x:v>1218506.8387295466</x:v>
      </x:c>
      <x:c r="I114" s="50" t="b">
        <x:v>0</x:v>
      </x:c>
      <x:c r="J114" s="50" t="b">
        <x:v>0</x:v>
      </x:c>
      <x:c r="K114" s="31"/>
      <x:c r="L114" s="31"/>
    </x:row>
    <x:row r="115">
      <x:c r="A115" s="31"/>
      <x:c r="B115" s="31"/>
      <x:c r="C115" s="31"/>
      <x:c r="D115" s="31" t="n">
        <x:v>111</x:v>
      </x:c>
      <x:c r="E115" s="42" t="n">
        <x:v>0.017004932084760692</x:v>
      </x:c>
      <x:c r="F115" s="42" t="n">
        <x:v>0.005480713946787353</x:v>
      </x:c>
      <x:c r="G115" s="43" t="n">
        <x:v>1.0205987925428441</x:v>
      </x:c>
      <x:c r="H115" s="32" t="n">
        <x:v>828458.2659080946</x:v>
      </x:c>
      <x:c r="I115" s="50" t="b">
        <x:v>1</x:v>
      </x:c>
      <x:c r="J115" s="50" t="b">
        <x:v>0</x:v>
      </x:c>
      <x:c r="K115" s="31"/>
      <x:c r="L115" s="31"/>
    </x:row>
    <x:row r="116">
      <x:c r="A116" s="31"/>
      <x:c r="B116" s="31"/>
      <x:c r="C116" s="31"/>
      <x:c r="D116" s="31" t="n">
        <x:v>112</x:v>
      </x:c>
      <x:c r="E116" s="42" t="n">
        <x:v>0.011889954785189552</x:v>
      </x:c>
      <x:c r="F116" s="42" t="n">
        <x:v>0.0014641684624772994</x:v>
      </x:c>
      <x:c r="G116" s="43" t="n">
        <x:v>0.9877063501688118</x:v>
      </x:c>
      <x:c r="H116" s="32" t="n">
        <x:v>1034291.0610416725</x:v>
      </x:c>
      <x:c r="I116" s="50" t="b">
        <x:v>0</x:v>
      </x:c>
      <x:c r="J116" s="50" t="b">
        <x:v>0</x:v>
      </x:c>
      <x:c r="K116" s="31"/>
      <x:c r="L116" s="31"/>
    </x:row>
    <x:row r="117">
      <x:c r="A117" s="31"/>
      <x:c r="B117" s="31"/>
      <x:c r="C117" s="31"/>
      <x:c r="D117" s="31" t="n">
        <x:v>113</x:v>
      </x:c>
      <x:c r="E117" s="42" t="n">
        <x:v>0.004528203562351983</x:v>
      </x:c>
      <x:c r="F117" s="42" t="n">
        <x:v>-0.010121217234438921</x:v>
      </x:c>
      <x:c r="G117" s="43" t="n">
        <x:v>1.0407379002511836</x:v>
      </x:c>
      <x:c r="H117" s="32" t="n">
        <x:v>709259.7397456353</x:v>
      </x:c>
      <x:c r="I117" s="50" t="b">
        <x:v>1</x:v>
      </x:c>
      <x:c r="J117" s="50" t="b">
        <x:v>0</x:v>
      </x:c>
      <x:c r="K117" s="31"/>
      <x:c r="L117" s="31"/>
    </x:row>
    <x:row r="118">
      <x:c r="A118" s="31"/>
      <x:c r="B118" s="31"/>
      <x:c r="C118" s="31"/>
      <x:c r="D118" s="31" t="n">
        <x:v>114</x:v>
      </x:c>
      <x:c r="E118" s="42" t="n">
        <x:v>-0.003058445703393767</x:v>
      </x:c>
      <x:c r="F118" s="42" t="n">
        <x:v>0.007506179791678339</x:v>
      </x:c>
      <x:c r="G118" s="43" t="n">
        <x:v>0.9641008952368637</x:v>
      </x:c>
      <x:c r="H118" s="32" t="n">
        <x:v>1125775.1413395014</x:v>
      </x:c>
      <x:c r="I118" s="50" t="b">
        <x:v>0</x:v>
      </x:c>
      <x:c r="J118" s="50" t="b">
        <x:v>0</x:v>
      </x:c>
      <x:c r="K118" s="31"/>
      <x:c r="L118" s="31"/>
    </x:row>
    <x:row r="119">
      <x:c r="A119" s="31"/>
      <x:c r="B119" s="31"/>
      <x:c r="C119" s="31"/>
      <x:c r="D119" s="31" t="n">
        <x:v>115</x:v>
      </x:c>
      <x:c r="E119" s="42" t="n">
        <x:v>0.00020657480836974569</x:v>
      </x:c>
      <x:c r="F119" s="42" t="n">
        <x:v>-0.0023568231791349873</x:v>
      </x:c>
      <x:c r="G119" s="43" t="n">
        <x:v>0.9818215487768029</x:v>
      </x:c>
      <x:c r="H119" s="32" t="n">
        <x:v>1049778.5854534116</x:v>
      </x:c>
      <x:c r="I119" s="50" t="b">
        <x:v>0</x:v>
      </x:c>
      <x:c r="J119" s="50" t="b">
        <x:v>0</x:v>
      </x:c>
      <x:c r="K119" s="31"/>
      <x:c r="L119" s="31"/>
    </x:row>
    <x:row r="120">
      <x:c r="A120" s="31"/>
      <x:c r="B120" s="31"/>
      <x:c r="C120" s="31"/>
      <x:c r="D120" s="31" t="n">
        <x:v>116</x:v>
      </x:c>
      <x:c r="E120" s="42" t="n">
        <x:v>-0.0029812741558824605</x:v>
      </x:c>
      <x:c r="F120" s="42" t="n">
        <x:v>0.010888247921940502</x:v>
      </x:c>
      <x:c r="G120" s="43" t="n">
        <x:v>1.044648868251178</x:v>
      </x:c>
      <x:c r="H120" s="32" t="n">
        <x:v>605039.2134345369</x:v>
      </x:c>
      <x:c r="I120" s="50" t="b">
        <x:v>1</x:v>
      </x:c>
      <x:c r="J120" s="50" t="b">
        <x:v>0</x:v>
      </x:c>
      <x:c r="K120" s="31"/>
      <x:c r="L120" s="31"/>
    </x:row>
    <x:row r="121">
      <x:c r="A121" s="31"/>
      <x:c r="B121" s="31"/>
      <x:c r="C121" s="31"/>
      <x:c r="D121" s="31" t="n">
        <x:v>117</x:v>
      </x:c>
      <x:c r="E121" s="42" t="n">
        <x:v>0.012337309714503586</x:v>
      </x:c>
      <x:c r="F121" s="42" t="n">
        <x:v>-0.003740588218049492</x:v>
      </x:c>
      <x:c r="G121" s="43" t="n">
        <x:v>0.8994176709381521</x:v>
      </x:c>
      <x:c r="H121" s="32" t="n">
        <x:v>1610719.4806661103</x:v>
      </x:c>
      <x:c r="I121" s="50" t="b">
        <x:v>0</x:v>
      </x:c>
      <x:c r="J121" s="50" t="b">
        <x:v>0</x:v>
      </x:c>
      <x:c r="K121" s="31"/>
      <x:c r="L121" s="31"/>
    </x:row>
    <x:row r="122">
      <x:c r="A122" s="31"/>
      <x:c r="B122" s="31"/>
      <x:c r="C122" s="31"/>
      <x:c r="D122" s="31" t="n">
        <x:v>118</x:v>
      </x:c>
      <x:c r="E122" s="42" t="n">
        <x:v>-0.009946358453105876</x:v>
      </x:c>
      <x:c r="F122" s="42" t="n">
        <x:v>0.001967674504299391</x:v>
      </x:c>
      <x:c r="G122" s="43" t="n">
        <x:v>0.9870846305359334</x:v>
      </x:c>
      <x:c r="H122" s="32" t="n">
        <x:v>976056.0388716557</x:v>
      </x:c>
      <x:c r="I122" s="50" t="b">
        <x:v>1</x:v>
      </x:c>
      <x:c r="J122" s="50" t="b">
        <x:v>0</x:v>
      </x:c>
      <x:c r="K122" s="31"/>
      <x:c r="L122" s="31"/>
    </x:row>
    <x:row r="123">
      <x:c r="A123" s="31"/>
      <x:c r="B123" s="31"/>
      <x:c r="C123" s="31"/>
      <x:c r="D123" s="31" t="n">
        <x:v>119</x:v>
      </x:c>
      <x:c r="E123" s="42" t="n">
        <x:v>-0.0004484115891027246</x:v>
      </x:c>
      <x:c r="F123" s="42" t="n">
        <x:v>-0.003923734298130073</x:v>
      </x:c>
      <x:c r="G123" s="43" t="n">
        <x:v>0.9861225159311734</x:v>
      </x:c>
      <x:c r="H123" s="32" t="n">
        <x:v>1025002.760632125</x:v>
      </x:c>
      <x:c r="I123" s="50" t="b">
        <x:v>0</x:v>
      </x:c>
      <x:c r="J123" s="50" t="b">
        <x:v>0</x:v>
      </x:c>
      <x:c r="K123" s="31"/>
      <x:c r="L123" s="31"/>
    </x:row>
    <x:row r="124">
      <x:c r="A124" s="31"/>
      <x:c r="B124" s="31"/>
      <x:c r="C124" s="31"/>
      <x:c r="D124" s="31" t="n">
        <x:v>120</x:v>
      </x:c>
      <x:c r="E124" s="42" t="n">
        <x:v>0.002172017695266184</x:v>
      </x:c>
      <x:c r="F124" s="42" t="n">
        <x:v>0.004393774414439031</x:v>
      </x:c>
      <x:c r="G124" s="43" t="n">
        <x:v>0.953470726685073</x:v>
      </x:c>
      <x:c r="H124" s="32" t="n">
        <x:v>1216506.8004001114</x:v>
      </x:c>
      <x:c r="I124" s="50" t="b">
        <x:v>0</x:v>
      </x:c>
      <x:c r="J124" s="50" t="b">
        <x:v>0</x:v>
      </x:c>
      <x:c r="K124" s="31"/>
      <x:c r="L124" s="31"/>
    </x:row>
    <x:row r="125">
      <x:c r="A125" s="31"/>
      <x:c r="B125" s="31"/>
      <x:c r="C125" s="31"/>
      <x:c r="D125" s="31" t="n">
        <x:v>121</x:v>
      </x:c>
      <x:c r="E125" s="42" t="n">
        <x:v>-0.0034596373283551874</x:v>
      </x:c>
      <x:c r="F125" s="42" t="n">
        <x:v>-0.004874044121390982</x:v>
      </x:c>
      <x:c r="G125" s="43" t="n">
        <x:v>0.9137739753477998</x:v>
      </x:c>
      <x:c r="H125" s="32" t="n">
        <x:v>1478730.6274983473</x:v>
      </x:c>
      <x:c r="I125" s="50" t="b">
        <x:v>0</x:v>
      </x:c>
      <x:c r="J125" s="50" t="b">
        <x:v>0</x:v>
      </x:c>
      <x:c r="K125" s="31"/>
      <x:c r="L125" s="31"/>
    </x:row>
    <x:row r="126">
      <x:c r="A126" s="31"/>
      <x:c r="B126" s="31"/>
      <x:c r="C126" s="31"/>
      <x:c r="D126" s="31" t="n">
        <x:v>122</x:v>
      </x:c>
      <x:c r="E126" s="42" t="n">
        <x:v>0.016166584236078405</x:v>
      </x:c>
      <x:c r="F126" s="42" t="n">
        <x:v>-0.00009702369245375403</x:v>
      </x:c>
      <x:c r="G126" s="43" t="n">
        <x:v>0.9541572168883897</x:v>
      </x:c>
      <x:c r="H126" s="32" t="n">
        <x:v>1263601.5236669912</x:v>
      </x:c>
      <x:c r="I126" s="50" t="b">
        <x:v>0</x:v>
      </x:c>
      <x:c r="J126" s="50" t="b">
        <x:v>0</x:v>
      </x:c>
      <x:c r="K126" s="31"/>
      <x:c r="L126" s="31"/>
    </x:row>
    <x:row r="127">
      <x:c r="A127" s="31"/>
      <x:c r="B127" s="31"/>
      <x:c r="C127" s="31"/>
      <x:c r="D127" s="31" t="n">
        <x:v>123</x:v>
      </x:c>
      <x:c r="E127" s="42" t="n">
        <x:v>0.013731955866600032</x:v>
      </x:c>
      <x:c r="F127" s="42" t="n">
        <x:v>-0.0020305937533292703</x:v>
      </x:c>
      <x:c r="G127" s="43" t="n">
        <x:v>1.028743569084462</x:v>
      </x:c>
      <x:c r="H127" s="32" t="n">
        <x:v>788530.6561344531</x:v>
      </x:c>
      <x:c r="I127" s="50" t="b">
        <x:v>1</x:v>
      </x:c>
      <x:c r="J127" s="50" t="b">
        <x:v>0</x:v>
      </x:c>
      <x:c r="K127" s="31"/>
      <x:c r="L127" s="31"/>
    </x:row>
    <x:row r="128">
      <x:c r="A128" s="31"/>
      <x:c r="B128" s="31"/>
      <x:c r="C128" s="31"/>
      <x:c r="D128" s="31" t="n">
        <x:v>124</x:v>
      </x:c>
      <x:c r="E128" s="42" t="n">
        <x:v>0.0003926696947752512</x:v>
      </x:c>
      <x:c r="F128" s="42" t="n">
        <x:v>-0.004313511522349246</x:v>
      </x:c>
      <x:c r="G128" s="43" t="n">
        <x:v>0.9662109012155854</x:v>
      </x:c>
      <x:c r="H128" s="32" t="n">
        <x:v>1154881.737989658</x:v>
      </x:c>
      <x:c r="I128" s="50" t="b">
        <x:v>0</x:v>
      </x:c>
      <x:c r="J128" s="50" t="b">
        <x:v>0</x:v>
      </x:c>
      <x:c r="K128" s="31"/>
      <x:c r="L128" s="31"/>
    </x:row>
    <x:row r="129">
      <x:c r="A129" s="31"/>
      <x:c r="B129" s="31"/>
      <x:c r="C129" s="31"/>
      <x:c r="D129" s="31" t="n">
        <x:v>125</x:v>
      </x:c>
      <x:c r="E129" s="42" t="n">
        <x:v>0.025332200960614126</x:v>
      </x:c>
      <x:c r="F129" s="42" t="n">
        <x:v>0.005233729677209237</x:v>
      </x:c>
      <x:c r="G129" s="43" t="n">
        <x:v>1.0354630607740418</x:v>
      </x:c>
      <x:c r="H129" s="32" t="n">
        <x:v>757926.2590320536</x:v>
      </x:c>
      <x:c r="I129" s="50" t="b">
        <x:v>1</x:v>
      </x:c>
      <x:c r="J129" s="50" t="b">
        <x:v>0</x:v>
      </x:c>
      <x:c r="K129" s="31"/>
      <x:c r="L129" s="31"/>
    </x:row>
    <x:row r="130">
      <x:c r="A130" s="31"/>
      <x:c r="B130" s="31"/>
      <x:c r="C130" s="31"/>
      <x:c r="D130" s="31" t="n">
        <x:v>126</x:v>
      </x:c>
      <x:c r="E130" s="42" t="n">
        <x:v>0.00035269319645384967</x:v>
      </x:c>
      <x:c r="F130" s="42" t="n">
        <x:v>-0.00021720880409858273</x:v>
      </x:c>
      <x:c r="G130" s="43" t="n">
        <x:v>1.0489602159138312</x:v>
      </x:c>
      <x:c r="H130" s="32" t="n">
        <x:v>617851.5593488996</x:v>
      </x:c>
      <x:c r="I130" s="50" t="b">
        <x:v>1</x:v>
      </x:c>
      <x:c r="J130" s="50" t="b">
        <x:v>0</x:v>
      </x:c>
      <x:c r="K130" s="31"/>
      <x:c r="L130" s="31"/>
    </x:row>
    <x:row r="131">
      <x:c r="A131" s="31"/>
      <x:c r="B131" s="31"/>
      <x:c r="C131" s="31"/>
      <x:c r="D131" s="31" t="n">
        <x:v>127</x:v>
      </x:c>
      <x:c r="E131" s="42" t="n">
        <x:v>-0.0024213631636498833</x:v>
      </x:c>
      <x:c r="F131" s="42" t="n">
        <x:v>0.012101130476016016</x:v>
      </x:c>
      <x:c r="G131" s="43" t="n">
        <x:v>1.045466244713049</x:v>
      </x:c>
      <x:c r="H131" s="32" t="n">
        <x:v>598030.7331959853</x:v>
      </x:c>
      <x:c r="I131" s="50" t="b">
        <x:v>1</x:v>
      </x:c>
      <x:c r="J131" s="50" t="b">
        <x:v>0</x:v>
      </x:c>
      <x:c r="K131" s="31"/>
      <x:c r="L131" s="31"/>
    </x:row>
    <x:row r="132">
      <x:c r="A132" s="31"/>
      <x:c r="B132" s="31"/>
      <x:c r="C132" s="31"/>
      <x:c r="D132" s="31" t="n">
        <x:v>128</x:v>
      </x:c>
      <x:c r="E132" s="42" t="n">
        <x:v>-0.006899083699686634</x:v>
      </x:c>
      <x:c r="F132" s="42" t="n">
        <x:v>0.00426778448607589</x:v>
      </x:c>
      <x:c r="G132" s="43" t="n">
        <x:v>1.0151831679284524</x:v>
      </x:c>
      <x:c r="H132" s="32" t="n">
        <x:v>799690.175948509</x:v>
      </x:c>
      <x:c r="I132" s="50" t="b">
        <x:v>1</x:v>
      </x:c>
      <x:c r="J132" s="50" t="b">
        <x:v>0</x:v>
      </x:c>
      <x:c r="K132" s="31"/>
      <x:c r="L132" s="31"/>
    </x:row>
    <x:row r="133">
      <x:c r="A133" s="31"/>
      <x:c r="B133" s="31"/>
      <x:c r="C133" s="31"/>
      <x:c r="D133" s="31" t="n">
        <x:v>129</x:v>
      </x:c>
      <x:c r="E133" s="42" t="n">
        <x:v>-0.0029797536580227885</x:v>
      </x:c>
      <x:c r="F133" s="42" t="n">
        <x:v>-0.007013276945299145</x:v>
      </x:c>
      <x:c r="G133" s="43" t="n">
        <x:v>1.0344064800410115</x:v>
      </x:c>
      <x:c r="H133" s="32" t="n">
        <x:v>719919.1561389612</x:v>
      </x:c>
      <x:c r="I133" s="50" t="b">
        <x:v>1</x:v>
      </x:c>
      <x:c r="J133" s="50" t="b">
        <x:v>0</x:v>
      </x:c>
      <x:c r="K133" s="31"/>
      <x:c r="L133" s="31"/>
    </x:row>
    <x:row r="134">
      <x:c r="A134" s="31"/>
      <x:c r="B134" s="31"/>
      <x:c r="C134" s="31"/>
      <x:c r="D134" s="31" t="n">
        <x:v>130</x:v>
      </x:c>
      <x:c r="E134" s="42" t="n">
        <x:v>0.025715768403162653</x:v>
      </x:c>
      <x:c r="F134" s="42" t="n">
        <x:v>-0.0042375101218117455</x:v>
      </x:c>
      <x:c r="G134" s="43" t="n">
        <x:v>0.9977947131845745</x:v>
      </x:c>
      <x:c r="H134" s="32" t="n">
        <x:v>1024578.018423697</x:v>
      </x:c>
      <x:c r="I134" s="50" t="b">
        <x:v>0</x:v>
      </x:c>
      <x:c r="J134" s="50" t="b">
        <x:v>0</x:v>
      </x:c>
      <x:c r="K134" s="31"/>
      <x:c r="L134" s="31"/>
    </x:row>
    <x:row r="135">
      <x:c r="A135" s="31"/>
      <x:c r="B135" s="31"/>
      <x:c r="C135" s="31"/>
      <x:c r="D135" s="31" t="n">
        <x:v>131</x:v>
      </x:c>
      <x:c r="E135" s="42" t="n">
        <x:v>-0.005935333871976491</x:v>
      </x:c>
      <x:c r="F135" s="42" t="n">
        <x:v>0.00037684715357066614</x:v>
      </x:c>
      <x:c r="G135" s="43" t="n">
        <x:v>1.0057953908072905</x:v>
      </x:c>
      <x:c r="H135" s="32" t="n">
        <x:v>872822.3386801378</x:v>
      </x:c>
      <x:c r="I135" s="50" t="b">
        <x:v>1</x:v>
      </x:c>
      <x:c r="J135" s="50" t="b">
        <x:v>0</x:v>
      </x:c>
      <x:c r="K135" s="31"/>
      <x:c r="L135" s="31"/>
    </x:row>
    <x:row r="136">
      <x:c r="A136" s="31"/>
      <x:c r="B136" s="31"/>
      <x:c r="C136" s="31"/>
      <x:c r="D136" s="31" t="n">
        <x:v>132</x:v>
      </x:c>
      <x:c r="E136" s="42" t="n">
        <x:v>-0.00471092768292279</x:v>
      </x:c>
      <x:c r="F136" s="42" t="n">
        <x:v>0.001806421800161534</x:v>
      </x:c>
      <x:c r="G136" s="43" t="n">
        <x:v>1.0062309851759326</x:v>
      </x:c>
      <x:c r="H136" s="32" t="n">
        <x:v>869484.9149895336</x:v>
      </x:c>
      <x:c r="I136" s="50" t="b">
        <x:v>1</x:v>
      </x:c>
      <x:c r="J136" s="50" t="b">
        <x:v>0</x:v>
      </x:c>
      <x:c r="K136" s="31"/>
      <x:c r="L136" s="31"/>
    </x:row>
    <x:row r="137">
      <x:c r="A137" s="31"/>
      <x:c r="B137" s="31"/>
      <x:c r="C137" s="31"/>
      <x:c r="D137" s="31" t="n">
        <x:v>133</x:v>
      </x:c>
      <x:c r="E137" s="42" t="n">
        <x:v>0.011922170295578748</x:v>
      </x:c>
      <x:c r="F137" s="42" t="n">
        <x:v>0.0033278872570249307</x:v>
      </x:c>
      <x:c r="G137" s="43" t="n">
        <x:v>1.001751967935001</x:v>
      </x:c>
      <x:c r="H137" s="32" t="n">
        <x:v>939993.4107306593</x:v>
      </x:c>
      <x:c r="I137" s="50" t="b">
        <x:v>1</x:v>
      </x:c>
      <x:c r="J137" s="50" t="b">
        <x:v>0</x:v>
      </x:c>
      <x:c r="K137" s="31"/>
      <x:c r="L137" s="31"/>
    </x:row>
    <x:row r="138">
      <x:c r="A138" s="31"/>
      <x:c r="B138" s="31"/>
      <x:c r="C138" s="31"/>
      <x:c r="D138" s="31" t="n">
        <x:v>134</x:v>
      </x:c>
      <x:c r="E138" s="42" t="n">
        <x:v>-0.00533944030105103</x:v>
      </x:c>
      <x:c r="F138" s="42" t="n">
        <x:v>-0.005370998724141354</x:v>
      </x:c>
      <x:c r="G138" s="43" t="n">
        <x:v>1.0375270788579165</x:v>
      </x:c>
      <x:c r="H138" s="32" t="n">
        <x:v>688961.5856462622</x:v>
      </x:c>
      <x:c r="I138" s="50" t="b">
        <x:v>1</x:v>
      </x:c>
      <x:c r="J138" s="50" t="b">
        <x:v>0</x:v>
      </x:c>
      <x:c r="K138" s="31"/>
      <x:c r="L138" s="31"/>
    </x:row>
    <x:row r="139">
      <x:c r="A139" s="31"/>
      <x:c r="B139" s="31"/>
      <x:c r="C139" s="31"/>
      <x:c r="D139" s="31" t="n">
        <x:v>135</x:v>
      </x:c>
      <x:c r="E139" s="42" t="n">
        <x:v>0.011121270791588443</x:v>
      </x:c>
      <x:c r="F139" s="42" t="n">
        <x:v>-0.008831615221892866</x:v>
      </x:c>
      <x:c r="G139" s="43" t="n">
        <x:v>1.0136443308118093</x:v>
      </x:c>
      <x:c r="H139" s="32" t="n">
        <x:v>896085.4071122626</x:v>
      </x:c>
      <x:c r="I139" s="50" t="b">
        <x:v>1</x:v>
      </x:c>
      <x:c r="J139" s="50" t="b">
        <x:v>0</x:v>
      </x:c>
      <x:c r="K139" s="31"/>
      <x:c r="L139" s="31"/>
    </x:row>
    <x:row r="140">
      <x:c r="A140" s="31"/>
      <x:c r="B140" s="31"/>
      <x:c r="C140" s="31"/>
      <x:c r="D140" s="31" t="n">
        <x:v>136</x:v>
      </x:c>
      <x:c r="E140" s="42" t="n">
        <x:v>-0.0009102343495699984</x:v>
      </x:c>
      <x:c r="F140" s="42" t="n">
        <x:v>-0.004379291842960635</x:v>
      </x:c>
      <x:c r="G140" s="43" t="n">
        <x:v>0.9051445528182779</x:v>
      </x:c>
      <x:c r="H140" s="32" t="n">
        <x:v>1539252.7379321475</x:v>
      </x:c>
      <x:c r="I140" s="50" t="b">
        <x:v>0</x:v>
      </x:c>
      <x:c r="J140" s="50" t="b">
        <x:v>0</x:v>
      </x:c>
      <x:c r="K140" s="31"/>
      <x:c r="L140" s="31"/>
    </x:row>
    <x:row r="141">
      <x:c r="A141" s="31"/>
      <x:c r="B141" s="31"/>
      <x:c r="C141" s="31"/>
      <x:c r="D141" s="31" t="n">
        <x:v>137</x:v>
      </x:c>
      <x:c r="E141" s="42" t="n">
        <x:v>-0.0270332291576136</x:v>
      </x:c>
      <x:c r="F141" s="42" t="n">
        <x:v>-0.005459272954255373</x:v>
      </x:c>
      <x:c r="G141" s="43" t="n">
        <x:v>0.9626717605251465</x:v>
      </x:c>
      <x:c r="H141" s="32" t="n">
        <x:v>1104206.4428496743</x:v>
      </x:c>
      <x:c r="I141" s="50" t="b">
        <x:v>0</x:v>
      </x:c>
      <x:c r="J141" s="50" t="b">
        <x:v>0</x:v>
      </x:c>
      <x:c r="K141" s="31"/>
      <x:c r="L141" s="31"/>
    </x:row>
    <x:row r="142">
      <x:c r="A142" s="31"/>
      <x:c r="B142" s="31"/>
      <x:c r="C142" s="31"/>
      <x:c r="D142" s="31" t="n">
        <x:v>138</x:v>
      </x:c>
      <x:c r="E142" s="42" t="n">
        <x:v>-0.008715584716711881</x:v>
      </x:c>
      <x:c r="F142" s="42" t="n">
        <x:v>0.004384082811823125</x:v>
      </x:c>
      <x:c r="G142" s="43" t="n">
        <x:v>1.0343123355208157</x:v>
      </x:c>
      <x:c r="H142" s="32" t="n">
        <x:v>672826.4241020081</x:v>
      </x:c>
      <x:c r="I142" s="50" t="b">
        <x:v>1</x:v>
      </x:c>
      <x:c r="J142" s="50" t="b">
        <x:v>0</x:v>
      </x:c>
      <x:c r="K142" s="31"/>
      <x:c r="L142" s="31"/>
    </x:row>
    <x:row r="143">
      <x:c r="A143" s="31"/>
      <x:c r="B143" s="31"/>
      <x:c r="C143" s="31"/>
      <x:c r="D143" s="31" t="n">
        <x:v>139</x:v>
      </x:c>
      <x:c r="E143" s="42" t="n">
        <x:v>-0.01447016701079942</x:v>
      </x:c>
      <x:c r="F143" s="42" t="n">
        <x:v>-0.0058783452425589565</x:v>
      </x:c>
      <x:c r="G143" s="43" t="n">
        <x:v>1.0308950614506753</x:v>
      </x:c>
      <x:c r="H143" s="32" t="n">
        <x:v>707076.2232544636</x:v>
      </x:c>
      <x:c r="I143" s="50" t="b">
        <x:v>1</x:v>
      </x:c>
      <x:c r="J143" s="50" t="b">
        <x:v>0</x:v>
      </x:c>
      <x:c r="K143" s="31"/>
      <x:c r="L143" s="31"/>
    </x:row>
    <x:row r="144">
      <x:c r="A144" s="31"/>
      <x:c r="B144" s="31"/>
      <x:c r="C144" s="31"/>
      <x:c r="D144" s="31" t="n">
        <x:v>140</x:v>
      </x:c>
      <x:c r="E144" s="42" t="n">
        <x:v>-0.011291643140982483</x:v>
      </x:c>
      <x:c r="F144" s="42" t="n">
        <x:v>-0.0022634345307337104</x:v>
      </x:c>
      <x:c r="G144" s="43" t="n">
        <x:v>0.9817765063887111</x:v>
      </x:c>
      <x:c r="H144" s="32" t="n">
        <x:v>1017799.1426097015</x:v>
      </x:c>
      <x:c r="I144" s="50" t="b">
        <x:v>0</x:v>
      </x:c>
      <x:c r="J144" s="50" t="b">
        <x:v>0</x:v>
      </x:c>
      <x:c r="K144" s="31"/>
      <x:c r="L144" s="31"/>
    </x:row>
    <x:row r="145">
      <x:c r="A145" s="31"/>
      <x:c r="B145" s="31"/>
      <x:c r="C145" s="31"/>
      <x:c r="D145" s="31" t="n">
        <x:v>141</x:v>
      </x:c>
      <x:c r="E145" s="42" t="n">
        <x:v>-0.018464062941583783</x:v>
      </x:c>
      <x:c r="F145" s="42" t="n">
        <x:v>0.001880650687884294</x:v>
      </x:c>
      <x:c r="G145" s="43" t="n">
        <x:v>0.9776927183522046</x:v>
      </x:c>
      <x:c r="H145" s="32" t="n">
        <x:v>1012234.3463299618</x:v>
      </x:c>
      <x:c r="I145" s="50" t="b">
        <x:v>0</x:v>
      </x:c>
      <x:c r="J145" s="50" t="b">
        <x:v>0</x:v>
      </x:c>
      <x:c r="K145" s="31"/>
      <x:c r="L145" s="31"/>
    </x:row>
    <x:row r="146">
      <x:c r="A146" s="31"/>
      <x:c r="B146" s="31"/>
      <x:c r="C146" s="31"/>
      <x:c r="D146" s="31" t="n">
        <x:v>142</x:v>
      </x:c>
      <x:c r="E146" s="42" t="n">
        <x:v>0.0024698058419869054</x:v>
      </x:c>
      <x:c r="F146" s="42" t="n">
        <x:v>-0.0035310639309246044</x:v>
      </x:c>
      <x:c r="G146" s="43" t="n">
        <x:v>0.9624801144627675</x:v>
      </x:c>
      <x:c r="H146" s="32" t="n">
        <x:v>1182178.6704130296</x:v>
      </x:c>
      <x:c r="I146" s="50" t="b">
        <x:v>0</x:v>
      </x:c>
      <x:c r="J146" s="50" t="b">
        <x:v>0</x:v>
      </x:c>
      <x:c r="K146" s="31"/>
      <x:c r="L146" s="31"/>
    </x:row>
    <x:row r="147">
      <x:c r="A147" s="31"/>
      <x:c r="B147" s="31"/>
      <x:c r="C147" s="31"/>
      <x:c r="D147" s="31" t="n">
        <x:v>143</x:v>
      </x:c>
      <x:c r="E147" s="42" t="n">
        <x:v>0.01872803914897064</x:v>
      </x:c>
      <x:c r="F147" s="42" t="n">
        <x:v>0.0023994688359918136</x:v>
      </x:c>
      <x:c r="G147" s="43" t="n">
        <x:v>0.983253105365566</x:v>
      </x:c>
      <x:c r="H147" s="32" t="n">
        <x:v>1079002.8495371332</x:v>
      </x:c>
      <x:c r="I147" s="50" t="b">
        <x:v>0</x:v>
      </x:c>
      <x:c r="J147" s="50" t="b">
        <x:v>0</x:v>
      </x:c>
      <x:c r="K147" s="31"/>
      <x:c r="L147" s="31"/>
    </x:row>
    <x:row r="148">
      <x:c r="A148" s="31"/>
      <x:c r="B148" s="31"/>
      <x:c r="C148" s="31"/>
      <x:c r="D148" s="31" t="n">
        <x:v>144</x:v>
      </x:c>
      <x:c r="E148" s="42" t="n">
        <x:v>-0.0010170396891035307</x:v>
      </x:c>
      <x:c r="F148" s="42" t="n">
        <x:v>-0.006520681445438715</x:v>
      </x:c>
      <x:c r="G148" s="43" t="n">
        <x:v>1.0022333350885941</x:v>
      </x:c>
      <x:c r="H148" s="32" t="n">
        <x:v>928333.5198701398</x:v>
      </x:c>
      <x:c r="I148" s="50" t="b">
        <x:v>1</x:v>
      </x:c>
      <x:c r="J148" s="50" t="b">
        <x:v>0</x:v>
      </x:c>
      <x:c r="K148" s="31"/>
      <x:c r="L148" s="31"/>
    </x:row>
    <x:row r="149">
      <x:c r="A149" s="31"/>
      <x:c r="B149" s="31"/>
      <x:c r="C149" s="31"/>
      <x:c r="D149" s="31" t="n">
        <x:v>145</x:v>
      </x:c>
      <x:c r="E149" s="42" t="n">
        <x:v>-0.001140062018433168</x:v>
      </x:c>
      <x:c r="F149" s="42" t="n">
        <x:v>0.012112909049306265</x:v>
      </x:c>
      <x:c r="G149" s="43" t="n">
        <x:v>1.0335296054928518</x:v>
      </x:c>
      <x:c r="H149" s="32" t="n">
        <x:v>677370.5903317223</x:v>
      </x:c>
      <x:c r="I149" s="50" t="b">
        <x:v>1</x:v>
      </x:c>
      <x:c r="J149" s="50" t="b">
        <x:v>0</x:v>
      </x:c>
      <x:c r="K149" s="31"/>
      <x:c r="L149" s="31"/>
    </x:row>
    <x:row r="150">
      <x:c r="A150" s="31"/>
      <x:c r="B150" s="31"/>
      <x:c r="C150" s="31"/>
      <x:c r="D150" s="31" t="n">
        <x:v>146</x:v>
      </x:c>
      <x:c r="E150" s="42" t="n">
        <x:v>-0.027797096872700367</x:v>
      </x:c>
      <x:c r="F150" s="42" t="n">
        <x:v>0.007409041790814915</x:v>
      </x:c>
      <x:c r="G150" s="43" t="n">
        <x:v>1.0253690901970771</x:v>
      </x:c>
      <x:c r="H150" s="32" t="n">
        <x:v>668088.5133449098</x:v>
      </x:c>
      <x:c r="I150" s="50" t="b">
        <x:v>1</x:v>
      </x:c>
      <x:c r="J150" s="50" t="b">
        <x:v>0</x:v>
      </x:c>
      <x:c r="K150" s="31"/>
      <x:c r="L150" s="31"/>
    </x:row>
    <x:row r="151">
      <x:c r="A151" s="31"/>
      <x:c r="B151" s="31"/>
      <x:c r="C151" s="31"/>
      <x:c r="D151" s="31" t="n">
        <x:v>147</x:v>
      </x:c>
      <x:c r="E151" s="42" t="n">
        <x:v>-0.004466490752001604</x:v>
      </x:c>
      <x:c r="F151" s="42" t="n">
        <x:v>-0.013804731886220705</x:v>
      </x:c>
      <x:c r="G151" s="43" t="n">
        <x:v>1.0702846343125445</x:v>
      </x:c>
      <x:c r="H151" s="32" t="n">
        <x:v>506833.26629722863</x:v>
      </x:c>
      <x:c r="I151" s="50" t="b">
        <x:v>1</x:v>
      </x:c>
      <x:c r="J151" s="50" t="b">
        <x:v>0</x:v>
      </x:c>
      <x:c r="K151" s="31"/>
      <x:c r="L151" s="31"/>
    </x:row>
    <x:row r="152">
      <x:c r="A152" s="31"/>
      <x:c r="B152" s="31"/>
      <x:c r="C152" s="31"/>
      <x:c r="D152" s="31" t="n">
        <x:v>148</x:v>
      </x:c>
      <x:c r="E152" s="42" t="n">
        <x:v>0.01316618756568144</x:v>
      </x:c>
      <x:c r="F152" s="42" t="n">
        <x:v>-0.005291627045028766</x:v>
      </x:c>
      <x:c r="G152" s="43" t="n">
        <x:v>1.0194510916730959</x:v>
      </x:c>
      <x:c r="H152" s="32" t="n">
        <x:v>855046.7987397923</x:v>
      </x:c>
      <x:c r="I152" s="50" t="b">
        <x:v>1</x:v>
      </x:c>
      <x:c r="J152" s="50" t="b">
        <x:v>0</x:v>
      </x:c>
      <x:c r="K152" s="31"/>
      <x:c r="L152" s="31"/>
    </x:row>
    <x:row r="153">
      <x:c r="A153" s="31"/>
      <x:c r="B153" s="31"/>
      <x:c r="C153" s="31"/>
      <x:c r="D153" s="31" t="n">
        <x:v>149</x:v>
      </x:c>
      <x:c r="E153" s="42" t="n">
        <x:v>0.00011773061450070045</x:v>
      </x:c>
      <x:c r="F153" s="42" t="n">
        <x:v>0.01144316969258305</x:v>
      </x:c>
      <x:c r="G153" s="43" t="n">
        <x:v>1.0368774621694143</x:v>
      </x:c>
      <x:c r="H153" s="32" t="n">
        <x:v>661474.6574076538</x:v>
      </x:c>
      <x:c r="I153" s="50" t="b">
        <x:v>1</x:v>
      </x:c>
      <x:c r="J153" s="50" t="b">
        <x:v>0</x:v>
      </x:c>
      <x:c r="K153" s="31"/>
      <x:c r="L153" s="31"/>
    </x:row>
    <x:row r="154">
      <x:c r="A154" s="31"/>
      <x:c r="B154" s="31"/>
      <x:c r="C154" s="31"/>
      <x:c r="D154" s="31" t="n">
        <x:v>150</x:v>
      </x:c>
      <x:c r="E154" s="42" t="n">
        <x:v>0.000954478251205663</x:v>
      </x:c>
      <x:c r="F154" s="42" t="n">
        <x:v>0.0003246896734269529</x:v>
      </x:c>
      <x:c r="G154" s="43" t="n">
        <x:v>1.0677519485872116</x:v>
      </x:c>
      <x:c r="H154" s="32" t="n">
        <x:v>498677.4436478391</x:v>
      </x:c>
      <x:c r="I154" s="50" t="b">
        <x:v>1</x:v>
      </x:c>
      <x:c r="J154" s="50" t="b">
        <x:v>0</x:v>
      </x:c>
      <x:c r="K154" s="31"/>
      <x:c r="L154" s="31"/>
    </x:row>
    <x:row r="155">
      <x:c r="A155" s="31"/>
      <x:c r="B155" s="31"/>
      <x:c r="C155" s="31"/>
      <x:c r="D155" s="31" t="n">
        <x:v>151</x:v>
      </x:c>
      <x:c r="E155" s="42" t="n">
        <x:v>0.017454442409048143</x:v>
      </x:c>
      <x:c r="F155" s="42" t="n">
        <x:v>0.005656346604626662</x:v>
      </x:c>
      <x:c r="G155" s="43" t="n">
        <x:v>1.0249657953005626</x:v>
      </x:c>
      <x:c r="H155" s="32" t="n">
        <x:v>801487.050116282</x:v>
      </x:c>
      <x:c r="I155" s="50" t="b">
        <x:v>1</x:v>
      </x:c>
      <x:c r="J155" s="50" t="b">
        <x:v>0</x:v>
      </x:c>
      <x:c r="K155" s="31"/>
      <x:c r="L155" s="31"/>
    </x:row>
    <x:row r="156">
      <x:c r="A156" s="31"/>
      <x:c r="B156" s="31"/>
      <x:c r="C156" s="31"/>
      <x:c r="D156" s="31" t="n">
        <x:v>152</x:v>
      </x:c>
      <x:c r="E156" s="42" t="n">
        <x:v>0.021650672778528914</x:v>
      </x:c>
      <x:c r="F156" s="42" t="n">
        <x:v>0.001008639673000947</x:v>
      </x:c>
      <x:c r="G156" s="43" t="n">
        <x:v>1.1217669519253637</x:v>
      </x:c>
      <x:c r="H156" s="32" t="n">
        <x:v>211348.44372816104</x:v>
      </x:c>
      <x:c r="I156" s="50" t="b">
        <x:v>1</x:v>
      </x:c>
      <x:c r="J156" s="50" t="b">
        <x:v>0</x:v>
      </x:c>
      <x:c r="K156" s="31"/>
      <x:c r="L156" s="31"/>
    </x:row>
    <x:row r="157">
      <x:c r="A157" s="31"/>
      <x:c r="B157" s="31"/>
      <x:c r="C157" s="31"/>
      <x:c r="D157" s="31" t="n">
        <x:v>153</x:v>
      </x:c>
      <x:c r="E157" s="42" t="n">
        <x:v>0.009863637868336278</x:v>
      </x:c>
      <x:c r="F157" s="42" t="n">
        <x:v>-0.00046079885803582577</x:v>
      </x:c>
      <x:c r="G157" s="43" t="n">
        <x:v>0.9906205191326328</x:v>
      </x:c>
      <x:c r="H157" s="32" t="n">
        <x:v>1015501.9153759894</x:v>
      </x:c>
      <x:c r="I157" s="50" t="b">
        <x:v>0</x:v>
      </x:c>
      <x:c r="J157" s="50" t="b">
        <x:v>0</x:v>
      </x:c>
      <x:c r="K157" s="31"/>
      <x:c r="L157" s="31"/>
    </x:row>
    <x:row r="158">
      <x:c r="A158" s="31"/>
      <x:c r="B158" s="31"/>
      <x:c r="C158" s="31"/>
      <x:c r="D158" s="31" t="n">
        <x:v>154</x:v>
      </x:c>
      <x:c r="E158" s="42" t="n">
        <x:v>0.007849160109952751</x:v>
      </x:c>
      <x:c r="F158" s="42" t="n">
        <x:v>-0.0024519781514763615</x:v>
      </x:c>
      <x:c r="G158" s="43" t="n">
        <x:v>1.0173527304600793</x:v>
      </x:c>
      <x:c r="H158" s="32" t="n">
        <x:v>845668.5891396959</x:v>
      </x:c>
      <x:c r="I158" s="50" t="b">
        <x:v>1</x:v>
      </x:c>
      <x:c r="J158" s="50" t="b">
        <x:v>0</x:v>
      </x:c>
      <x:c r="K158" s="31"/>
      <x:c r="L158" s="31"/>
    </x:row>
    <x:row r="159">
      <x:c r="A159" s="31"/>
      <x:c r="B159" s="31"/>
      <x:c r="C159" s="31"/>
      <x:c r="D159" s="31" t="n">
        <x:v>155</x:v>
      </x:c>
      <x:c r="E159" s="42" t="n">
        <x:v>0.002204630006562384</x:v>
      </x:c>
      <x:c r="F159" s="42" t="n">
        <x:v>0.005323718868660639</x:v>
      </x:c>
      <x:c r="G159" s="43" t="n">
        <x:v>1.0911556296778895</x:v>
      </x:c>
      <x:c r="H159" s="32" t="n">
        <x:v>339612.41011574026</x:v>
      </x:c>
      <x:c r="I159" s="50" t="b">
        <x:v>1</x:v>
      </x:c>
      <x:c r="J159" s="50" t="b">
        <x:v>0</x:v>
      </x:c>
      <x:c r="K159" s="31"/>
      <x:c r="L159" s="31"/>
    </x:row>
    <x:row r="160">
      <x:c r="A160" s="31"/>
      <x:c r="B160" s="31"/>
      <x:c r="C160" s="31"/>
      <x:c r="D160" s="31" t="n">
        <x:v>156</x:v>
      </x:c>
      <x:c r="E160" s="42" t="n">
        <x:v>0.0005042659336096547</x:v>
      </x:c>
      <x:c r="F160" s="42" t="n">
        <x:v>-0.004286369050666073</x:v>
      </x:c>
      <x:c r="G160" s="43" t="n">
        <x:v>1.0854438778549724</x:v>
      </x:c>
      <x:c r="H160" s="32" t="n">
        <x:v>397902.97107262386</x:v>
      </x:c>
      <x:c r="I160" s="50" t="b">
        <x:v>1</x:v>
      </x:c>
      <x:c r="J160" s="50" t="b">
        <x:v>0</x:v>
      </x:c>
      <x:c r="K160" s="31"/>
      <x:c r="L160" s="31"/>
    </x:row>
    <x:row r="161">
      <x:c r="A161" s="31"/>
      <x:c r="B161" s="31"/>
      <x:c r="C161" s="31"/>
      <x:c r="D161" s="31" t="n">
        <x:v>157</x:v>
      </x:c>
      <x:c r="E161" s="42" t="n">
        <x:v>0.006079224144613193</x:v>
      </x:c>
      <x:c r="F161" s="42" t="n">
        <x:v>0.0059967935258891</x:v>
      </x:c>
      <x:c r="G161" s="43" t="n">
        <x:v>0.9889224090434754</x:v>
      </x:c>
      <x:c r="H161" s="32" t="n">
        <x:v>997777.2660635891</x:v>
      </x:c>
      <x:c r="I161" s="50" t="b">
        <x:v>1</x:v>
      </x:c>
      <x:c r="J161" s="50" t="b">
        <x:v>0</x:v>
      </x:c>
      <x:c r="K161" s="31"/>
      <x:c r="L161" s="31"/>
    </x:row>
    <x:row r="162">
      <x:c r="A162" s="31"/>
      <x:c r="B162" s="31"/>
      <x:c r="C162" s="31"/>
      <x:c r="D162" s="31" t="n">
        <x:v>158</x:v>
      </x:c>
      <x:c r="E162" s="42" t="n">
        <x:v>-0.013497078298734156</x:v>
      </x:c>
      <x:c r="F162" s="42" t="n">
        <x:v>-0.002650315504034316</x:v>
      </x:c>
      <x:c r="G162" s="43" t="n">
        <x:v>0.9363372335602316</x:v>
      </x:c>
      <x:c r="H162" s="32" t="n">
        <x:v>1301308.72057456</x:v>
      </x:c>
      <x:c r="I162" s="50" t="b">
        <x:v>0</x:v>
      </x:c>
      <x:c r="J162" s="50" t="b">
        <x:v>0</x:v>
      </x:c>
      <x:c r="K162" s="31"/>
      <x:c r="L162" s="31"/>
    </x:row>
    <x:row r="163">
      <x:c r="A163" s="31"/>
      <x:c r="B163" s="31"/>
      <x:c r="C163" s="31"/>
      <x:c r="D163" s="31" t="n">
        <x:v>159</x:v>
      </x:c>
      <x:c r="E163" s="42" t="n">
        <x:v>-0.030290790335279955</x:v>
      </x:c>
      <x:c r="F163" s="42" t="n">
        <x:v>0.008419133180846366</x:v>
      </x:c>
      <x:c r="G163" s="43" t="n">
        <x:v>0.9610735791326517</x:v>
      </x:c>
      <x:c r="H163" s="32" t="n">
        <x:v>1066657.681712744</x:v>
      </x:c>
      <x:c r="I163" s="50" t="b">
        <x:v>0</x:v>
      </x:c>
      <x:c r="J163" s="50" t="b">
        <x:v>0</x:v>
      </x:c>
      <x:c r="K163" s="31"/>
      <x:c r="L163" s="31"/>
    </x:row>
    <x:row r="164">
      <x:c r="A164" s="31"/>
      <x:c r="B164" s="31"/>
      <x:c r="C164" s="31"/>
      <x:c r="D164" s="31" t="n">
        <x:v>160</x:v>
      </x:c>
      <x:c r="E164" s="42" t="n">
        <x:v>0.017237795965181255</x:v>
      </x:c>
      <x:c r="F164" s="42" t="n">
        <x:v>0.002215259325009163</x:v>
      </x:c>
      <x:c r="G164" s="43" t="n">
        <x:v>1.0123332083761842</x:v>
      </x:c>
      <x:c r="H164" s="32" t="n">
        <x:v>890688.2263843017</x:v>
      </x:c>
      <x:c r="I164" s="50" t="b">
        <x:v>1</x:v>
      </x:c>
      <x:c r="J164" s="50" t="b">
        <x:v>0</x:v>
      </x:c>
      <x:c r="K164" s="31"/>
      <x:c r="L164" s="31"/>
    </x:row>
    <x:row r="165">
      <x:c r="A165" s="31"/>
      <x:c r="B165" s="31"/>
      <x:c r="C165" s="31"/>
      <x:c r="D165" s="31" t="n">
        <x:v>161</x:v>
      </x:c>
      <x:c r="E165" s="42" t="n">
        <x:v>-0.003403166801248745</x:v>
      </x:c>
      <x:c r="F165" s="42" t="n">
        <x:v>-0.010922330631389825</x:v>
      </x:c>
      <x:c r="G165" s="43" t="n">
        <x:v>1.032686682702802</x:v>
      </x:c>
      <x:c r="H165" s="32" t="n">
        <x:v>740543.4449610203</x:v>
      </x:c>
      <x:c r="I165" s="50" t="b">
        <x:v>1</x:v>
      </x:c>
      <x:c r="J165" s="50" t="b">
        <x:v>0</x:v>
      </x:c>
      <x:c r="K165" s="31"/>
      <x:c r="L165" s="31"/>
    </x:row>
    <x:row r="166">
      <x:c r="A166" s="31"/>
      <x:c r="B166" s="31"/>
      <x:c r="C166" s="31"/>
      <x:c r="D166" s="31" t="n">
        <x:v>162</x:v>
      </x:c>
      <x:c r="E166" s="42" t="n">
        <x:v>-0.013748903763350953</x:v>
      </x:c>
      <x:c r="F166" s="42" t="n">
        <x:v>0.008786904608397936</x:v>
      </x:c>
      <x:c r="G166" s="43" t="n">
        <x:v>1.0196150137524378</x:v>
      </x:c>
      <x:c r="H166" s="32" t="n">
        <x:v>739899.1191912275</x:v>
      </x:c>
      <x:c r="I166" s="50" t="b">
        <x:v>1</x:v>
      </x:c>
      <x:c r="J166" s="50" t="b">
        <x:v>0</x:v>
      </x:c>
      <x:c r="K166" s="31"/>
      <x:c r="L166" s="31"/>
    </x:row>
    <x:row r="167">
      <x:c r="A167" s="31"/>
      <x:c r="B167" s="31"/>
      <x:c r="C167" s="31"/>
      <x:c r="D167" s="31" t="n">
        <x:v>163</x:v>
      </x:c>
      <x:c r="E167" s="42" t="n">
        <x:v>-0.009295749350090959</x:v>
      </x:c>
      <x:c r="F167" s="42" t="n">
        <x:v>-0.004160512869447108</x:v>
      </x:c>
      <x:c r="G167" s="43" t="n">
        <x:v>1.0145772892565827</x:v>
      </x:c>
      <x:c r="H167" s="32" t="n">
        <x:v>820327.1151658382</x:v>
      </x:c>
      <x:c r="I167" s="50" t="b">
        <x:v>1</x:v>
      </x:c>
      <x:c r="J167" s="50" t="b">
        <x:v>0</x:v>
      </x:c>
      <x:c r="K167" s="31"/>
      <x:c r="L167" s="31"/>
    </x:row>
    <x:row r="168">
      <x:c r="A168" s="31"/>
      <x:c r="B168" s="31"/>
      <x:c r="C168" s="31"/>
      <x:c r="D168" s="31" t="n">
        <x:v>164</x:v>
      </x:c>
      <x:c r="E168" s="42" t="n">
        <x:v>-0.015572896345466235</x:v>
      </x:c>
      <x:c r="F168" s="42" t="n">
        <x:v>0.004887940692589251</x:v>
      </x:c>
      <x:c r="G168" s="43" t="n">
        <x:v>1.0072644251563074</x:v>
      </x:c>
      <x:c r="H168" s="32" t="n">
        <x:v>824109.8325171107</x:v>
      </x:c>
      <x:c r="I168" s="50" t="b">
        <x:v>1</x:v>
      </x:c>
      <x:c r="J168" s="50" t="b">
        <x:v>0</x:v>
      </x:c>
      <x:c r="K168" s="31"/>
      <x:c r="L168" s="31"/>
    </x:row>
    <x:row r="169">
      <x:c r="A169" s="31"/>
      <x:c r="B169" s="31"/>
      <x:c r="C169" s="31"/>
      <x:c r="D169" s="31" t="n">
        <x:v>165</x:v>
      </x:c>
      <x:c r="E169" s="42" t="n">
        <x:v>-0.0007488071508308065</x:v>
      </x:c>
      <x:c r="F169" s="42" t="n">
        <x:v>-0.0035203867483610293</x:v>
      </x:c>
      <x:c r="G169" s="43" t="n">
        <x:v>0.9648959649298225</x:v>
      </x:c>
      <x:c r="H169" s="32" t="n">
        <x:v>1157847.5081883925</x:v>
      </x:c>
      <x:c r="I169" s="50" t="b">
        <x:v>0</x:v>
      </x:c>
      <x:c r="J169" s="50" t="b">
        <x:v>0</x:v>
      </x:c>
      <x:c r="K169" s="31"/>
      <x:c r="L169" s="31"/>
    </x:row>
    <x:row r="170">
      <x:c r="A170" s="31"/>
      <x:c r="B170" s="31"/>
      <x:c r="C170" s="31"/>
      <x:c r="D170" s="31" t="n">
        <x:v>166</x:v>
      </x:c>
      <x:c r="E170" s="42" t="n">
        <x:v>-0.0013666725481206515</x:v>
      </x:c>
      <x:c r="F170" s="42" t="n">
        <x:v>0.0019074481440158938</x:v>
      </x:c>
      <x:c r="G170" s="43" t="n">
        <x:v>1.0254818067263964</x:v>
      </x:c>
      <x:c r="H170" s="32" t="n">
        <x:v>756256.163394131</x:v>
      </x:c>
      <x:c r="I170" s="50" t="b">
        <x:v>1</x:v>
      </x:c>
      <x:c r="J170" s="50" t="b">
        <x:v>0</x:v>
      </x:c>
      <x:c r="K170" s="31"/>
      <x:c r="L170" s="31"/>
    </x:row>
    <x:row r="171">
      <x:c r="A171" s="31"/>
      <x:c r="B171" s="31"/>
      <x:c r="C171" s="31"/>
      <x:c r="D171" s="31" t="n">
        <x:v>167</x:v>
      </x:c>
      <x:c r="E171" s="42" t="n">
        <x:v>0.0032506600155161104</x:v>
      </x:c>
      <x:c r="F171" s="42" t="n">
        <x:v>0.005788088970674827</x:v>
      </x:c>
      <x:c r="G171" s="43" t="n">
        <x:v>1.1210477860533228</x:v>
      </x:c>
      <x:c r="H171" s="32" t="n">
        <x:v>151395.10989950248</x:v>
      </x:c>
      <x:c r="I171" s="50" t="b">
        <x:v>1</x:v>
      </x:c>
      <x:c r="J171" s="50" t="b">
        <x:v>0</x:v>
      </x:c>
      <x:c r="K171" s="31"/>
      <x:c r="L171" s="31"/>
    </x:row>
    <x:row r="172">
      <x:c r="A172" s="31"/>
      <x:c r="B172" s="31"/>
      <x:c r="C172" s="31"/>
      <x:c r="D172" s="31" t="n">
        <x:v>168</x:v>
      </x:c>
      <x:c r="E172" s="42" t="n">
        <x:v>0.009303896833438522</x:v>
      </x:c>
      <x:c r="F172" s="42" t="n">
        <x:v>0.003647459880525169</x:v>
      </x:c>
      <x:c r="G172" s="43" t="n">
        <x:v>0.9777461899840031</x:v>
      </x:c>
      <x:c r="H172" s="32" t="n">
        <x:v>1084269.542594438</x:v>
      </x:c>
      <x:c r="I172" s="50" t="b">
        <x:v>0</x:v>
      </x:c>
      <x:c r="J172" s="50" t="b">
        <x:v>0</x:v>
      </x:c>
      <x:c r="K172" s="31"/>
      <x:c r="L172" s="31"/>
    </x:row>
    <x:row r="173">
      <x:c r="A173" s="31"/>
      <x:c r="B173" s="31"/>
      <x:c r="C173" s="31"/>
      <x:c r="D173" s="31" t="n">
        <x:v>169</x:v>
      </x:c>
      <x:c r="E173" s="42" t="n">
        <x:v>0.026284877025128467</x:v>
      </x:c>
      <x:c r="F173" s="42" t="n">
        <x:v>0.0009213086938748412</x:v>
      </x:c>
      <x:c r="G173" s="43" t="n">
        <x:v>1.0273609535687374</x:v>
      </x:c>
      <x:c r="H173" s="32" t="n">
        <x:v>824035.8922694526</x:v>
      </x:c>
      <x:c r="I173" s="50" t="b">
        <x:v>1</x:v>
      </x:c>
      <x:c r="J173" s="50" t="b">
        <x:v>0</x:v>
      </x:c>
      <x:c r="K173" s="31"/>
      <x:c r="L173" s="31"/>
    </x:row>
    <x:row r="174">
      <x:c r="A174" s="31"/>
      <x:c r="B174" s="31"/>
      <x:c r="C174" s="31"/>
      <x:c r="D174" s="31" t="n">
        <x:v>170</x:v>
      </x:c>
      <x:c r="E174" s="42" t="n">
        <x:v>0.014154478527793246</x:v>
      </x:c>
      <x:c r="F174" s="42" t="n">
        <x:v>0.0022510743916288292</x:v>
      </x:c>
      <x:c r="G174" s="43" t="n">
        <x:v>0.9668192683427779</x:v>
      </x:c>
      <x:c r="H174" s="32" t="n">
        <x:v>1171051.8054003327</x:v>
      </x:c>
      <x:c r="I174" s="50" t="b">
        <x:v>0</x:v>
      </x:c>
      <x:c r="J174" s="50" t="b">
        <x:v>0</x:v>
      </x:c>
      <x:c r="K174" s="31"/>
      <x:c r="L174" s="31"/>
    </x:row>
    <x:row r="175">
      <x:c r="A175" s="31"/>
      <x:c r="B175" s="31"/>
      <x:c r="C175" s="31"/>
      <x:c r="D175" s="31" t="n">
        <x:v>171</x:v>
      </x:c>
      <x:c r="E175" s="42" t="n">
        <x:v>0.004571899441450851</x:v>
      </x:c>
      <x:c r="F175" s="42" t="n">
        <x:v>0.002129216636512859</x:v>
      </x:c>
      <x:c r="G175" s="43" t="n">
        <x:v>1.0035621741121645</x:v>
      </x:c>
      <x:c r="H175" s="32" t="n">
        <x:v>911374.2038573395</x:v>
      </x:c>
      <x:c r="I175" s="50" t="b">
        <x:v>1</x:v>
      </x:c>
      <x:c r="J175" s="50" t="b">
        <x:v>0</x:v>
      </x:c>
      <x:c r="K175" s="31"/>
      <x:c r="L175" s="31"/>
    </x:row>
    <x:row r="176">
      <x:c r="A176" s="31"/>
      <x:c r="B176" s="31"/>
      <x:c r="C176" s="31"/>
      <x:c r="D176" s="31" t="n">
        <x:v>172</x:v>
      </x:c>
      <x:c r="E176" s="42" t="n">
        <x:v>-0.009231096416719424</x:v>
      </x:c>
      <x:c r="F176" s="42" t="n">
        <x:v>0.008145682821259754</x:v>
      </x:c>
      <x:c r="G176" s="43" t="n">
        <x:v>1.008701430036206</x:v>
      </x:c>
      <x:c r="H176" s="32" t="n">
        <x:v>823568.3770507744</x:v>
      </x:c>
      <x:c r="I176" s="50" t="b">
        <x:v>1</x:v>
      </x:c>
      <x:c r="J176" s="50" t="b">
        <x:v>0</x:v>
      </x:c>
      <x:c r="K176" s="31"/>
      <x:c r="L176" s="31"/>
    </x:row>
    <x:row r="177">
      <x:c r="A177" s="31"/>
      <x:c r="B177" s="31"/>
      <x:c r="C177" s="31"/>
      <x:c r="D177" s="31" t="n">
        <x:v>173</x:v>
      </x:c>
      <x:c r="E177" s="42" t="n">
        <x:v>0.002377597753953282</x:v>
      </x:c>
      <x:c r="F177" s="42" t="n">
        <x:v>0.001226753825623556</x:v>
      </x:c>
      <x:c r="G177" s="43" t="n">
        <x:v>1.0230503047956467</x:v>
      </x:c>
      <x:c r="H177" s="32" t="n">
        <x:v>784014.9098196684</x:v>
      </x:c>
      <x:c r="I177" s="50" t="b">
        <x:v>1</x:v>
      </x:c>
      <x:c r="J177" s="50" t="b">
        <x:v>0</x:v>
      </x:c>
      <x:c r="K177" s="31"/>
      <x:c r="L177" s="31"/>
    </x:row>
    <x:row r="178">
      <x:c r="A178" s="31"/>
      <x:c r="B178" s="31"/>
      <x:c r="C178" s="31"/>
      <x:c r="D178" s="31" t="n">
        <x:v>174</x:v>
      </x:c>
      <x:c r="E178" s="42" t="n">
        <x:v>-0.013306684632858294</x:v>
      </x:c>
      <x:c r="F178" s="42" t="n">
        <x:v>0.013541517416030095</x:v>
      </x:c>
      <x:c r="G178" s="43" t="n">
        <x:v>0.8939775541339184</x:v>
      </x:c>
      <x:c r="H178" s="32" t="n">
        <x:v>1525782.3244055714</x:v>
      </x:c>
      <x:c r="I178" s="50" t="b">
        <x:v>0</x:v>
      </x:c>
      <x:c r="J178" s="50" t="b">
        <x:v>0</x:v>
      </x:c>
      <x:c r="K178" s="31"/>
      <x:c r="L178" s="31"/>
    </x:row>
    <x:row r="179">
      <x:c r="A179" s="31"/>
      <x:c r="B179" s="31"/>
      <x:c r="C179" s="31"/>
      <x:c r="D179" s="31" t="n">
        <x:v>175</x:v>
      </x:c>
      <x:c r="E179" s="42" t="n">
        <x:v>0.01776373708934224</x:v>
      </x:c>
      <x:c r="F179" s="42" t="n">
        <x:v>0.004669323218660407</x:v>
      </x:c>
      <x:c r="G179" s="43" t="n">
        <x:v>0.9673729694598446</x:v>
      </x:c>
      <x:c r="H179" s="32" t="n">
        <x:v>1170850.6131564206</x:v>
      </x:c>
      <x:c r="I179" s="50" t="b">
        <x:v>0</x:v>
      </x:c>
      <x:c r="J179" s="50" t="b">
        <x:v>0</x:v>
      </x:c>
      <x:c r="K179" s="31"/>
      <x:c r="L179" s="31"/>
    </x:row>
    <x:row r="180">
      <x:c r="A180" s="31"/>
      <x:c r="B180" s="31"/>
      <x:c r="C180" s="31"/>
      <x:c r="D180" s="31" t="n">
        <x:v>176</x:v>
      </x:c>
      <x:c r="E180" s="42" t="n">
        <x:v>-0.006947838730541657</x:v>
      </x:c>
      <x:c r="F180" s="42" t="n">
        <x:v>0.00020605773078025225</x:v>
      </x:c>
      <x:c r="G180" s="43" t="n">
        <x:v>1.0384400264267277</x:v>
      </x:c>
      <x:c r="H180" s="32" t="n">
        <x:v>663162.8490628095</x:v>
      </x:c>
      <x:c r="I180" s="50" t="b">
        <x:v>1</x:v>
      </x:c>
      <x:c r="J180" s="50" t="b">
        <x:v>0</x:v>
      </x:c>
      <x:c r="K180" s="31"/>
      <x:c r="L180" s="31"/>
    </x:row>
    <x:row r="181">
      <x:c r="A181" s="31"/>
      <x:c r="B181" s="31"/>
      <x:c r="C181" s="31"/>
      <x:c r="D181" s="31" t="n">
        <x:v>177</x:v>
      </x:c>
      <x:c r="E181" s="42" t="n">
        <x:v>-0.0008133896755542769</x:v>
      </x:c>
      <x:c r="F181" s="42" t="n">
        <x:v>-0.0022052837894080564</x:v>
      </x:c>
      <x:c r="G181" s="43" t="n">
        <x:v>0.9424407365145175</x:v>
      </x:c>
      <x:c r="H181" s="32" t="n">
        <x:v>1296613.7269314728</x:v>
      </x:c>
      <x:c r="I181" s="50" t="b">
        <x:v>0</x:v>
      </x:c>
      <x:c r="J181" s="50" t="b">
        <x:v>0</x:v>
      </x:c>
      <x:c r="K181" s="31"/>
      <x:c r="L181" s="31"/>
    </x:row>
    <x:row r="182">
      <x:c r="A182" s="31"/>
      <x:c r="B182" s="31"/>
      <x:c r="C182" s="31"/>
      <x:c r="D182" s="31" t="n">
        <x:v>178</x:v>
      </x:c>
      <x:c r="E182" s="42" t="n">
        <x:v>0.004770531717740166</x:v>
      </x:c>
      <x:c r="F182" s="42" t="n">
        <x:v>-0.002327713935922206</x:v>
      </x:c>
      <x:c r="G182" s="43" t="n">
        <x:v>1.0680023878145972</x:v>
      </x:c>
      <x:c r="H182" s="32" t="n">
        <x:v>515092.07083851995</x:v>
      </x:c>
      <x:c r="I182" s="50" t="b">
        <x:v>1</x:v>
      </x:c>
      <x:c r="J182" s="50" t="b">
        <x:v>0</x:v>
      </x:c>
      <x:c r="K182" s="31"/>
      <x:c r="L182" s="31"/>
    </x:row>
    <x:row r="183">
      <x:c r="A183" s="31"/>
      <x:c r="B183" s="31"/>
      <x:c r="C183" s="31"/>
      <x:c r="D183" s="31" t="n">
        <x:v>179</x:v>
      </x:c>
      <x:c r="E183" s="42" t="n">
        <x:v>0.03052769098191932</x:v>
      </x:c>
      <x:c r="F183" s="42" t="n">
        <x:v>-0.005429119587478402</x:v>
      </x:c>
      <x:c r="G183" s="43" t="n">
        <x:v>0.9863421763701768</x:v>
      </x:c>
      <x:c r="H183" s="32" t="n">
        <x:v>1114020.7027298776</x:v>
      </x:c>
      <x:c r="I183" s="50" t="b">
        <x:v>0</x:v>
      </x:c>
      <x:c r="J183" s="50" t="b">
        <x:v>0</x:v>
      </x:c>
      <x:c r="K183" s="31"/>
      <x:c r="L183" s="31"/>
    </x:row>
    <x:row r="184">
      <x:c r="A184" s="31"/>
      <x:c r="B184" s="31"/>
      <x:c r="C184" s="31"/>
      <x:c r="D184" s="31" t="n">
        <x:v>180</x:v>
      </x:c>
      <x:c r="E184" s="42" t="n">
        <x:v>0.011578091327393054</x:v>
      </x:c>
      <x:c r="F184" s="42" t="n">
        <x:v>0.002731025473868339</x:v>
      </x:c>
      <x:c r="G184" s="43" t="n">
        <x:v>0.9727686766556982</x:v>
      </x:c>
      <x:c r="H184" s="32" t="n">
        <x:v>1124761.4637153056</x:v>
      </x:c>
      <x:c r="I184" s="50" t="b">
        <x:v>0</x:v>
      </x:c>
      <x:c r="J184" s="50" t="b">
        <x:v>0</x:v>
      </x:c>
      <x:c r="K184" s="31"/>
      <x:c r="L184" s="31"/>
    </x:row>
    <x:row r="185">
      <x:c r="A185" s="31"/>
      <x:c r="B185" s="31"/>
      <x:c r="C185" s="31"/>
      <x:c r="D185" s="31" t="n">
        <x:v>181</x:v>
      </x:c>
      <x:c r="E185" s="42" t="n">
        <x:v>-0.007554057982364395</x:v>
      </x:c>
      <x:c r="F185" s="42" t="n">
        <x:v>-0.0007310245952409374</x:v>
      </x:c>
      <x:c r="G185" s="43" t="n">
        <x:v>1.0824073908428347</x:v>
      </x:c>
      <x:c r="H185" s="32" t="n">
        <x:v>384859.91078191274</x:v>
      </x:c>
      <x:c r="I185" s="50" t="b">
        <x:v>1</x:v>
      </x:c>
      <x:c r="J185" s="50" t="b">
        <x:v>0</x:v>
      </x:c>
      <x:c r="K185" s="31"/>
      <x:c r="L185" s="31"/>
    </x:row>
    <x:row r="186">
      <x:c r="A186" s="31"/>
      <x:c r="B186" s="31"/>
      <x:c r="C186" s="31"/>
      <x:c r="D186" s="31" t="n">
        <x:v>182</x:v>
      </x:c>
      <x:c r="E186" s="42" t="n">
        <x:v>0.005587503141576455</x:v>
      </x:c>
      <x:c r="F186" s="42" t="n">
        <x:v>0.0002921337534206488</x:v>
      </x:c>
      <x:c r="G186" s="43" t="n">
        <x:v>1.0025590087051666</x:v>
      </x:c>
      <x:c r="H186" s="32" t="n">
        <x:v>925685.5310001089</x:v>
      </x:c>
      <x:c r="I186" s="50" t="b">
        <x:v>1</x:v>
      </x:c>
      <x:c r="J186" s="50" t="b">
        <x:v>0</x:v>
      </x:c>
      <x:c r="K186" s="31"/>
      <x:c r="L186" s="31"/>
    </x:row>
    <x:row r="187">
      <x:c r="A187" s="31"/>
      <x:c r="B187" s="31"/>
      <x:c r="C187" s="31"/>
      <x:c r="D187" s="31" t="n">
        <x:v>183</x:v>
      </x:c>
      <x:c r="E187" s="42" t="n">
        <x:v>0.004021205074033361</x:v>
      </x:c>
      <x:c r="F187" s="42" t="n">
        <x:v>-0.00017294602461098208</x:v>
      </x:c>
      <x:c r="G187" s="43" t="n">
        <x:v>0.9259350474738243</x:v>
      </x:c>
      <x:c r="H187" s="32" t="n">
        <x:v>1409236.686571896</x:v>
      </x:c>
      <x:c r="I187" s="50" t="b">
        <x:v>0</x:v>
      </x:c>
      <x:c r="J187" s="50" t="b">
        <x:v>0</x:v>
      </x:c>
      <x:c r="K187" s="31"/>
      <x:c r="L187" s="31"/>
    </x:row>
    <x:row r="188">
      <x:c r="A188" s="31"/>
      <x:c r="B188" s="31"/>
      <x:c r="C188" s="31"/>
      <x:c r="D188" s="31" t="n">
        <x:v>184</x:v>
      </x:c>
      <x:c r="E188" s="42" t="n">
        <x:v>-0.0021952690181593552</x:v>
      </x:c>
      <x:c r="F188" s="42" t="n">
        <x:v>-0.002493323495363795</x:v>
      </x:c>
      <x:c r="G188" s="43" t="n">
        <x:v>1.0102895503447367</x:v>
      </x:c>
      <x:c r="H188" s="32" t="n">
        <x:v>862680.9797722448</x:v>
      </x:c>
      <x:c r="I188" s="50" t="b">
        <x:v>1</x:v>
      </x:c>
      <x:c r="J188" s="50" t="b">
        <x:v>0</x:v>
      </x:c>
      <x:c r="K188" s="31"/>
      <x:c r="L188" s="31"/>
    </x:row>
    <x:row r="189">
      <x:c r="A189" s="31"/>
      <x:c r="B189" s="31"/>
      <x:c r="C189" s="31"/>
      <x:c r="D189" s="31" t="n">
        <x:v>185</x:v>
      </x:c>
      <x:c r="E189" s="42" t="n">
        <x:v>0.008568516277259576</x:v>
      </x:c>
      <x:c r="F189" s="42" t="n">
        <x:v>-0.004010296558875629</x:v>
      </x:c>
      <x:c r="G189" s="43" t="n">
        <x:v>1.103542822634766</x:v>
      </x:c>
      <x:c r="H189" s="32" t="n">
        <x:v>304640.4192188671</x:v>
      </x:c>
      <x:c r="I189" s="50" t="b">
        <x:v>1</x:v>
      </x:c>
      <x:c r="J189" s="50" t="b">
        <x:v>0</x:v>
      </x:c>
      <x:c r="K189" s="31"/>
      <x:c r="L189" s="31"/>
    </x:row>
    <x:row r="190">
      <x:c r="A190" s="31"/>
      <x:c r="B190" s="31"/>
      <x:c r="C190" s="31"/>
      <x:c r="D190" s="31" t="n">
        <x:v>186</x:v>
      </x:c>
      <x:c r="E190" s="42" t="n">
        <x:v>-0.0003241769684781371</x:v>
      </x:c>
      <x:c r="F190" s="42" t="n">
        <x:v>-0.0008937535898545604</x:v>
      </x:c>
      <x:c r="G190" s="43" t="n">
        <x:v>0.9963244866904261</x:v>
      </x:c>
      <x:c r="H190" s="32" t="n">
        <x:v>952124.8123398811</x:v>
      </x:c>
      <x:c r="I190" s="50" t="b">
        <x:v>1</x:v>
      </x:c>
      <x:c r="J190" s="50" t="b">
        <x:v>0</x:v>
      </x:c>
      <x:c r="K190" s="31"/>
      <x:c r="L190" s="31"/>
    </x:row>
    <x:row r="191">
      <x:c r="A191" s="31"/>
      <x:c r="B191" s="31"/>
      <x:c r="C191" s="31"/>
      <x:c r="D191" s="31" t="n">
        <x:v>187</x:v>
      </x:c>
      <x:c r="E191" s="42" t="n">
        <x:v>-0.01156321137177975</x:v>
      </x:c>
      <x:c r="F191" s="42" t="n">
        <x:v>0.007895603561292028</x:v>
      </x:c>
      <x:c r="G191" s="43" t="n">
        <x:v>1.0614868515841647</x:v>
      </x:c>
      <x:c r="H191" s="32" t="n">
        <x:v>482548.173573951</x:v>
      </x:c>
      <x:c r="I191" s="50" t="b">
        <x:v>1</x:v>
      </x:c>
      <x:c r="J191" s="50" t="b">
        <x:v>0</x:v>
      </x:c>
      <x:c r="K191" s="31"/>
      <x:c r="L191" s="31"/>
    </x:row>
    <x:row r="192">
      <x:c r="A192" s="31"/>
      <x:c r="B192" s="31"/>
      <x:c r="C192" s="31"/>
      <x:c r="D192" s="31" t="n">
        <x:v>188</x:v>
      </x:c>
      <x:c r="E192" s="42" t="n">
        <x:v>0.00019125789159050066</x:v>
      </x:c>
      <x:c r="F192" s="42" t="n">
        <x:v>-0.004687633164764471</x:v>
      </x:c>
      <x:c r="G192" s="43" t="n">
        <x:v>1.0192416277238436</x:v>
      </x:c>
      <x:c r="H192" s="32" t="n">
        <x:v>818579.8084572288</x:v>
      </x:c>
      <x:c r="I192" s="50" t="b">
        <x:v>1</x:v>
      </x:c>
      <x:c r="J192" s="50" t="b">
        <x:v>0</x:v>
      </x:c>
      <x:c r="K192" s="31"/>
      <x:c r="L192" s="31"/>
    </x:row>
    <x:row r="193">
      <x:c r="A193" s="31"/>
      <x:c r="B193" s="31"/>
      <x:c r="C193" s="31"/>
      <x:c r="D193" s="31" t="n">
        <x:v>189</x:v>
      </x:c>
      <x:c r="E193" s="42" t="n">
        <x:v>-0.013412723341959028</x:v>
      </x:c>
      <x:c r="F193" s="42" t="n">
        <x:v>-0.006574283471426278</x:v>
      </x:c>
      <x:c r="G193" s="43" t="n">
        <x:v>0.9215896145684539</x:v>
      </x:c>
      <x:c r="H193" s="32" t="n">
        <x:v>1406123.8015654199</x:v>
      </x:c>
      <x:c r="I193" s="50" t="b">
        <x:v>0</x:v>
      </x:c>
      <x:c r="J193" s="50" t="b">
        <x:v>0</x:v>
      </x:c>
      <x:c r="K193" s="31"/>
      <x:c r="L193" s="31"/>
    </x:row>
    <x:row r="194">
      <x:c r="A194" s="31"/>
      <x:c r="B194" s="31"/>
      <x:c r="C194" s="31"/>
      <x:c r="D194" s="31" t="n">
        <x:v>190</x:v>
      </x:c>
      <x:c r="E194" s="42" t="n">
        <x:v>-0.006368745874905512</x:v>
      </x:c>
      <x:c r="F194" s="42" t="n">
        <x:v>0.004402175151141112</x:v>
      </x:c>
      <x:c r="G194" s="43" t="n">
        <x:v>1.0326490052777657</x:v>
      </x:c>
      <x:c r="H194" s="32" t="n">
        <x:v>689871.8666727</x:v>
      </x:c>
      <x:c r="I194" s="50" t="b">
        <x:v>1</x:v>
      </x:c>
      <x:c r="J194" s="50" t="b">
        <x:v>0</x:v>
      </x:c>
      <x:c r="K194" s="31"/>
      <x:c r="L194" s="31"/>
    </x:row>
    <x:row r="195">
      <x:c r="A195" s="31"/>
      <x:c r="B195" s="31"/>
      <x:c r="C195" s="31"/>
      <x:c r="D195" s="31" t="n">
        <x:v>191</x:v>
      </x:c>
      <x:c r="E195" s="42" t="n">
        <x:v>-0.00511537264680436</x:v>
      </x:c>
      <x:c r="F195" s="42" t="n">
        <x:v>0.0017903961709525042</x:v>
      </x:c>
      <x:c r="G195" s="43" t="n">
        <x:v>1.0105381913249782</x:v>
      </x:c>
      <x:c r="H195" s="32" t="n">
        <x:v>841049.9316291304</x:v>
      </x:c>
      <x:c r="I195" s="50" t="b">
        <x:v>1</x:v>
      </x:c>
      <x:c r="J195" s="50" t="b">
        <x:v>0</x:v>
      </x:c>
      <x:c r="K195" s="31"/>
      <x:c r="L195" s="31"/>
    </x:row>
    <x:row r="196">
      <x:c r="A196" s="31"/>
      <x:c r="B196" s="31"/>
      <x:c r="C196" s="31"/>
      <x:c r="D196" s="31" t="n">
        <x:v>192</x:v>
      </x:c>
      <x:c r="E196" s="42" t="n">
        <x:v>-0.005422507690632573</x:v>
      </x:c>
      <x:c r="F196" s="42" t="n">
        <x:v>0.013103885382498293</x:v>
      </x:c>
      <x:c r="G196" s="43" t="n">
        <x:v>0.9264209121735827</x:v>
      </x:c>
      <x:c r="H196" s="32" t="n">
        <x:v>1342907.963291658</x:v>
      </x:c>
      <x:c r="I196" s="50" t="b">
        <x:v>0</x:v>
      </x:c>
      <x:c r="J196" s="50" t="b">
        <x:v>0</x:v>
      </x:c>
      <x:c r="K196" s="31"/>
      <x:c r="L196" s="31"/>
    </x:row>
    <x:row r="197">
      <x:c r="A197" s="31"/>
      <x:c r="B197" s="31"/>
      <x:c r="C197" s="31"/>
      <x:c r="D197" s="31" t="n">
        <x:v>193</x:v>
      </x:c>
      <x:c r="E197" s="42" t="n">
        <x:v>-0.004030414477400736</x:v>
      </x:c>
      <x:c r="F197" s="42" t="n">
        <x:v>0.002663213303427774</x:v>
      </x:c>
      <x:c r="G197" s="43" t="n">
        <x:v>1.0567978016892554</x:v>
      </x:c>
      <x:c r="H197" s="32" t="n">
        <x:v>547859.1427211142</x:v>
      </x:c>
      <x:c r="I197" s="50" t="b">
        <x:v>1</x:v>
      </x:c>
      <x:c r="J197" s="50" t="b">
        <x:v>0</x:v>
      </x:c>
      <x:c r="K197" s="31"/>
      <x:c r="L197" s="31"/>
    </x:row>
    <x:row r="198">
      <x:c r="A198" s="31"/>
      <x:c r="B198" s="31"/>
      <x:c r="C198" s="31"/>
      <x:c r="D198" s="31" t="n">
        <x:v>194</x:v>
      </x:c>
      <x:c r="E198" s="42" t="n">
        <x:v>0.00834941386734191</x:v>
      </x:c>
      <x:c r="F198" s="42" t="n">
        <x:v>-0.002930026039323367</x:v>
      </x:c>
      <x:c r="G198" s="43" t="n">
        <x:v>1.0296000306022774</x:v>
      </x:c>
      <x:c r="H198" s="32" t="n">
        <x:v>770612.6836648593</x:v>
      </x:c>
      <x:c r="I198" s="50" t="b">
        <x:v>1</x:v>
      </x:c>
      <x:c r="J198" s="50" t="b">
        <x:v>0</x:v>
      </x:c>
      <x:c r="K198" s="31"/>
      <x:c r="L198" s="31"/>
    </x:row>
    <x:row r="199">
      <x:c r="A199" s="31"/>
      <x:c r="B199" s="31"/>
      <x:c r="C199" s="31"/>
      <x:c r="D199" s="31" t="n">
        <x:v>195</x:v>
      </x:c>
      <x:c r="E199" s="42" t="n">
        <x:v>0.0009797952112946394</x:v>
      </x:c>
      <x:c r="F199" s="42" t="n">
        <x:v>0.00578629021590305</x:v>
      </x:c>
      <x:c r="G199" s="43" t="n">
        <x:v>1.0377353072559223</x:v>
      </x:c>
      <x:c r="H199" s="32" t="n">
        <x:v>674172.3588876836</x:v>
      </x:c>
      <x:c r="I199" s="50" t="b">
        <x:v>1</x:v>
      </x:c>
      <x:c r="J199" s="50" t="b">
        <x:v>0</x:v>
      </x:c>
      <x:c r="K199" s="31"/>
      <x:c r="L199" s="31"/>
    </x:row>
    <x:row r="200">
      <x:c r="A200" s="31"/>
      <x:c r="B200" s="31"/>
      <x:c r="C200" s="31"/>
      <x:c r="D200" s="31" t="n">
        <x:v>196</x:v>
      </x:c>
      <x:c r="E200" s="42" t="n">
        <x:v>0.005972664312156002</x:v>
      </x:c>
      <x:c r="F200" s="42" t="n">
        <x:v>0.004248677388102878</x:v>
      </x:c>
      <x:c r="G200" s="43" t="n">
        <x:v>1.0086315002195156</x:v>
      </x:c>
      <x:c r="H200" s="32" t="n">
        <x:v>877179.8869192319</x:v>
      </x:c>
      <x:c r="I200" s="50" t="b">
        <x:v>1</x:v>
      </x:c>
      <x:c r="J200" s="50" t="b">
        <x:v>0</x:v>
      </x:c>
      <x:c r="K200" s="31"/>
      <x:c r="L200" s="31"/>
    </x:row>
    <x:row r="201">
      <x:c r="A201" s="31"/>
      <x:c r="B201" s="31"/>
      <x:c r="C201" s="31"/>
      <x:c r="D201" s="31" t="n">
        <x:v>197</x:v>
      </x:c>
      <x:c r="E201" s="42" t="n">
        <x:v>-0.00026191278111808904</x:v>
      </x:c>
      <x:c r="F201" s="42" t="n">
        <x:v>-0.007870893447390533</x:v>
      </x:c>
      <x:c r="G201" s="43" t="n">
        <x:v>1.0699893700778191</x:v>
      </x:c>
      <x:c r="H201" s="32" t="n">
        <x:v>503894.9684583617</x:v>
      </x:c>
      <x:c r="I201" s="50" t="b">
        <x:v>1</x:v>
      </x:c>
      <x:c r="J201" s="50" t="b">
        <x:v>0</x:v>
      </x:c>
      <x:c r="K201" s="31"/>
      <x:c r="L201" s="31"/>
    </x:row>
    <x:row r="202">
      <x:c r="A202" s="31"/>
      <x:c r="B202" s="31"/>
      <x:c r="C202" s="31"/>
      <x:c r="D202" s="31" t="n">
        <x:v>198</x:v>
      </x:c>
      <x:c r="E202" s="42" t="n">
        <x:v>-0.015982549080955852</x:v>
      </x:c>
      <x:c r="F202" s="42" t="n">
        <x:v>-0.0011437006324384977</x:v>
      </x:c>
      <x:c r="G202" s="43" t="n">
        <x:v>1.0756808291819282</x:v>
      </x:c>
      <x:c r="H202" s="32" t="n">
        <x:v>405266.14236649894</x:v>
      </x:c>
      <x:c r="I202" s="50" t="b">
        <x:v>1</x:v>
      </x:c>
      <x:c r="J202" s="50" t="b">
        <x:v>0</x:v>
      </x:c>
      <x:c r="K202" s="31"/>
      <x:c r="L202" s="31"/>
    </x:row>
    <x:row r="203">
      <x:c r="A203" s="31"/>
      <x:c r="B203" s="31"/>
      <x:c r="C203" s="31"/>
      <x:c r="D203" s="31" t="n">
        <x:v>199</x:v>
      </x:c>
      <x:c r="E203" s="42" t="n">
        <x:v>0.0006989657667240164</x:v>
      </x:c>
      <x:c r="F203" s="42" t="n">
        <x:v>0.004593240992646168</x:v>
      </x:c>
      <x:c r="G203" s="43" t="n">
        <x:v>0.974585265485497</x:v>
      </x:c>
      <x:c r="H203" s="32" t="n">
        <x:v>1077759.0327625372</x:v>
      </x:c>
      <x:c r="I203" s="50" t="b">
        <x:v>0</x:v>
      </x:c>
      <x:c r="J203" s="50" t="b">
        <x:v>0</x:v>
      </x:c>
      <x:c r="K203" s="31"/>
      <x:c r="L203" s="31"/>
    </x:row>
    <x:row r="204">
      <x:c r="A204" s="31"/>
      <x:c r="B204" s="31"/>
      <x:c r="C204" s="31"/>
      <x:c r="D204" s="31" t="n">
        <x:v>200</x:v>
      </x:c>
      <x:c r="E204" s="42" t="n">
        <x:v>0.011595505477077214</x:v>
      </x:c>
      <x:c r="F204" s="42" t="n">
        <x:v>0.00139026283819898</x:v>
      </x:c>
      <x:c r="G204" s="43" t="n">
        <x:v>0.9236890150790846</x:v>
      </x:c>
      <x:c r="H204" s="32" t="n">
        <x:v>1440232.5895287711</x:v>
      </x:c>
      <x:c r="I204" s="50" t="b">
        <x:v>0</x:v>
      </x:c>
      <x:c r="J204" s="50" t="b">
        <x:v>0</x:v>
      </x:c>
      <x:c r="K204" s="31"/>
      <x:c r="L204" s="31"/>
    </x:row>
    <x:row r="205">
      <x:c r="A205" s="31"/>
      <x:c r="B205" s="31"/>
      <x:c r="C205" s="31"/>
      <x:c r="D205" s="31" t="n">
        <x:v>201</x:v>
      </x:c>
      <x:c r="E205" s="42" t="n">
        <x:v>-0.01681529208479219</x:v>
      </x:c>
      <x:c r="F205" s="42" t="n">
        <x:v>-0.005658242204626343</x:v>
      </x:c>
      <x:c r="G205" s="43" t="n">
        <x:v>0.9307348821733075</x:v>
      </x:c>
      <x:c r="H205" s="32" t="n">
        <x:v>1336023.9286460113</x:v>
      </x:c>
      <x:c r="I205" s="50" t="b">
        <x:v>0</x:v>
      </x:c>
      <x:c r="J205" s="50" t="b">
        <x:v>0</x:v>
      </x:c>
      <x:c r="K205" s="31"/>
      <x:c r="L205" s="31"/>
    </x:row>
    <x:row r="206">
      <x:c r="A206" s="31"/>
      <x:c r="B206" s="31"/>
      <x:c r="C206" s="31"/>
      <x:c r="D206" s="31" t="n">
        <x:v>202</x:v>
      </x:c>
      <x:c r="E206" s="42" t="n">
        <x:v>-0.02775940065536992</x:v>
      </x:c>
      <x:c r="F206" s="42" t="n">
        <x:v>0.007233652662691858</x:v>
      </x:c>
      <x:c r="G206" s="43" t="n">
        <x:v>1.0146242647679298</x:v>
      </x:c>
      <x:c r="H206" s="32" t="n">
        <x:v>736918.8923937718</x:v>
      </x:c>
      <x:c r="I206" s="50" t="b">
        <x:v>1</x:v>
      </x:c>
      <x:c r="J206" s="50" t="b">
        <x:v>0</x:v>
      </x:c>
      <x:c r="K206" s="31"/>
      <x:c r="L206" s="31"/>
    </x:row>
    <x:row r="207">
      <x:c r="A207" s="31"/>
      <x:c r="B207" s="31"/>
      <x:c r="C207" s="31"/>
      <x:c r="D207" s="31" t="n">
        <x:v>203</x:v>
      </x:c>
      <x:c r="E207" s="42" t="n">
        <x:v>0.013131696788561022</x:v>
      </x:c>
      <x:c r="F207" s="42" t="n">
        <x:v>-0.008498936924968352</x:v>
      </x:c>
      <x:c r="G207" s="43" t="n">
        <x:v>0.9852915354547545</x:v>
      </x:c>
      <x:c r="H207" s="32" t="n">
        <x:v>1080815.7857993424</x:v>
      </x:c>
      <x:c r="I207" s="50" t="b">
        <x:v>0</x:v>
      </x:c>
      <x:c r="J207" s="50" t="b">
        <x:v>0</x:v>
      </x:c>
      <x:c r="K207" s="31"/>
      <x:c r="L207" s="31"/>
    </x:row>
    <x:row r="208">
      <x:c r="A208" s="31"/>
      <x:c r="B208" s="31"/>
      <x:c r="C208" s="31"/>
      <x:c r="D208" s="31" t="n">
        <x:v>204</x:v>
      </x:c>
      <x:c r="E208" s="42" t="n">
        <x:v>-0.006300924470713921</x:v>
      </x:c>
      <x:c r="F208" s="42" t="n">
        <x:v>-0.0016395986400928784</x:v>
      </x:c>
      <x:c r="G208" s="43" t="n">
        <x:v>0.9681297804768183</x:v>
      </x:c>
      <x:c r="H208" s="32" t="n">
        <x:v>1116620.832165095</x:v>
      </x:c>
      <x:c r="I208" s="50" t="b">
        <x:v>0</x:v>
      </x:c>
      <x:c r="J208" s="50" t="b">
        <x:v>0</x:v>
      </x:c>
      <x:c r="K208" s="31"/>
      <x:c r="L208" s="31"/>
    </x:row>
    <x:row r="209">
      <x:c r="A209" s="31"/>
      <x:c r="B209" s="31"/>
      <x:c r="C209" s="31"/>
      <x:c r="D209" s="31" t="n">
        <x:v>205</x:v>
      </x:c>
      <x:c r="E209" s="42" t="n">
        <x:v>0.0005824717178508331</x:v>
      </x:c>
      <x:c r="F209" s="42" t="n">
        <x:v>-0.006484207724849645</x:v>
      </x:c>
      <x:c r="G209" s="43" t="n">
        <x:v>1.0750677590544546</x:v>
      </x:c>
      <x:c r="H209" s="32" t="n">
        <x:v>470134.094320372</x:v>
      </x:c>
      <x:c r="I209" s="50" t="b">
        <x:v>1</x:v>
      </x:c>
      <x:c r="J209" s="50" t="b">
        <x:v>0</x:v>
      </x:c>
      <x:c r="K209" s="31"/>
      <x:c r="L209" s="31"/>
    </x:row>
    <x:row r="210">
      <x:c r="A210" s="31"/>
      <x:c r="B210" s="31"/>
      <x:c r="C210" s="31"/>
      <x:c r="D210" s="31" t="n">
        <x:v>206</x:v>
      </x:c>
      <x:c r="E210" s="42" t="n">
        <x:v>0.0011378364244483</x:v>
      </x:c>
      <x:c r="F210" s="42" t="n">
        <x:v>-0.004208816042946664</x:v>
      </x:c>
      <x:c r="G210" s="43" t="n">
        <x:v>0.9714849741349869</x:v>
      </x:c>
      <x:c r="H210" s="32" t="n">
        <x:v>1123170.4056248462</x:v>
      </x:c>
      <x:c r="I210" s="50" t="b">
        <x:v>0</x:v>
      </x:c>
      <x:c r="J210" s="50" t="b">
        <x:v>0</x:v>
      </x:c>
      <x:c r="K210" s="31"/>
      <x:c r="L210" s="31"/>
    </x:row>
    <x:row r="211">
      <x:c r="A211" s="31"/>
      <x:c r="B211" s="31"/>
      <x:c r="C211" s="31"/>
      <x:c r="D211" s="31" t="n">
        <x:v>207</x:v>
      </x:c>
      <x:c r="E211" s="42" t="n">
        <x:v>-0.0048147905348020405</x:v>
      </x:c>
      <x:c r="F211" s="42" t="n">
        <x:v>-0.0064393882659683896</x:v>
      </x:c>
      <x:c r="G211" s="43" t="n">
        <x:v>1.0135579521129903</x:v>
      </x:c>
      <x:c r="H211" s="32" t="n">
        <x:v>845616.7763206365</x:v>
      </x:c>
      <x:c r="I211" s="50" t="b">
        <x:v>1</x:v>
      </x:c>
      <x:c r="J211" s="50" t="b">
        <x:v>0</x:v>
      </x:c>
      <x:c r="K211" s="31"/>
      <x:c r="L211" s="31"/>
    </x:row>
    <x:row r="212">
      <x:c r="A212" s="31"/>
      <x:c r="B212" s="31"/>
      <x:c r="C212" s="31"/>
      <x:c r="D212" s="31" t="n">
        <x:v>208</x:v>
      </x:c>
      <x:c r="E212" s="42" t="n">
        <x:v>-0.0070387400976071905</x:v>
      </x:c>
      <x:c r="F212" s="42" t="n">
        <x:v>-0.007096128211849613</x:v>
      </x:c>
      <x:c r="G212" s="43" t="n">
        <x:v>1.051426385727175</x:v>
      </x:c>
      <x:c r="H212" s="32" t="n">
        <x:v>600763.0406593636</x:v>
      </x:c>
      <x:c r="I212" s="50" t="b">
        <x:v>1</x:v>
      </x:c>
      <x:c r="J212" s="50" t="b">
        <x:v>0</x:v>
      </x:c>
      <x:c r="K212" s="31"/>
      <x:c r="L212" s="31"/>
    </x:row>
    <x:row r="213">
      <x:c r="A213" s="31"/>
      <x:c r="B213" s="31"/>
      <x:c r="C213" s="31"/>
      <x:c r="D213" s="31" t="n">
        <x:v>209</x:v>
      </x:c>
      <x:c r="E213" s="42" t="n">
        <x:v>0.00472923829647002</x:v>
      </x:c>
      <x:c r="F213" s="42" t="n">
        <x:v>0.005927430394284214</x:v>
      </x:c>
      <x:c r="G213" s="43" t="n">
        <x:v>1.0380615103642894</x:v>
      </x:c>
      <x:c r="H213" s="32" t="n">
        <x:v>682144.5292471698</x:v>
      </x:c>
      <x:c r="I213" s="50" t="b">
        <x:v>1</x:v>
      </x:c>
      <x:c r="J213" s="50" t="b">
        <x:v>0</x:v>
      </x:c>
      <x:c r="K213" s="31"/>
      <x:c r="L213" s="31"/>
    </x:row>
    <x:row r="214">
      <x:c r="A214" s="31"/>
      <x:c r="B214" s="31"/>
      <x:c r="C214" s="31"/>
      <x:c r="D214" s="31" t="n">
        <x:v>210</x:v>
      </x:c>
      <x:c r="E214" s="42" t="n">
        <x:v>-0.0010879187132840017</x:v>
      </x:c>
      <x:c r="F214" s="42" t="n">
        <x:v>0.003121625543338935</x:v>
      </x:c>
      <x:c r="G214" s="43" t="n">
        <x:v>0.9909685088750816</x:v>
      </x:c>
      <x:c r="H214" s="32" t="n">
        <x:v>972836.2758237927</x:v>
      </x:c>
      <x:c r="I214" s="50" t="b">
        <x:v>1</x:v>
      </x:c>
      <x:c r="J214" s="50" t="b">
        <x:v>0</x:v>
      </x:c>
      <x:c r="K214" s="31"/>
      <x:c r="L214" s="31"/>
    </x:row>
    <x:row r="215">
      <x:c r="A215" s="31"/>
      <x:c r="B215" s="31"/>
      <x:c r="C215" s="31"/>
      <x:c r="D215" s="31" t="n">
        <x:v>211</x:v>
      </x:c>
      <x:c r="E215" s="42" t="n">
        <x:v>-0.009881001157447623</x:v>
      </x:c>
      <x:c r="F215" s="42" t="n">
        <x:v>-0.0007995083035306254</x:v>
      </x:c>
      <x:c r="G215" s="43" t="n">
        <x:v>1.0087295613094596</x:v>
      </x:c>
      <x:c r="H215" s="32" t="n">
        <x:v>846479.8370684609</x:v>
      </x:c>
      <x:c r="I215" s="50" t="b">
        <x:v>1</x:v>
      </x:c>
      <x:c r="J215" s="50" t="b">
        <x:v>0</x:v>
      </x:c>
      <x:c r="K215" s="31"/>
      <x:c r="L215" s="31"/>
    </x:row>
    <x:row r="216">
      <x:c r="A216" s="31"/>
      <x:c r="B216" s="31"/>
      <x:c r="C216" s="31"/>
      <x:c r="D216" s="31" t="n">
        <x:v>212</x:v>
      </x:c>
      <x:c r="E216" s="42" t="n">
        <x:v>-0.025709413228100116</x:v>
      </x:c>
      <x:c r="F216" s="42" t="n">
        <x:v>-0.003142167860721809</x:v>
      </x:c>
      <x:c r="G216" s="43" t="n">
        <x:v>1.0187185324735317</x:v>
      </x:c>
      <x:c r="H216" s="32" t="n">
        <x:v>745504.904651677</x:v>
      </x:c>
      <x:c r="I216" s="50" t="b">
        <x:v>1</x:v>
      </x:c>
      <x:c r="J216" s="50" t="b">
        <x:v>0</x:v>
      </x:c>
      <x:c r="K216" s="31"/>
      <x:c r="L216" s="31"/>
    </x:row>
    <x:row r="217">
      <x:c r="A217" s="31"/>
      <x:c r="B217" s="31"/>
      <x:c r="C217" s="31"/>
      <x:c r="D217" s="31" t="n">
        <x:v>213</x:v>
      </x:c>
      <x:c r="E217" s="42" t="n">
        <x:v>-0.010480399406209534</x:v>
      </x:c>
      <x:c r="F217" s="42" t="n">
        <x:v>0.006073779255198416</x:v>
      </x:c>
      <x:c r="G217" s="43" t="n">
        <x:v>0.9700176228595534</x:v>
      </x:c>
      <x:c r="H217" s="32" t="n">
        <x:v>1071527.6765354136</x:v>
      </x:c>
      <x:c r="I217" s="50" t="b">
        <x:v>0</x:v>
      </x:c>
      <x:c r="J217" s="50" t="b">
        <x:v>0</x:v>
      </x:c>
      <x:c r="K217" s="31"/>
      <x:c r="L217" s="31"/>
    </x:row>
    <x:row r="218">
      <x:c r="A218" s="31"/>
      <x:c r="B218" s="31"/>
      <x:c r="C218" s="31"/>
      <x:c r="D218" s="31" t="n">
        <x:v>214</x:v>
      </x:c>
      <x:c r="E218" s="42" t="n">
        <x:v>0.014857396153806995</x:v>
      </x:c>
      <x:c r="F218" s="42" t="n">
        <x:v>0.0008871078669290538</x:v>
      </x:c>
      <x:c r="G218" s="43" t="n">
        <x:v>1.000444912848147</x:v>
      </x:c>
      <x:c r="H218" s="32" t="n">
        <x:v>963258.3660009173</x:v>
      </x:c>
      <x:c r="I218" s="50" t="b">
        <x:v>1</x:v>
      </x:c>
      <x:c r="J218" s="50" t="b">
        <x:v>0</x:v>
      </x:c>
      <x:c r="K218" s="31"/>
      <x:c r="L218" s="31"/>
    </x:row>
    <x:row r="219">
      <x:c r="A219" s="31"/>
      <x:c r="B219" s="31"/>
      <x:c r="C219" s="31"/>
      <x:c r="D219" s="31" t="n">
        <x:v>215</x:v>
      </x:c>
      <x:c r="E219" s="42" t="n">
        <x:v>0.0013970425442109296</x:v>
      </x:c>
      <x:c r="F219" s="42" t="n">
        <x:v>0.010070882186999048</x:v>
      </x:c>
      <x:c r="G219" s="43" t="n">
        <x:v>0.976585907881623</x:v>
      </x:c>
      <x:c r="H219" s="32" t="n">
        <x:v>1051749.513135394</x:v>
      </x:c>
      <x:c r="I219" s="50" t="b">
        <x:v>0</x:v>
      </x:c>
      <x:c r="J219" s="50" t="b">
        <x:v>0</x:v>
      </x:c>
      <x:c r="K219" s="31"/>
      <x:c r="L219" s="31"/>
    </x:row>
    <x:row r="220">
      <x:c r="A220" s="31"/>
      <x:c r="B220" s="31"/>
      <x:c r="C220" s="31"/>
      <x:c r="D220" s="31" t="n">
        <x:v>216</x:v>
      </x:c>
      <x:c r="E220" s="42" t="n">
        <x:v>0.03685129955057566</x:v>
      </x:c>
      <x:c r="F220" s="42" t="n">
        <x:v>0.002454679431523262</x:v>
      </x:c>
      <x:c r="G220" s="43" t="n">
        <x:v>1.0196714168520122</x:v>
      </x:c>
      <x:c r="H220" s="32" t="n">
        <x:v>898013.5962506372</x:v>
      </x:c>
      <x:c r="I220" s="50" t="b">
        <x:v>1</x:v>
      </x:c>
      <x:c r="J220" s="50" t="b">
        <x:v>0</x:v>
      </x:c>
      <x:c r="K220" s="31"/>
      <x:c r="L220" s="31"/>
    </x:row>
    <x:row r="221">
      <x:c r="A221" s="31"/>
      <x:c r="B221" s="31"/>
      <x:c r="C221" s="31"/>
      <x:c r="D221" s="31" t="n">
        <x:v>217</x:v>
      </x:c>
      <x:c r="E221" s="42" t="n">
        <x:v>-0.003148624822505234</x:v>
      </x:c>
      <x:c r="F221" s="42" t="n">
        <x:v>-0.004362238725433901</x:v>
      </x:c>
      <x:c r="G221" s="43" t="n">
        <x:v>1.0268764136543598</x:v>
      </x:c>
      <x:c r="H221" s="32" t="n">
        <x:v>759891.1304232565</x:v>
      </x:c>
      <x:c r="I221" s="50" t="b">
        <x:v>1</x:v>
      </x:c>
      <x:c r="J221" s="50" t="b">
        <x:v>0</x:v>
      </x:c>
      <x:c r="K221" s="31"/>
      <x:c r="L221" s="31"/>
    </x:row>
    <x:row r="222">
      <x:c r="A222" s="31"/>
      <x:c r="B222" s="31"/>
      <x:c r="C222" s="31"/>
      <x:c r="D222" s="31" t="n">
        <x:v>218</x:v>
      </x:c>
      <x:c r="E222" s="42" t="n">
        <x:v>-0.013521717250191703</x:v>
      </x:c>
      <x:c r="F222" s="42" t="n">
        <x:v>0.0009543583936619324</x:v>
      </x:c>
      <x:c r="G222" s="43" t="n">
        <x:v>0.9166364698842271</x:v>
      </x:c>
      <x:c r="H222" s="32" t="n">
        <x:v>1416320.249794884</x:v>
      </x:c>
      <x:c r="I222" s="50" t="b">
        <x:v>0</x:v>
      </x:c>
      <x:c r="J222" s="50" t="b">
        <x:v>0</x:v>
      </x:c>
      <x:c r="K222" s="31"/>
      <x:c r="L222" s="31"/>
    </x:row>
    <x:row r="223">
      <x:c r="A223" s="31"/>
      <x:c r="B223" s="31"/>
      <x:c r="C223" s="31"/>
      <x:c r="D223" s="31" t="n">
        <x:v>219</x:v>
      </x:c>
      <x:c r="E223" s="42" t="n">
        <x:v>-0.010850832276609976</x:v>
      </x:c>
      <x:c r="F223" s="42" t="n">
        <x:v>0.0008743811245975236</x:v>
      </x:c>
      <x:c r="G223" s="43" t="n">
        <x:v>0.9417809393147946</x:v>
      </x:c>
      <x:c r="H223" s="32" t="n">
        <x:v>1264292.1469103796</x:v>
      </x:c>
      <x:c r="I223" s="50" t="b">
        <x:v>0</x:v>
      </x:c>
      <x:c r="J223" s="50" t="b">
        <x:v>0</x:v>
      </x:c>
      <x:c r="K223" s="31"/>
      <x:c r="L223" s="31"/>
    </x:row>
    <x:row r="224">
      <x:c r="A224" s="31"/>
      <x:c r="B224" s="31"/>
      <x:c r="C224" s="31"/>
      <x:c r="D224" s="31" t="n">
        <x:v>220</x:v>
      </x:c>
      <x:c r="E224" s="42" t="n">
        <x:v>0.002164053368660838</x:v>
      </x:c>
      <x:c r="F224" s="42" t="n">
        <x:v>-0.009470305929630437</x:v>
      </x:c>
      <x:c r="G224" s="43" t="n">
        <x:v>0.9985260597828547</x:v>
      </x:c>
      <x:c r="H224" s="32" t="n">
        <x:v>968942.3318331747</x:v>
      </x:c>
      <x:c r="I224" s="50" t="b">
        <x:v>1</x:v>
      </x:c>
      <x:c r="J224" s="50" t="b">
        <x:v>0</x:v>
      </x:c>
      <x:c r="K224" s="31"/>
      <x:c r="L224" s="31"/>
    </x:row>
    <x:row r="225">
      <x:c r="A225" s="31"/>
      <x:c r="B225" s="31"/>
      <x:c r="C225" s="31"/>
      <x:c r="D225" s="31" t="n">
        <x:v>221</x:v>
      </x:c>
      <x:c r="E225" s="42" t="n">
        <x:v>-0.004609957994852654</x:v>
      </x:c>
      <x:c r="F225" s="42" t="n">
        <x:v>-0.006169872006063397</x:v>
      </x:c>
      <x:c r="G225" s="43" t="n">
        <x:v>0.9755799156485072</x:v>
      </x:c>
      <x:c r="H225" s="32" t="n">
        <x:v>1086624.1564288482</x:v>
      </x:c>
      <x:c r="I225" s="50" t="b">
        <x:v>0</x:v>
      </x:c>
      <x:c r="J225" s="50" t="b">
        <x:v>0</x:v>
      </x:c>
      <x:c r="K225" s="31"/>
      <x:c r="L225" s="31"/>
    </x:row>
    <x:row r="226">
      <x:c r="A226" s="31"/>
      <x:c r="B226" s="31"/>
      <x:c r="C226" s="31"/>
      <x:c r="D226" s="31" t="n">
        <x:v>222</x:v>
      </x:c>
      <x:c r="E226" s="42" t="n">
        <x:v>-0.005416362986828846</x:v>
      </x:c>
      <x:c r="F226" s="42" t="n">
        <x:v>0.0032583278213015035</x:v>
      </x:c>
      <x:c r="G226" s="43" t="n">
        <x:v>1.0601859743018731</x:v>
      </x:c>
      <x:c r="H226" s="32" t="n">
        <x:v>520827.5141812321</x:v>
      </x:c>
      <x:c r="I226" s="50" t="b">
        <x:v>1</x:v>
      </x:c>
      <x:c r="J226" s="50" t="b">
        <x:v>0</x:v>
      </x:c>
      <x:c r="K226" s="31"/>
      <x:c r="L226" s="31"/>
    </x:row>
    <x:row r="227">
      <x:c r="A227" s="31"/>
      <x:c r="B227" s="31"/>
      <x:c r="C227" s="31"/>
      <x:c r="D227" s="31" t="n">
        <x:v>223</x:v>
      </x:c>
      <x:c r="E227" s="42" t="n">
        <x:v>-0.024403322976300212</x:v>
      </x:c>
      <x:c r="F227" s="42" t="n">
        <x:v>0.010595499149745722</x:v>
      </x:c>
      <x:c r="G227" s="43" t="n">
        <x:v>0.9935429725847612</x:v>
      </x:c>
      <x:c r="H227" s="32" t="n">
        <x:v>870783.9705235164</x:v>
      </x:c>
      <x:c r="I227" s="50" t="b">
        <x:v>1</x:v>
      </x:c>
      <x:c r="J227" s="50" t="b">
        <x:v>0</x:v>
      </x:c>
      <x:c r="K227" s="31"/>
      <x:c r="L227" s="31"/>
    </x:row>
    <x:row r="228">
      <x:c r="A228" s="31"/>
      <x:c r="B228" s="31"/>
      <x:c r="C228" s="31"/>
      <x:c r="D228" s="31" t="n">
        <x:v>224</x:v>
      </x:c>
      <x:c r="E228" s="42" t="n">
        <x:v>0.005880641210271322</x:v>
      </x:c>
      <x:c r="F228" s="42" t="n">
        <x:v>0.0036101419073634538</x:v>
      </x:c>
      <x:c r="G228" s="43" t="n">
        <x:v>1.052250065735384</x:v>
      </x:c>
      <x:c r="H228" s="32" t="n">
        <x:v>601692.3333038333</x:v>
      </x:c>
      <x:c r="I228" s="50" t="b">
        <x:v>1</x:v>
      </x:c>
      <x:c r="J228" s="50" t="b">
        <x:v>0</x:v>
      </x:c>
      <x:c r="K228" s="31"/>
      <x:c r="L228" s="31"/>
    </x:row>
    <x:row r="229">
      <x:c r="A229" s="31"/>
      <x:c r="B229" s="31"/>
      <x:c r="C229" s="31"/>
      <x:c r="D229" s="31" t="n">
        <x:v>225</x:v>
      </x:c>
      <x:c r="E229" s="42" t="n">
        <x:v>0.0032659774669811675</x:v>
      </x:c>
      <x:c r="F229" s="42" t="n">
        <x:v>-0.012493374939669124</x:v>
      </x:c>
      <x:c r="G229" s="43" t="n">
        <x:v>0.9556881620150449</x:v>
      </x:c>
      <x:c r="H229" s="32" t="n">
        <x:v>1252475.33143113</x:v>
      </x:c>
      <x:c r="I229" s="50" t="b">
        <x:v>0</x:v>
      </x:c>
      <x:c r="J229" s="50" t="b">
        <x:v>0</x:v>
      </x:c>
      <x:c r="K229" s="31"/>
      <x:c r="L229" s="31"/>
    </x:row>
    <x:row r="230">
      <x:c r="A230" s="31"/>
      <x:c r="B230" s="31"/>
      <x:c r="C230" s="31"/>
      <x:c r="D230" s="31" t="n">
        <x:v>226</x:v>
      </x:c>
      <x:c r="E230" s="42" t="n">
        <x:v>0.005623897652445942</x:v>
      </x:c>
      <x:c r="F230" s="42" t="n">
        <x:v>0.0029645119866512607</x:v>
      </x:c>
      <x:c r="G230" s="43" t="n">
        <x:v>0.9253630055876962</x:v>
      </x:c>
      <x:c r="H230" s="32" t="n">
        <x:v>1408597.504082687</x:v>
      </x:c>
      <x:c r="I230" s="50" t="b">
        <x:v>0</x:v>
      </x:c>
      <x:c r="J230" s="50" t="b">
        <x:v>0</x:v>
      </x:c>
      <x:c r="K230" s="31"/>
      <x:c r="L230" s="31"/>
    </x:row>
    <x:row r="231">
      <x:c r="A231" s="31"/>
      <x:c r="B231" s="31"/>
      <x:c r="C231" s="31"/>
      <x:c r="D231" s="31" t="n">
        <x:v>227</x:v>
      </x:c>
      <x:c r="E231" s="42" t="n">
        <x:v>0.009980846121930328</x:v>
      </x:c>
      <x:c r="F231" s="42" t="n">
        <x:v>-0.004872369940250068</x:v>
      </x:c>
      <x:c r="G231" s="43" t="n">
        <x:v>0.9559674205104745</x:v>
      </x:c>
      <x:c r="H231" s="32" t="n">
        <x:v>1248179.5916057704</x:v>
      </x:c>
      <x:c r="I231" s="50" t="b">
        <x:v>0</x:v>
      </x:c>
      <x:c r="J231" s="50" t="b">
        <x:v>0</x:v>
      </x:c>
      <x:c r="K231" s="31"/>
      <x:c r="L231" s="31"/>
    </x:row>
    <x:row r="232">
      <x:c r="A232" s="31"/>
      <x:c r="B232" s="31"/>
      <x:c r="C232" s="31"/>
      <x:c r="D232" s="31" t="n">
        <x:v>228</x:v>
      </x:c>
      <x:c r="E232" s="42" t="n">
        <x:v>0.02018744174196528</x:v>
      </x:c>
      <x:c r="F232" s="42" t="n">
        <x:v>-0.006748253264672939</x:v>
      </x:c>
      <x:c r="G232" s="43" t="n">
        <x:v>1.0105394207208895</x:v>
      </x:c>
      <x:c r="H232" s="32" t="n">
        <x:v>935240.5887911629</x:v>
      </x:c>
      <x:c r="I232" s="50" t="b">
        <x:v>1</x:v>
      </x:c>
      <x:c r="J232" s="50" t="b">
        <x:v>0</x:v>
      </x:c>
      <x:c r="K232" s="31"/>
      <x:c r="L232" s="31"/>
    </x:row>
    <x:row r="233">
      <x:c r="A233" s="31"/>
      <x:c r="B233" s="31"/>
      <x:c r="C233" s="31"/>
      <x:c r="D233" s="31" t="n">
        <x:v>229</x:v>
      </x:c>
      <x:c r="E233" s="42" t="n">
        <x:v>0.011437684122182925</x:v>
      </x:c>
      <x:c r="F233" s="42" t="n">
        <x:v>0.0005029841750947105</x:v>
      </x:c>
      <x:c r="G233" s="43" t="n">
        <x:v>0.9099942389907156</x:v>
      </x:c>
      <x:c r="H233" s="32" t="n">
        <x:v>1529234.5773071728</x:v>
      </x:c>
      <x:c r="I233" s="50" t="b">
        <x:v>0</x:v>
      </x:c>
      <x:c r="J233" s="50" t="b">
        <x:v>0</x:v>
      </x:c>
      <x:c r="K233" s="31"/>
      <x:c r="L233" s="31"/>
    </x:row>
    <x:row r="234">
      <x:c r="A234" s="31"/>
      <x:c r="B234" s="31"/>
      <x:c r="C234" s="31"/>
      <x:c r="D234" s="31" t="n">
        <x:v>230</x:v>
      </x:c>
      <x:c r="E234" s="42" t="n">
        <x:v>-0.001353141633627003</x:v>
      </x:c>
      <x:c r="F234" s="42" t="n">
        <x:v>0.00142661040505884</x:v>
      </x:c>
      <x:c r="G234" s="43" t="n">
        <x:v>1.015579062369289</x:v>
      </x:c>
      <x:c r="H234" s="32" t="n">
        <x:v>820521.6895725746</x:v>
      </x:c>
      <x:c r="I234" s="50" t="b">
        <x:v>1</x:v>
      </x:c>
      <x:c r="J234" s="50" t="b">
        <x:v>0</x:v>
      </x:c>
      <x:c r="K234" s="31"/>
      <x:c r="L234" s="31"/>
    </x:row>
    <x:row r="235">
      <x:c r="A235" s="31"/>
      <x:c r="B235" s="31"/>
      <x:c r="C235" s="31"/>
      <x:c r="D235" s="31" t="n">
        <x:v>231</x:v>
      </x:c>
      <x:c r="E235" s="42" t="n">
        <x:v>0.0076866506368475146</x:v>
      </x:c>
      <x:c r="F235" s="42" t="n">
        <x:v>0.0005702027232849587</x:v>
      </x:c>
      <x:c r="G235" s="43" t="n">
        <x:v>1.031543648076917</x:v>
      </x:c>
      <x:c r="H235" s="32" t="n">
        <x:v>746681.5556845311</x:v>
      </x:c>
      <x:c r="I235" s="50" t="b">
        <x:v>1</x:v>
      </x:c>
      <x:c r="J235" s="50" t="b">
        <x:v>0</x:v>
      </x:c>
      <x:c r="K235" s="31"/>
      <x:c r="L235" s="31"/>
    </x:row>
    <x:row r="236">
      <x:c r="A236" s="31"/>
      <x:c r="B236" s="31"/>
      <x:c r="C236" s="31"/>
      <x:c r="D236" s="31" t="n">
        <x:v>232</x:v>
      </x:c>
      <x:c r="E236" s="42" t="n">
        <x:v>-0.00852292178518575</x:v>
      </x:c>
      <x:c r="F236" s="42" t="n">
        <x:v>0.007521392637253567</x:v>
      </x:c>
      <x:c r="G236" s="43" t="n">
        <x:v>1.0838111416453733</x:v>
      </x:c>
      <x:c r="H236" s="32" t="n">
        <x:v>350277.4588455979</x:v>
      </x:c>
      <x:c r="I236" s="50" t="b">
        <x:v>1</x:v>
      </x:c>
      <x:c r="J236" s="50" t="b">
        <x:v>0</x:v>
      </x:c>
      <x:c r="K236" s="31"/>
      <x:c r="L236" s="31"/>
    </x:row>
    <x:row r="237">
      <x:c r="A237" s="31"/>
      <x:c r="B237" s="31"/>
      <x:c r="C237" s="31"/>
      <x:c r="D237" s="31" t="n">
        <x:v>233</x:v>
      </x:c>
      <x:c r="E237" s="42" t="n">
        <x:v>-0.0012848889480319957</x:v>
      </x:c>
      <x:c r="F237" s="42" t="n">
        <x:v>0.003955721659824072</x:v>
      </x:c>
      <x:c r="G237" s="43" t="n">
        <x:v>1.0160796887309214</x:v>
      </x:c>
      <x:c r="H237" s="32" t="n">
        <x:v>810492.5032428373</x:v>
      </x:c>
      <x:c r="I237" s="50" t="b">
        <x:v>1</x:v>
      </x:c>
      <x:c r="J237" s="50" t="b">
        <x:v>0</x:v>
      </x:c>
      <x:c r="K237" s="31"/>
      <x:c r="L237" s="31"/>
    </x:row>
    <x:row r="238">
      <x:c r="A238" s="31"/>
      <x:c r="B238" s="31"/>
      <x:c r="C238" s="31"/>
      <x:c r="D238" s="31" t="n">
        <x:v>234</x:v>
      </x:c>
      <x:c r="E238" s="42" t="n">
        <x:v>0.009734042272897335</x:v>
      </x:c>
      <x:c r="F238" s="42" t="n">
        <x:v>-0.004242336573222586</x:v>
      </x:c>
      <x:c r="G238" s="43" t="n">
        <x:v>1.0142473974593802</x:v>
      </x:c>
      <x:c r="H238" s="32" t="n">
        <x:v>875619.7666135437</x:v>
      </x:c>
      <x:c r="I238" s="50" t="b">
        <x:v>1</x:v>
      </x:c>
      <x:c r="J238" s="50" t="b">
        <x:v>0</x:v>
      </x:c>
      <x:c r="K238" s="31"/>
      <x:c r="L238" s="31"/>
    </x:row>
    <x:row r="239">
      <x:c r="A239" s="31"/>
      <x:c r="B239" s="31"/>
      <x:c r="C239" s="31"/>
      <x:c r="D239" s="31" t="n">
        <x:v>235</x:v>
      </x:c>
      <x:c r="E239" s="42" t="n">
        <x:v>-0.006710870427440836</x:v>
      </x:c>
      <x:c r="F239" s="42" t="n">
        <x:v>0.0019606502159448033</x:v>
      </x:c>
      <x:c r="G239" s="43" t="n">
        <x:v>1.014887486959636</x:v>
      </x:c>
      <x:c r="H239" s="32" t="n">
        <x:v>808513.8147071159</x:v>
      </x:c>
      <x:c r="I239" s="50" t="b">
        <x:v>1</x:v>
      </x:c>
      <x:c r="J239" s="50" t="b">
        <x:v>0</x:v>
      </x:c>
      <x:c r="K239" s="31"/>
      <x:c r="L239" s="31"/>
    </x:row>
    <x:row r="240">
      <x:c r="A240" s="31"/>
      <x:c r="B240" s="31"/>
      <x:c r="C240" s="31"/>
      <x:c r="D240" s="31" t="n">
        <x:v>236</x:v>
      </x:c>
      <x:c r="E240" s="42" t="n">
        <x:v>-0.00012317349597982936</x:v>
      </x:c>
      <x:c r="F240" s="42" t="n">
        <x:v>0.008376488374501341</x:v>
      </x:c>
      <x:c r="G240" s="43" t="n">
        <x:v>0.9631586473606427</x:v>
      </x:c>
      <x:c r="H240" s="32" t="n">
        <x:v>1137506.9547020306</x:v>
      </x:c>
      <x:c r="I240" s="50" t="b">
        <x:v>0</x:v>
      </x:c>
      <x:c r="J240" s="50" t="b">
        <x:v>0</x:v>
      </x:c>
      <x:c r="K240" s="31"/>
      <x:c r="L240" s="31"/>
    </x:row>
    <x:row r="241">
      <x:c r="A241" s="31"/>
      <x:c r="B241" s="31"/>
      <x:c r="C241" s="31"/>
      <x:c r="D241" s="31" t="n">
        <x:v>237</x:v>
      </x:c>
      <x:c r="E241" s="42" t="n">
        <x:v>0.0076214101287912</x:v>
      </x:c>
      <x:c r="F241" s="42" t="n">
        <x:v>-0.0071584432008495</x:v>
      </x:c>
      <x:c r="G241" s="43" t="n">
        <x:v>1.0187399463104376</x:v>
      </x:c>
      <x:c r="H241" s="32" t="n">
        <x:v>849325.3886932572</x:v>
      </x:c>
      <x:c r="I241" s="50" t="b">
        <x:v>1</x:v>
      </x:c>
      <x:c r="J241" s="50" t="b">
        <x:v>0</x:v>
      </x:c>
      <x:c r="K241" s="31"/>
      <x:c r="L241" s="31"/>
    </x:row>
    <x:row r="242">
      <x:c r="A242" s="31"/>
      <x:c r="B242" s="31"/>
      <x:c r="C242" s="31"/>
      <x:c r="D242" s="31" t="n">
        <x:v>238</x:v>
      </x:c>
      <x:c r="E242" s="42" t="n">
        <x:v>-0.00730436429757115</x:v>
      </x:c>
      <x:c r="F242" s="42" t="n">
        <x:v>-0.004335137620900661</x:v>
      </x:c>
      <x:c r="G242" s="43" t="n">
        <x:v>0.9539049082269232</x:v>
      </x:c>
      <x:c r="H242" s="32" t="n">
        <x:v>1211668.8409142564</x:v>
      </x:c>
      <x:c r="I242" s="50" t="b">
        <x:v>0</x:v>
      </x:c>
      <x:c r="J242" s="50" t="b">
        <x:v>0</x:v>
      </x:c>
      <x:c r="K242" s="31"/>
      <x:c r="L242" s="31"/>
    </x:row>
    <x:row r="243">
      <x:c r="A243" s="31"/>
      <x:c r="B243" s="31"/>
      <x:c r="C243" s="31"/>
      <x:c r="D243" s="31" t="n">
        <x:v>239</x:v>
      </x:c>
      <x:c r="E243" s="42" t="n">
        <x:v>-0.015594024755824474</x:v>
      </x:c>
      <x:c r="F243" s="42" t="n">
        <x:v>-0.00467607493027095</x:v>
      </x:c>
      <x:c r="G243" s="43" t="n">
        <x:v>0.9370934738546587</x:v>
      </x:c>
      <x:c r="H243" s="32" t="n">
        <x:v>1296307.908435696</x:v>
      </x:c>
      <x:c r="I243" s="50" t="b">
        <x:v>0</x:v>
      </x:c>
      <x:c r="J243" s="50" t="b">
        <x:v>0</x:v>
      </x:c>
      <x:c r="K243" s="31"/>
      <x:c r="L243" s="31"/>
    </x:row>
    <x:row r="244">
      <x:c r="A244" s="31"/>
      <x:c r="B244" s="31"/>
      <x:c r="C244" s="31"/>
      <x:c r="D244" s="31" t="n">
        <x:v>240</x:v>
      </x:c>
      <x:c r="E244" s="42" t="n">
        <x:v>-0.011826910044564124</x:v>
      </x:c>
      <x:c r="F244" s="42" t="n">
        <x:v>-0.00389985921561901</x:v>
      </x:c>
      <x:c r="G244" s="43" t="n">
        <x:v>1.0921953397803121</x:v>
      </x:c>
      <x:c r="H244" s="32" t="n">
        <x:v>319626.44590338925</x:v>
      </x:c>
      <x:c r="I244" s="50" t="b">
        <x:v>1</x:v>
      </x:c>
      <x:c r="J244" s="50" t="b">
        <x:v>0</x:v>
      </x:c>
      <x:c r="K244" s="31"/>
      <x:c r="L244" s="31"/>
    </x:row>
    <x:row r="245">
      <x:c r="A245" s="31"/>
      <x:c r="B245" s="31"/>
      <x:c r="C245" s="31"/>
      <x:c r="D245" s="31" t="n">
        <x:v>241</x:v>
      </x:c>
      <x:c r="E245" s="42" t="n">
        <x:v>-0.003278736904095442</x:v>
      </x:c>
      <x:c r="F245" s="42" t="n">
        <x:v>0.002172829095237636</x:v>
      </x:c>
      <x:c r="G245" s="43" t="n">
        <x:v>0.9433292179682933</x:v>
      </x:c>
      <x:c r="H245" s="32" t="n">
        <x:v>1271922.3175325743</x:v>
      </x:c>
      <x:c r="I245" s="50" t="b">
        <x:v>0</x:v>
      </x:c>
      <x:c r="J245" s="50" t="b">
        <x:v>0</x:v>
      </x:c>
      <x:c r="K245" s="31"/>
      <x:c r="L245" s="31"/>
    </x:row>
    <x:row r="246">
      <x:c r="A246" s="31"/>
      <x:c r="B246" s="31"/>
      <x:c r="C246" s="31"/>
      <x:c r="D246" s="31" t="n">
        <x:v>242</x:v>
      </x:c>
      <x:c r="E246" s="42" t="n">
        <x:v>0.01765697109708939</x:v>
      </x:c>
      <x:c r="F246" s="42" t="n">
        <x:v>-0.008542125683688607</x:v>
      </x:c>
      <x:c r="G246" s="43" t="n">
        <x:v>0.9551975678301312</x:v>
      </x:c>
      <x:c r="H246" s="32" t="n">
        <x:v>1284650.2118344652</x:v>
      </x:c>
      <x:c r="I246" s="50" t="b">
        <x:v>0</x:v>
      </x:c>
      <x:c r="J246" s="50" t="b">
        <x:v>0</x:v>
      </x:c>
      <x:c r="K246" s="31"/>
      <x:c r="L246" s="31"/>
    </x:row>
    <x:row r="247">
      <x:c r="A247" s="31"/>
      <x:c r="B247" s="31"/>
      <x:c r="C247" s="31"/>
      <x:c r="D247" s="31" t="n">
        <x:v>243</x:v>
      </x:c>
      <x:c r="E247" s="42" t="n">
        <x:v>0.0065372796405894825</x:v>
      </x:c>
      <x:c r="F247" s="42" t="n">
        <x:v>-0.0010803322415429012</x:v>
      </x:c>
      <x:c r="G247" s="43" t="n">
        <x:v>0.9731471153175628</x:v>
      </x:c>
      <x:c r="H247" s="32" t="n">
        <x:v>1118935.8978095562</x:v>
      </x:c>
      <x:c r="I247" s="50" t="b">
        <x:v>0</x:v>
      </x:c>
      <x:c r="J247" s="50" t="b">
        <x:v>0</x:v>
      </x:c>
      <x:c r="K247" s="31"/>
      <x:c r="L247" s="31"/>
    </x:row>
    <x:row r="248">
      <x:c r="A248" s="31"/>
      <x:c r="B248" s="31"/>
      <x:c r="C248" s="31"/>
      <x:c r="D248" s="31" t="n">
        <x:v>244</x:v>
      </x:c>
      <x:c r="E248" s="42" t="n">
        <x:v>0.01497156986467967</x:v>
      </x:c>
      <x:c r="F248" s="42" t="n">
        <x:v>0.00007461564496667785</x:v>
      </x:c>
      <x:c r="G248" s="43" t="n">
        <x:v>0.9966257674430163</x:v>
      </x:c>
      <x:c r="H248" s="32" t="n">
        <x:v>990092.0393158852</x:v>
      </x:c>
      <x:c r="I248" s="50" t="b">
        <x:v>1</x:v>
      </x:c>
      <x:c r="J248" s="50" t="b">
        <x:v>0</x:v>
      </x:c>
      <x:c r="K248" s="31"/>
      <x:c r="L248" s="31"/>
    </x:row>
    <x:row r="249">
      <x:c r="A249" s="31"/>
      <x:c r="B249" s="31"/>
      <x:c r="C249" s="31"/>
      <x:c r="D249" s="31" t="n">
        <x:v>245</x:v>
      </x:c>
      <x:c r="E249" s="42" t="n">
        <x:v>-0.012451365629884395</x:v>
      </x:c>
      <x:c r="F249" s="42" t="n">
        <x:v>-0.0029239377109362293</x:v>
      </x:c>
      <x:c r="G249" s="43" t="n">
        <x:v>1.034725255837898</x:v>
      </x:c>
      <x:c r="H249" s="32" t="n">
        <x:v>680147.4957833865</x:v>
      </x:c>
      <x:c r="I249" s="50" t="b">
        <x:v>1</x:v>
      </x:c>
      <x:c r="J249" s="50" t="b">
        <x:v>0</x:v>
      </x:c>
      <x:c r="K249" s="31"/>
      <x:c r="L249" s="31"/>
    </x:row>
    <x:row r="250">
      <x:c r="A250" s="31"/>
      <x:c r="B250" s="31"/>
      <x:c r="C250" s="31"/>
      <x:c r="D250" s="31" t="n">
        <x:v>246</x:v>
      </x:c>
      <x:c r="E250" s="42" t="n">
        <x:v>0.004250359753468804</x:v>
      </x:c>
      <x:c r="F250" s="42" t="n">
        <x:v>-0.002823923763172075</x:v>
      </x:c>
      <x:c r="G250" s="43" t="n">
        <x:v>1.149605816184311</x:v>
      </x:c>
      <x:c r="H250" s="32" t="n">
        <x:v>-3214.192320759408</x:v>
      </x:c>
      <x:c r="I250" s="50" t="b">
        <x:v>1</x:v>
      </x:c>
      <x:c r="J250" s="50" t="b">
        <x:v>1</x:v>
      </x:c>
      <x:c r="K250" s="31"/>
      <x:c r="L250" s="31"/>
    </x:row>
    <x:row r="251">
      <x:c r="A251" s="31"/>
      <x:c r="B251" s="31"/>
      <x:c r="C251" s="31"/>
      <x:c r="D251" s="31" t="n">
        <x:v>247</x:v>
      </x:c>
      <x:c r="E251" s="42" t="n">
        <x:v>0.008703319964671555</x:v>
      </x:c>
      <x:c r="F251" s="42" t="n">
        <x:v>-0.0077936226130502564</x:v>
      </x:c>
      <x:c r="G251" s="43" t="n">
        <x:v>0.9922085713245058</x:v>
      </x:c>
      <x:c r="H251" s="32" t="n">
        <x:v>1022597.9661129313</x:v>
      </x:c>
      <x:c r="I251" s="50" t="b">
        <x:v>0</x:v>
      </x:c>
      <x:c r="J251" s="50" t="b">
        <x:v>0</x:v>
      </x:c>
      <x:c r="K251" s="31"/>
      <x:c r="L251" s="31"/>
    </x:row>
    <x:row r="252">
      <x:c r="A252" s="31"/>
      <x:c r="B252" s="31"/>
      <x:c r="C252" s="31"/>
      <x:c r="D252" s="31" t="n">
        <x:v>248</x:v>
      </x:c>
      <x:c r="E252" s="42" t="n">
        <x:v>0.0023811296850665942</x:v>
      </x:c>
      <x:c r="F252" s="42" t="n">
        <x:v>0.00479676407906197</x:v>
      </x:c>
      <x:c r="G252" s="43" t="n">
        <x:v>1.0576354371187917</x:v>
      </x:c>
      <x:c r="H252" s="32" t="n">
        <x:v>554447.4539260188</x:v>
      </x:c>
      <x:c r="I252" s="50" t="b">
        <x:v>1</x:v>
      </x:c>
      <x:c r="J252" s="50" t="b">
        <x:v>0</x:v>
      </x:c>
      <x:c r="K252" s="31"/>
      <x:c r="L252" s="31"/>
    </x:row>
    <x:row r="253">
      <x:c r="A253" s="31"/>
      <x:c r="B253" s="31"/>
      <x:c r="C253" s="31"/>
      <x:c r="D253" s="31" t="n">
        <x:v>249</x:v>
      </x:c>
      <x:c r="E253" s="42" t="n">
        <x:v>-0.005137006009560228</x:v>
      </x:c>
      <x:c r="F253" s="42" t="n">
        <x:v>0.0041330277688081925</x:v>
      </x:c>
      <x:c r="G253" s="43" t="n">
        <x:v>1.0399579427036842</x:v>
      </x:c>
      <x:c r="H253" s="32" t="n">
        <x:v>647632.6905435699</x:v>
      </x:c>
      <x:c r="I253" s="50" t="b">
        <x:v>1</x:v>
      </x:c>
      <x:c r="J253" s="50" t="b">
        <x:v>0</x:v>
      </x:c>
      <x:c r="K253" s="31"/>
      <x:c r="L253" s="31"/>
    </x:row>
    <x:row r="254">
      <x:c r="A254" s="31"/>
      <x:c r="B254" s="31"/>
      <x:c r="C254" s="31"/>
      <x:c r="D254" s="31" t="n">
        <x:v>250</x:v>
      </x:c>
      <x:c r="E254" s="42" t="n">
        <x:v>0.01568293052478806</x:v>
      </x:c>
      <x:c r="F254" s="42" t="n">
        <x:v>0.0016608414979401333</x:v>
      </x:c>
      <x:c r="G254" s="43" t="n">
        <x:v>1.0370180591079576</x:v>
      </x:c>
      <x:c r="H254" s="32" t="n">
        <x:v>731137.1736152701</x:v>
      </x:c>
      <x:c r="I254" s="50" t="b">
        <x:v>1</x:v>
      </x:c>
      <x:c r="J254" s="50" t="b">
        <x:v>0</x:v>
      </x:c>
      <x:c r="K254" s="31"/>
      <x:c r="L254" s="31"/>
    </x:row>
    <x:row r="255">
      <x:c r="A255" s="31"/>
      <x:c r="B255" s="31"/>
      <x:c r="C255" s="31"/>
      <x:c r="D255" s="31" t="n">
        <x:v>251</x:v>
      </x:c>
      <x:c r="E255" s="42" t="n">
        <x:v>-0.0017724731820651085</x:v>
      </x:c>
      <x:c r="F255" s="42" t="n">
        <x:v>0.0009049821985166198</x:v>
      </x:c>
      <x:c r="G255" s="43" t="n">
        <x:v>1.0027296968368475</x:v>
      </x:c>
      <x:c r="H255" s="32" t="n">
        <x:v>902409.0060055752</x:v>
      </x:c>
      <x:c r="I255" s="50" t="b">
        <x:v>1</x:v>
      </x:c>
      <x:c r="J255" s="50" t="b">
        <x:v>0</x:v>
      </x:c>
      <x:c r="K255" s="31"/>
      <x:c r="L255" s="31"/>
    </x:row>
    <x:row r="256">
      <x:c r="A256" s="31"/>
      <x:c r="B256" s="31"/>
      <x:c r="C256" s="31"/>
      <x:c r="D256" s="31" t="n">
        <x:v>252</x:v>
      </x:c>
      <x:c r="E256" s="42" t="n">
        <x:v>-0.002088743724661478</x:v>
      </x:c>
      <x:c r="F256" s="42" t="n">
        <x:v>0.003457292310400968</x:v>
      </x:c>
      <x:c r="G256" s="43" t="n">
        <x:v>1.0547251351706317</x:v>
      </x:c>
      <x:c r="H256" s="32" t="n">
        <x:v>564216.390098087</x:v>
      </x:c>
      <x:c r="I256" s="50" t="b">
        <x:v>1</x:v>
      </x:c>
      <x:c r="J256" s="50" t="b">
        <x:v>0</x:v>
      </x:c>
      <x:c r="K256" s="31"/>
      <x:c r="L256" s="31"/>
    </x:row>
    <x:row r="257">
      <x:c r="A257" s="31"/>
      <x:c r="B257" s="31"/>
      <x:c r="C257" s="31"/>
      <x:c r="D257" s="31" t="n">
        <x:v>253</x:v>
      </x:c>
      <x:c r="E257" s="42" t="n">
        <x:v>-0.019227227015062336</x:v>
      </x:c>
      <x:c r="F257" s="42" t="n">
        <x:v>0.008048135932921667</x:v>
      </x:c>
      <x:c r="G257" s="43" t="n">
        <x:v>0.9352042361994872</x:v>
      </x:c>
      <x:c r="H257" s="32" t="n">
        <x:v>1262774.683547603</x:v>
      </x:c>
      <x:c r="I257" s="50" t="b">
        <x:v>0</x:v>
      </x:c>
      <x:c r="J257" s="50" t="b">
        <x:v>0</x:v>
      </x:c>
      <x:c r="K257" s="31"/>
      <x:c r="L257" s="31"/>
    </x:row>
    <x:row r="258">
      <x:c r="A258" s="31"/>
      <x:c r="B258" s="31"/>
      <x:c r="C258" s="31"/>
      <x:c r="D258" s="31" t="n">
        <x:v>254</x:v>
      </x:c>
      <x:c r="E258" s="42" t="n">
        <x:v>-0.013487408733612545</x:v>
      </x:c>
      <x:c r="F258" s="42" t="n">
        <x:v>0.006412078793217784</x:v>
      </x:c>
      <x:c r="G258" s="43" t="n">
        <x:v>0.9572366862523174</x:v>
      </x:c>
      <x:c r="H258" s="32" t="n">
        <x:v>1143383.9344344968</x:v>
      </x:c>
      <x:c r="I258" s="50" t="b">
        <x:v>0</x:v>
      </x:c>
      <x:c r="J258" s="50" t="b">
        <x:v>0</x:v>
      </x:c>
      <x:c r="K258" s="31"/>
      <x:c r="L258" s="31"/>
    </x:row>
    <x:row r="259">
      <x:c r="A259" s="31"/>
      <x:c r="B259" s="31"/>
      <x:c r="C259" s="31"/>
      <x:c r="D259" s="31" t="n">
        <x:v>255</x:v>
      </x:c>
      <x:c r="E259" s="42" t="n">
        <x:v>0.00962846523885605</x:v>
      </x:c>
      <x:c r="F259" s="42" t="n">
        <x:v>-0.0027539436258126634</x:v>
      </x:c>
      <x:c r="G259" s="43" t="n">
        <x:v>1.0357753663611022</x:v>
      </x:c>
      <x:c r="H259" s="32" t="n">
        <x:v>734465.0665910562</x:v>
      </x:c>
      <x:c r="I259" s="50" t="b">
        <x:v>1</x:v>
      </x:c>
      <x:c r="J259" s="50" t="b">
        <x:v>0</x:v>
      </x:c>
      <x:c r="K259" s="31"/>
      <x:c r="L259" s="31"/>
    </x:row>
    <x:row r="260">
      <x:c r="A260" s="31"/>
      <x:c r="B260" s="31"/>
      <x:c r="C260" s="31"/>
      <x:c r="D260" s="31" t="n">
        <x:v>256</x:v>
      </x:c>
      <x:c r="E260" s="42" t="n">
        <x:v>-0.005521628388208964</x:v>
      </x:c>
      <x:c r="F260" s="42" t="n">
        <x:v>-0.002882448843898069</x:v>
      </x:c>
      <x:c r="G260" s="43" t="n">
        <x:v>0.9889024244389826</x:v>
      </x:c>
      <x:c r="H260" s="32" t="n">
        <x:v>990328.520238827</x:v>
      </x:c>
      <x:c r="I260" s="50" t="b">
        <x:v>1</x:v>
      </x:c>
      <x:c r="J260" s="50" t="b">
        <x:v>0</x:v>
      </x:c>
      <x:c r="K260" s="31"/>
      <x:c r="L260" s="31"/>
    </x:row>
    <x:row r="261">
      <x:c r="A261" s="31"/>
      <x:c r="B261" s="31"/>
      <x:c r="C261" s="31"/>
      <x:c r="D261" s="31" t="n">
        <x:v>257</x:v>
      </x:c>
      <x:c r="E261" s="42" t="n">
        <x:v>-0.013114383313639049</x:v>
      </x:c>
      <x:c r="F261" s="42" t="n">
        <x:v>-0.007257069049118439</x:v>
      </x:c>
      <x:c r="G261" s="43" t="n">
        <x:v>0.9849671718710559</x:v>
      </x:c>
      <x:c r="H261" s="32" t="n">
        <x:v>1006362.4117751198</x:v>
      </x:c>
      <x:c r="I261" s="50" t="b">
        <x:v>0</x:v>
      </x:c>
      <x:c r="J261" s="50" t="b">
        <x:v>0</x:v>
      </x:c>
      <x:c r="K261" s="31"/>
      <x:c r="L261" s="31"/>
    </x:row>
    <x:row r="262">
      <x:c r="A262" s="31"/>
      <x:c r="B262" s="31"/>
      <x:c r="C262" s="31"/>
      <x:c r="D262" s="31" t="n">
        <x:v>258</x:v>
      </x:c>
      <x:c r="E262" s="42" t="n">
        <x:v>0.015591125685510996</x:v>
      </x:c>
      <x:c r="F262" s="42" t="n">
        <x:v>-0.0015211747430589298</x:v>
      </x:c>
      <x:c r="G262" s="43" t="n">
        <x:v>1.0352520737937472</x:v>
      </x:c>
      <x:c r="H262" s="32" t="n">
        <x:v>750954.1030169872</x:v>
      </x:c>
      <x:c r="I262" s="50" t="b">
        <x:v>1</x:v>
      </x:c>
      <x:c r="J262" s="50" t="b">
        <x:v>0</x:v>
      </x:c>
      <x:c r="K262" s="31"/>
      <x:c r="L262" s="31"/>
    </x:row>
    <x:row r="263">
      <x:c r="A263" s="31"/>
      <x:c r="B263" s="31"/>
      <x:c r="C263" s="31"/>
      <x:c r="D263" s="31" t="n">
        <x:v>259</x:v>
      </x:c>
      <x:c r="E263" s="42" t="n">
        <x:v>-0.019047401158216307</x:v>
      </x:c>
      <x:c r="F263" s="42" t="n">
        <x:v>0.0036184772992367328</x:v>
      </x:c>
      <x:c r="G263" s="43" t="n">
        <x:v>0.9604464292622845</x:v>
      </x:c>
      <x:c r="H263" s="32" t="n">
        <x:v>1115299.4826136276</x:v>
      </x:c>
      <x:c r="I263" s="50" t="b">
        <x:v>0</x:v>
      </x:c>
      <x:c r="J263" s="50" t="b">
        <x:v>0</x:v>
      </x:c>
      <x:c r="K263" s="31"/>
      <x:c r="L263" s="31"/>
    </x:row>
    <x:row r="264">
      <x:c r="A264" s="31"/>
      <x:c r="B264" s="31"/>
      <x:c r="C264" s="31"/>
      <x:c r="D264" s="31" t="n">
        <x:v>260</x:v>
      </x:c>
      <x:c r="E264" s="42" t="n">
        <x:v>-0.01024460478023501</x:v>
      </x:c>
      <x:c r="F264" s="42" t="n">
        <x:v>0.003442922453126169</x:v>
      </x:c>
      <x:c r="G264" s="43" t="n">
        <x:v>0.9971831038759824</x:v>
      </x:c>
      <x:c r="H264" s="32" t="n">
        <x:v>906987.0205069106</x:v>
      </x:c>
      <x:c r="I264" s="50" t="b">
        <x:v>1</x:v>
      </x:c>
      <x:c r="J264" s="50" t="b">
        <x:v>0</x:v>
      </x:c>
      <x:c r="K264" s="31"/>
      <x:c r="L264" s="31"/>
    </x:row>
    <x:row r="265">
      <x:c r="A265" s="31"/>
      <x:c r="B265" s="31"/>
      <x:c r="C265" s="31"/>
      <x:c r="D265" s="31" t="n">
        <x:v>261</x:v>
      </x:c>
      <x:c r="E265" s="42" t="n">
        <x:v>0.011805449324678766</x:v>
      </x:c>
      <x:c r="F265" s="42" t="n">
        <x:v>-0.00951117877657187</x:v>
      </x:c>
      <x:c r="G265" s="43" t="n">
        <x:v>0.900444830798639</x:v>
      </x:c>
      <x:c r="H265" s="32" t="n">
        <x:v>1618778.4096362202</x:v>
      </x:c>
      <x:c r="I265" s="50" t="b">
        <x:v>0</x:v>
      </x:c>
      <x:c r="J265" s="50" t="b">
        <x:v>0</x:v>
      </x:c>
      <x:c r="K265" s="31"/>
      <x:c r="L265" s="31"/>
    </x:row>
    <x:row r="266">
      <x:c r="A266" s="31"/>
      <x:c r="B266" s="31"/>
      <x:c r="C266" s="31"/>
      <x:c r="D266" s="31" t="n">
        <x:v>262</x:v>
      </x:c>
      <x:c r="E266" s="42" t="n">
        <x:v>0.015255916268770332</x:v>
      </x:c>
      <x:c r="F266" s="42" t="n">
        <x:v>0.003382092106227666</x:v>
      </x:c>
      <x:c r="G266" s="43" t="n">
        <x:v>0.9475246673981378</x:v>
      </x:c>
      <x:c r="H266" s="32" t="n">
        <x:v>1293503.8498724434</x:v>
      </x:c>
      <x:c r="I266" s="50" t="b">
        <x:v>0</x:v>
      </x:c>
      <x:c r="J266" s="50" t="b">
        <x:v>0</x:v>
      </x:c>
      <x:c r="K266" s="31"/>
      <x:c r="L266" s="31"/>
    </x:row>
    <x:row r="267">
      <x:c r="A267" s="31"/>
      <x:c r="B267" s="31"/>
      <x:c r="C267" s="31"/>
      <x:c r="D267" s="31" t="n">
        <x:v>263</x:v>
      </x:c>
      <x:c r="E267" s="42" t="n">
        <x:v>-0.012888469351401808</x:v>
      </x:c>
      <x:c r="F267" s="42" t="n">
        <x:v>-0.0036435863709671453</x:v>
      </x:c>
      <x:c r="G267" s="43" t="n">
        <x:v>1.0118014810593638</x:v>
      </x:c>
      <x:c r="H267" s="32" t="n">
        <x:v>826516.1709965898</x:v>
      </x:c>
      <x:c r="I267" s="50" t="b">
        <x:v>1</x:v>
      </x:c>
      <x:c r="J267" s="50" t="b">
        <x:v>0</x:v>
      </x:c>
      <x:c r="K267" s="31"/>
      <x:c r="L267" s="31"/>
    </x:row>
    <x:row r="268">
      <x:c r="A268" s="31"/>
      <x:c r="B268" s="31"/>
      <x:c r="C268" s="31"/>
      <x:c r="D268" s="31" t="n">
        <x:v>264</x:v>
      </x:c>
      <x:c r="E268" s="42" t="n">
        <x:v>-0.016920640523479382</x:v>
      </x:c>
      <x:c r="F268" s="42" t="n">
        <x:v>0.006789708198552714</x:v>
      </x:c>
      <x:c r="G268" s="43" t="n">
        <x:v>1.0197084007161032</x:v>
      </x:c>
      <x:c r="H268" s="32" t="n">
        <x:v>736036.6867323649</x:v>
      </x:c>
      <x:c r="I268" s="50" t="b">
        <x:v>1</x:v>
      </x:c>
      <x:c r="J268" s="50" t="b">
        <x:v>0</x:v>
      </x:c>
      <x:c r="K268" s="31"/>
      <x:c r="L268" s="31"/>
    </x:row>
    <x:row r="269">
      <x:c r="A269" s="31"/>
      <x:c r="B269" s="31"/>
      <x:c r="C269" s="31"/>
      <x:c r="D269" s="31" t="n">
        <x:v>265</x:v>
      </x:c>
      <x:c r="E269" s="42" t="n">
        <x:v>-0.023962782435885604</x:v>
      </x:c>
      <x:c r="F269" s="42" t="n">
        <x:v>-0.008471415979501412</x:v>
      </x:c>
      <x:c r="G269" s="43" t="n">
        <x:v>0.9627862323623794</x:v>
      </x:c>
      <x:c r="H269" s="32" t="n">
        <x:v>1120410.4890005155</x:v>
      </x:c>
      <x:c r="I269" s="50" t="b">
        <x:v>0</x:v>
      </x:c>
      <x:c r="J269" s="50" t="b">
        <x:v>0</x:v>
      </x:c>
      <x:c r="K269" s="31"/>
      <x:c r="L269" s="31"/>
    </x:row>
    <x:row r="270">
      <x:c r="A270" s="31"/>
      <x:c r="B270" s="31"/>
      <x:c r="C270" s="31"/>
      <x:c r="D270" s="31" t="n">
        <x:v>266</x:v>
      </x:c>
      <x:c r="E270" s="42" t="n">
        <x:v>-0.0044525490655940555</x:v>
      </x:c>
      <x:c r="F270" s="42" t="n">
        <x:v>-0.004880318984271899</x:v>
      </x:c>
      <x:c r="G270" s="43" t="n">
        <x:v>0.9535589478643793</x:v>
      </x:c>
      <x:c r="H270" s="32" t="n">
        <x:v>1223321.5495575427</x:v>
      </x:c>
      <x:c r="I270" s="50" t="b">
        <x:v>0</x:v>
      </x:c>
      <x:c r="J270" s="50" t="b">
        <x:v>0</x:v>
      </x:c>
      <x:c r="K270" s="31"/>
      <x:c r="L270" s="31"/>
    </x:row>
    <x:row r="271">
      <x:c r="A271" s="31"/>
      <x:c r="B271" s="31"/>
      <x:c r="C271" s="31"/>
      <x:c r="D271" s="31" t="n">
        <x:v>267</x:v>
      </x:c>
      <x:c r="E271" s="42" t="n">
        <x:v>-0.007309359411278136</x:v>
      </x:c>
      <x:c r="F271" s="42" t="n">
        <x:v>0.0008383059172783391</x:v>
      </x:c>
      <x:c r="G271" s="43" t="n">
        <x:v>1.0270118794129497</x:v>
      </x:c>
      <x:c r="H271" s="32" t="n">
        <x:v>732973.4986693198</x:v>
      </x:c>
      <x:c r="I271" s="50" t="b">
        <x:v>1</x:v>
      </x:c>
      <x:c r="J271" s="50" t="b">
        <x:v>0</x:v>
      </x:c>
      <x:c r="K271" s="31"/>
      <x:c r="L271" s="31"/>
    </x:row>
    <x:row r="272">
      <x:c r="A272" s="31"/>
      <x:c r="B272" s="31"/>
      <x:c r="C272" s="31"/>
      <x:c r="D272" s="31" t="n">
        <x:v>268</x:v>
      </x:c>
      <x:c r="E272" s="42" t="n">
        <x:v>-0.007748143929911253</x:v>
      </x:c>
      <x:c r="F272" s="42" t="n">
        <x:v>-0.003708521608023966</x:v>
      </x:c>
      <x:c r="G272" s="43" t="n">
        <x:v>0.9773802202755728</x:v>
      </x:c>
      <x:c r="H272" s="32" t="n">
        <x:v>1059604.51351554</x:v>
      </x:c>
      <x:c r="I272" s="50" t="b">
        <x:v>0</x:v>
      </x:c>
      <x:c r="J272" s="50" t="b">
        <x:v>0</x:v>
      </x:c>
      <x:c r="K272" s="31"/>
      <x:c r="L272" s="31"/>
    </x:row>
    <x:row r="273">
      <x:c r="A273" s="31"/>
      <x:c r="B273" s="31"/>
      <x:c r="C273" s="31"/>
      <x:c r="D273" s="31" t="n">
        <x:v>269</x:v>
      </x:c>
      <x:c r="E273" s="42" t="n">
        <x:v>-0.008359141840328491</x:v>
      </x:c>
      <x:c r="F273" s="42" t="n">
        <x:v>-0.0005515517582538194</x:v>
      </x:c>
      <x:c r="G273" s="43" t="n">
        <x:v>1.012401376971749</x:v>
      </x:c>
      <x:c r="H273" s="32" t="n">
        <x:v>826707.1437316886</x:v>
      </x:c>
      <x:c r="I273" s="50" t="b">
        <x:v>1</x:v>
      </x:c>
      <x:c r="J273" s="50" t="b">
        <x:v>0</x:v>
      </x:c>
      <x:c r="K273" s="31"/>
      <x:c r="L273" s="31"/>
    </x:row>
    <x:row r="274">
      <x:c r="A274" s="31"/>
      <x:c r="B274" s="31"/>
      <x:c r="C274" s="31"/>
      <x:c r="D274" s="31" t="n">
        <x:v>270</x:v>
      </x:c>
      <x:c r="E274" s="42" t="n">
        <x:v>-0.023622394595518497</x:v>
      </x:c>
      <x:c r="F274" s="42" t="n">
        <x:v>0.004319917792561607</x:v>
      </x:c>
      <x:c r="G274" s="43" t="n">
        <x:v>0.9718348569917302</x:v>
      </x:c>
      <x:c r="H274" s="32" t="n">
        <x:v>1028287.8301176324</x:v>
      </x:c>
      <x:c r="I274" s="50" t="b">
        <x:v>0</x:v>
      </x:c>
      <x:c r="J274" s="50" t="b">
        <x:v>0</x:v>
      </x:c>
      <x:c r="K274" s="31"/>
      <x:c r="L274" s="31"/>
    </x:row>
    <x:row r="275">
      <x:c r="A275" s="31"/>
      <x:c r="B275" s="31"/>
      <x:c r="C275" s="31"/>
      <x:c r="D275" s="31" t="n">
        <x:v>271</x:v>
      </x:c>
      <x:c r="E275" s="42" t="n">
        <x:v>0.0007573710703113732</x:v>
      </x:c>
      <x:c r="F275" s="42" t="n">
        <x:v>-0.0007922356992956979</x:v>
      </x:c>
      <x:c r="G275" s="43" t="n">
        <x:v>1.0576875103659058</x:v>
      </x:c>
      <x:c r="H275" s="32" t="n">
        <x:v>565154.0886008777</x:v>
      </x:c>
      <x:c r="I275" s="50" t="b">
        <x:v>1</x:v>
      </x:c>
      <x:c r="J275" s="50" t="b">
        <x:v>0</x:v>
      </x:c>
      <x:c r="K275" s="31"/>
      <x:c r="L275" s="31"/>
    </x:row>
    <x:row r="276">
      <x:c r="A276" s="31"/>
      <x:c r="B276" s="31"/>
      <x:c r="C276" s="31"/>
      <x:c r="D276" s="31" t="n">
        <x:v>272</x:v>
      </x:c>
      <x:c r="E276" s="42" t="n">
        <x:v>0.003310823663317261</x:v>
      </x:c>
      <x:c r="F276" s="42" t="n">
        <x:v>0.00021714603560295275</x:v>
      </x:c>
      <x:c r="G276" s="43" t="n">
        <x:v>0.9981751471573116</x:v>
      </x:c>
      <x:c r="H276" s="32" t="n">
        <x:v>947397.6987859427</x:v>
      </x:c>
      <x:c r="I276" s="50" t="b">
        <x:v>1</x:v>
      </x:c>
      <x:c r="J276" s="50" t="b">
        <x:v>0</x:v>
      </x:c>
      <x:c r="K276" s="31"/>
      <x:c r="L276" s="31"/>
    </x:row>
    <x:row r="277">
      <x:c r="A277" s="31"/>
      <x:c r="B277" s="31"/>
      <x:c r="C277" s="31"/>
      <x:c r="D277" s="31" t="n">
        <x:v>273</x:v>
      </x:c>
      <x:c r="E277" s="42" t="n">
        <x:v>-0.007367954688417803</x:v>
      </x:c>
      <x:c r="F277" s="42" t="n">
        <x:v>0.0025475114027513116</x:v>
      </x:c>
      <x:c r="G277" s="43" t="n">
        <x:v>0.9679956109555818</x:v>
      </x:c>
      <x:c r="H277" s="32" t="n">
        <x:v>1102847.8877673019</x:v>
      </x:c>
      <x:c r="I277" s="50" t="b">
        <x:v>0</x:v>
      </x:c>
      <x:c r="J277" s="50" t="b">
        <x:v>0</x:v>
      </x:c>
      <x:c r="K277" s="31"/>
      <x:c r="L277" s="31"/>
    </x:row>
    <x:row r="278">
      <x:c r="A278" s="31"/>
      <x:c r="B278" s="31"/>
      <x:c r="C278" s="31"/>
      <x:c r="D278" s="31" t="n">
        <x:v>274</x:v>
      </x:c>
      <x:c r="E278" s="42" t="n">
        <x:v>0.011063180831454817</x:v>
      </x:c>
      <x:c r="F278" s="42" t="n">
        <x:v>0.006273450233732899</x:v>
      </x:c>
      <x:c r="G278" s="43" t="n">
        <x:v>1.0360388564171543</x:v>
      </x:c>
      <x:c r="H278" s="32" t="n">
        <x:v>711657.3298659918</x:v>
      </x:c>
      <x:c r="I278" s="50" t="b">
        <x:v>1</x:v>
      </x:c>
      <x:c r="J278" s="50" t="b">
        <x:v>0</x:v>
      </x:c>
      <x:c r="K278" s="31"/>
      <x:c r="L278" s="31"/>
    </x:row>
    <x:row r="279">
      <x:c r="A279" s="31"/>
      <x:c r="B279" s="31"/>
      <x:c r="C279" s="31"/>
      <x:c r="D279" s="31" t="n">
        <x:v>275</x:v>
      </x:c>
      <x:c r="E279" s="42" t="n">
        <x:v>-0.0032037779655040037</x:v>
      </x:c>
      <x:c r="F279" s="42" t="n">
        <x:v>0.012250068756411566</x:v>
      </x:c>
      <x:c r="G279" s="43" t="n">
        <x:v>1.0409471166240816</x:v>
      </x:c>
      <x:c r="H279" s="32" t="n">
        <x:v>624137.9551870101</x:v>
      </x:c>
      <x:c r="I279" s="50" t="b">
        <x:v>1</x:v>
      </x:c>
      <x:c r="J279" s="50" t="b">
        <x:v>0</x:v>
      </x:c>
      <x:c r="K279" s="31"/>
      <x:c r="L279" s="31"/>
    </x:row>
    <x:row r="280">
      <x:c r="A280" s="31"/>
      <x:c r="B280" s="31"/>
      <x:c r="C280" s="31"/>
      <x:c r="D280" s="31" t="n">
        <x:v>276</x:v>
      </x:c>
      <x:c r="E280" s="42" t="n">
        <x:v>-0.0054235605172113085</x:v>
      </x:c>
      <x:c r="F280" s="42" t="n">
        <x:v>0.0086912426139371</x:v>
      </x:c>
      <x:c r="G280" s="43" t="n">
        <x:v>1.0432213893982016</x:v>
      </x:c>
      <x:c r="H280" s="32" t="n">
        <x:v>613421.9698832007</x:v>
      </x:c>
      <x:c r="I280" s="50" t="b">
        <x:v>1</x:v>
      </x:c>
      <x:c r="J280" s="50" t="b">
        <x:v>0</x:v>
      </x:c>
      <x:c r="K280" s="31"/>
      <x:c r="L280" s="31"/>
    </x:row>
    <x:row r="281">
      <x:c r="A281" s="31"/>
      <x:c r="B281" s="31"/>
      <x:c r="C281" s="31"/>
      <x:c r="D281" s="31" t="n">
        <x:v>277</x:v>
      </x:c>
      <x:c r="E281" s="42" t="n">
        <x:v>-0.0098876311792411</x:v>
      </x:c>
      <x:c r="F281" s="42" t="n">
        <x:v>0.01120727722550367</x:v>
      </x:c>
      <x:c r="G281" s="43" t="n">
        <x:v>0.9931407510514412</x:v>
      </x:c>
      <x:c r="H281" s="32" t="n">
        <x:v>912040.2141670319</x:v>
      </x:c>
      <x:c r="I281" s="50" t="b">
        <x:v>1</x:v>
      </x:c>
      <x:c r="J281" s="50" t="b">
        <x:v>0</x:v>
      </x:c>
      <x:c r="K281" s="31"/>
      <x:c r="L281" s="31"/>
    </x:row>
    <x:row r="282">
      <x:c r="A282" s="31"/>
      <x:c r="B282" s="31"/>
      <x:c r="C282" s="31"/>
      <x:c r="D282" s="31" t="n">
        <x:v>278</x:v>
      </x:c>
      <x:c r="E282" s="42" t="n">
        <x:v>0.00986973477016076</x:v>
      </x:c>
      <x:c r="F282" s="42" t="n">
        <x:v>-0.008853955071621919</x:v>
      </x:c>
      <x:c r="G282" s="43" t="n">
        <x:v>1.053929725996462</x:v>
      </x:c>
      <x:c r="H282" s="32" t="n">
        <x:v>636823.1216348083</x:v>
      </x:c>
      <x:c r="I282" s="50" t="b">
        <x:v>1</x:v>
      </x:c>
      <x:c r="J282" s="50" t="b">
        <x:v>0</x:v>
      </x:c>
      <x:c r="K282" s="31"/>
      <x:c r="L282" s="31"/>
    </x:row>
    <x:row r="283">
      <x:c r="A283" s="31"/>
      <x:c r="B283" s="31"/>
      <x:c r="C283" s="31"/>
      <x:c r="D283" s="31" t="n">
        <x:v>279</x:v>
      </x:c>
      <x:c r="E283" s="42" t="n">
        <x:v>0.0024945006278524547</x:v>
      </x:c>
      <x:c r="F283" s="42" t="n">
        <x:v>-0.00392646432823602</x:v>
      </x:c>
      <x:c r="G283" s="43" t="n">
        <x:v>1.0039944863772907</x:v>
      </x:c>
      <x:c r="H283" s="32" t="n">
        <x:v>919702.351349632</x:v>
      </x:c>
      <x:c r="I283" s="50" t="b">
        <x:v>1</x:v>
      </x:c>
      <x:c r="J283" s="50" t="b">
        <x:v>0</x:v>
      </x:c>
      <x:c r="K283" s="31"/>
      <x:c r="L283" s="31"/>
    </x:row>
    <x:row r="284">
      <x:c r="A284" s="31"/>
      <x:c r="B284" s="31"/>
      <x:c r="C284" s="31"/>
      <x:c r="D284" s="31" t="n">
        <x:v>280</x:v>
      </x:c>
      <x:c r="E284" s="42" t="n">
        <x:v>-0.0108282397992997</x:v>
      </x:c>
      <x:c r="F284" s="42" t="n">
        <x:v>-0.006861651112798943</x:v>
      </x:c>
      <x:c r="G284" s="43" t="n">
        <x:v>0.955344384475956</x:v>
      </x:c>
      <x:c r="H284" s="32" t="n">
        <x:v>1199750.9679925893</x:v>
      </x:c>
      <x:c r="I284" s="50" t="b">
        <x:v>0</x:v>
      </x:c>
      <x:c r="J284" s="50" t="b">
        <x:v>0</x:v>
      </x:c>
      <x:c r="K284" s="31"/>
      <x:c r="L284" s="31"/>
    </x:row>
    <x:row r="285">
      <x:c r="A285" s="31"/>
      <x:c r="B285" s="31"/>
      <x:c r="C285" s="31"/>
      <x:c r="D285" s="31" t="n">
        <x:v>281</x:v>
      </x:c>
      <x:c r="E285" s="42" t="n">
        <x:v>0.004522726192691087</x:v>
      </x:c>
      <x:c r="F285" s="42" t="n">
        <x:v>0.008510207021079583</x:v>
      </x:c>
      <x:c r="G285" s="43" t="n">
        <x:v>1.000619200136303</x:v>
      </x:c>
      <x:c r="H285" s="32" t="n">
        <x:v>912165.6698954578</x:v>
      </x:c>
      <x:c r="I285" s="50" t="b">
        <x:v>1</x:v>
      </x:c>
      <x:c r="J285" s="50" t="b">
        <x:v>0</x:v>
      </x:c>
      <x:c r="K285" s="31"/>
      <x:c r="L285" s="31"/>
    </x:row>
    <x:row r="286">
      <x:c r="A286" s="31"/>
      <x:c r="B286" s="31"/>
      <x:c r="C286" s="31"/>
      <x:c r="D286" s="31" t="n">
        <x:v>282</x:v>
      </x:c>
      <x:c r="E286" s="42" t="n">
        <x:v>0.004415664038943035</x:v>
      </x:c>
      <x:c r="F286" s="42" t="n">
        <x:v>0.0015881142764933122</x:v>
      </x:c>
      <x:c r="G286" s="43" t="n">
        <x:v>1.0195093335706018</x:v>
      </x:c>
      <x:c r="H286" s="32" t="n">
        <x:v>811169.732771085</x:v>
      </x:c>
      <x:c r="I286" s="50" t="b">
        <x:v>1</x:v>
      </x:c>
      <x:c r="J286" s="50" t="b">
        <x:v>0</x:v>
      </x:c>
      <x:c r="K286" s="31"/>
      <x:c r="L286" s="31"/>
    </x:row>
    <x:row r="287">
      <x:c r="A287" s="31"/>
      <x:c r="B287" s="31"/>
      <x:c r="C287" s="31"/>
      <x:c r="D287" s="31" t="n">
        <x:v>283</x:v>
      </x:c>
      <x:c r="E287" s="42" t="n">
        <x:v>0.007623711757127601</x:v>
      </x:c>
      <x:c r="F287" s="42" t="n">
        <x:v>-0.001993025372122174</x:v>
      </x:c>
      <x:c r="G287" s="43" t="n">
        <x:v>0.8821097942895906</x:v>
      </x:c>
      <x:c r="H287" s="32" t="n">
        <x:v>1702651.970999335</x:v>
      </x:c>
      <x:c r="I287" s="50" t="b">
        <x:v>0</x:v>
      </x:c>
      <x:c r="J287" s="50" t="b">
        <x:v>0</x:v>
      </x:c>
      <x:c r="K287" s="31"/>
      <x:c r="L287" s="31"/>
    </x:row>
    <x:row r="288">
      <x:c r="A288" s="31"/>
      <x:c r="B288" s="31"/>
      <x:c r="C288" s="31"/>
      <x:c r="D288" s="31" t="n">
        <x:v>284</x:v>
      </x:c>
      <x:c r="E288" s="42" t="n">
        <x:v>-0.02005082300282859</x:v>
      </x:c>
      <x:c r="F288" s="42" t="n">
        <x:v>-0.006938063202211117</x:v>
      </x:c>
      <x:c r="G288" s="43" t="n">
        <x:v>0.9462417580632203</x:v>
      </x:c>
      <x:c r="H288" s="32" t="n">
        <x:v>1232100.5224194033</x:v>
      </x:c>
      <x:c r="I288" s="50" t="b">
        <x:v>0</x:v>
      </x:c>
      <x:c r="J288" s="50" t="b">
        <x:v>0</x:v>
      </x:c>
      <x:c r="K288" s="31"/>
      <x:c r="L288" s="31"/>
    </x:row>
    <x:row r="289">
      <x:c r="A289" s="31"/>
      <x:c r="B289" s="31"/>
      <x:c r="C289" s="31"/>
      <x:c r="D289" s="31" t="n">
        <x:v>285</x:v>
      </x:c>
      <x:c r="E289" s="42" t="n">
        <x:v>-0.0002661471373563231</x:v>
      </x:c>
      <x:c r="F289" s="42" t="n">
        <x:v>-0.01497632032234664</x:v>
      </x:c>
      <x:c r="G289" s="43" t="n">
        <x:v>0.9312048527693566</x:v>
      </x:c>
      <x:c r="H289" s="32" t="n">
        <x:v>1405041.2712981873</x:v>
      </x:c>
      <x:c r="I289" s="50" t="b">
        <x:v>0</x:v>
      </x:c>
      <x:c r="J289" s="50" t="b">
        <x:v>0</x:v>
      </x:c>
      <x:c r="K289" s="31"/>
      <x:c r="L289" s="31"/>
    </x:row>
    <x:row r="290">
      <x:c r="A290" s="31"/>
      <x:c r="B290" s="31"/>
      <x:c r="C290" s="31"/>
      <x:c r="D290" s="31" t="n">
        <x:v>286</x:v>
      </x:c>
      <x:c r="E290" s="42" t="n">
        <x:v>0.007470974513979445</x:v>
      </x:c>
      <x:c r="F290" s="42" t="n">
        <x:v>-0.00320520902615373</x:v>
      </x:c>
      <x:c r="G290" s="43" t="n">
        <x:v>0.9603813933767211</x:v>
      </x:c>
      <x:c r="H290" s="32" t="n">
        <x:v>1208520.8751891472</x:v>
      </x:c>
      <x:c r="I290" s="50" t="b">
        <x:v>0</x:v>
      </x:c>
      <x:c r="J290" s="50" t="b">
        <x:v>0</x:v>
      </x:c>
      <x:c r="K290" s="31"/>
      <x:c r="L290" s="31"/>
    </x:row>
    <x:row r="291">
      <x:c r="A291" s="31"/>
      <x:c r="B291" s="31"/>
      <x:c r="C291" s="31"/>
      <x:c r="D291" s="31" t="n">
        <x:v>287</x:v>
      </x:c>
      <x:c r="E291" s="42" t="n">
        <x:v>-0.016798850494441877</x:v>
      </x:c>
      <x:c r="F291" s="42" t="n">
        <x:v>0.0009410623832313565</x:v>
      </x:c>
      <x:c r="G291" s="43" t="n">
        <x:v>1.0180887852555696</x:v>
      </x:c>
      <x:c r="H291" s="32" t="n">
        <x:v>762941.2324800628</x:v>
      </x:c>
      <x:c r="I291" s="50" t="b">
        <x:v>1</x:v>
      </x:c>
      <x:c r="J291" s="50" t="b">
        <x:v>0</x:v>
      </x:c>
      <x:c r="K291" s="31"/>
      <x:c r="L291" s="31"/>
    </x:row>
    <x:row r="292">
      <x:c r="A292" s="31"/>
      <x:c r="B292" s="31"/>
      <x:c r="C292" s="31"/>
      <x:c r="D292" s="31" t="n">
        <x:v>288</x:v>
      </x:c>
      <x:c r="E292" s="42" t="n">
        <x:v>0.0076717733658367825</x:v>
      </x:c>
      <x:c r="F292" s="42" t="n">
        <x:v>0.0027111108090167382</x:v>
      </x:c>
      <x:c r="G292" s="43" t="n">
        <x:v>0.9132692401727683</x:v>
      </x:c>
      <x:c r="H292" s="32" t="n">
        <x:v>1491807.1348536445</x:v>
      </x:c>
      <x:c r="I292" s="50" t="b">
        <x:v>0</x:v>
      </x:c>
      <x:c r="J292" s="50" t="b">
        <x:v>0</x:v>
      </x:c>
      <x:c r="K292" s="31"/>
      <x:c r="L292" s="31"/>
    </x:row>
    <x:row r="293">
      <x:c r="A293" s="31"/>
      <x:c r="B293" s="31"/>
      <x:c r="C293" s="31"/>
      <x:c r="D293" s="31" t="n">
        <x:v>289</x:v>
      </x:c>
      <x:c r="E293" s="42" t="n">
        <x:v>0.0021784149722076478</x:v>
      </x:c>
      <x:c r="F293" s="42" t="n">
        <x:v>0.0029073894171022883</x:v>
      </x:c>
      <x:c r="G293" s="43" t="n">
        <x:v>1.0121506095530837</x:v>
      </x:c>
      <x:c r="H293" s="32" t="n">
        <x:v>848003.1779739675</x:v>
      </x:c>
      <x:c r="I293" s="50" t="b">
        <x:v>1</x:v>
      </x:c>
      <x:c r="J293" s="50" t="b">
        <x:v>0</x:v>
      </x:c>
      <x:c r="K293" s="31"/>
      <x:c r="L293" s="31"/>
    </x:row>
    <x:row r="294">
      <x:c r="A294" s="31"/>
      <x:c r="B294" s="31"/>
      <x:c r="C294" s="31"/>
      <x:c r="D294" s="31" t="n">
        <x:v>290</x:v>
      </x:c>
      <x:c r="E294" s="42" t="n">
        <x:v>0.011050680993561194</x:v>
      </x:c>
      <x:c r="F294" s="42" t="n">
        <x:v>-0.011873499947677904</x:v>
      </x:c>
      <x:c r="G294" s="43" t="n">
        <x:v>1.0196308085928902</x:v>
      </x:c>
      <x:c r="H294" s="32" t="n">
        <x:v>866337.6987025007</x:v>
      </x:c>
      <x:c r="I294" s="50" t="b">
        <x:v>1</x:v>
      </x:c>
      <x:c r="J294" s="50" t="b">
        <x:v>0</x:v>
      </x:c>
      <x:c r="K294" s="31"/>
      <x:c r="L294" s="31"/>
    </x:row>
    <x:row r="295">
      <x:c r="A295" s="31"/>
      <x:c r="B295" s="31"/>
      <x:c r="C295" s="31"/>
      <x:c r="D295" s="31" t="n">
        <x:v>291</x:v>
      </x:c>
      <x:c r="E295" s="42" t="n">
        <x:v>-0.010741325857335306</x:v>
      </x:c>
      <x:c r="F295" s="42" t="n">
        <x:v>0.0005387977558731843</x:v>
      </x:c>
      <x:c r="G295" s="43" t="n">
        <x:v>0.933261391861386</x:v>
      </x:c>
      <x:c r="H295" s="32" t="n">
        <x:v>1319636.2243165767</x:v>
      </x:c>
      <x:c r="I295" s="50" t="b">
        <x:v>0</x:v>
      </x:c>
      <x:c r="J295" s="50" t="b">
        <x:v>0</x:v>
      </x:c>
      <x:c r="K295" s="31"/>
      <x:c r="L295" s="31"/>
    </x:row>
    <x:row r="296">
      <x:c r="A296" s="31"/>
      <x:c r="B296" s="31"/>
      <x:c r="C296" s="31"/>
      <x:c r="D296" s="31" t="n">
        <x:v>292</x:v>
      </x:c>
      <x:c r="E296" s="42" t="n">
        <x:v>0.003484263434002489</x:v>
      </x:c>
      <x:c r="F296" s="42" t="n">
        <x:v>-0.002069598740197696</x:v>
      </x:c>
      <x:c r="G296" s="43" t="n">
        <x:v>0.9680054892172542</x:v>
      </x:c>
      <x:c r="H296" s="32" t="n">
        <x:v>1145844.3719347375</x:v>
      </x:c>
      <x:c r="I296" s="50" t="b">
        <x:v>0</x:v>
      </x:c>
      <x:c r="J296" s="50" t="b">
        <x:v>0</x:v>
      </x:c>
      <x:c r="K296" s="31"/>
      <x:c r="L296" s="31"/>
    </x:row>
    <x:row r="297">
      <x:c r="A297" s="31"/>
      <x:c r="B297" s="31"/>
      <x:c r="C297" s="31"/>
      <x:c r="D297" s="31" t="n">
        <x:v>293</x:v>
      </x:c>
      <x:c r="E297" s="42" t="n">
        <x:v>0.004855836811074961</x:v>
      </x:c>
      <x:c r="F297" s="42" t="n">
        <x:v>0.006633865804843015</x:v>
      </x:c>
      <x:c r="G297" s="43" t="n">
        <x:v>1.0216660866907232</x:v>
      </x:c>
      <x:c r="H297" s="32" t="n">
        <x:v>784653.0924275508</x:v>
      </x:c>
      <x:c r="I297" s="50" t="b">
        <x:v>1</x:v>
      </x:c>
      <x:c r="J297" s="50" t="b">
        <x:v>0</x:v>
      </x:c>
      <x:c r="K297" s="31"/>
      <x:c r="L297" s="31"/>
    </x:row>
    <x:row r="298">
      <x:c r="A298" s="31"/>
      <x:c r="B298" s="31"/>
      <x:c r="C298" s="31"/>
      <x:c r="D298" s="31" t="n">
        <x:v>294</x:v>
      </x:c>
      <x:c r="E298" s="42" t="n">
        <x:v>0.008556932434482514</x:v>
      </x:c>
      <x:c r="F298" s="42" t="n">
        <x:v>0.004043233341422019</x:v>
      </x:c>
      <x:c r="G298" s="43" t="n">
        <x:v>1.0166834318081688</x:v>
      </x:c>
      <x:c r="H298" s="32" t="n">
        <x:v>833809.6443841683</x:v>
      </x:c>
      <x:c r="I298" s="50" t="b">
        <x:v>1</x:v>
      </x:c>
      <x:c r="J298" s="50" t="b">
        <x:v>0</x:v>
      </x:c>
      <x:c r="K298" s="31"/>
      <x:c r="L298" s="31"/>
    </x:row>
    <x:row r="299">
      <x:c r="A299" s="31"/>
      <x:c r="B299" s="31"/>
      <x:c r="C299" s="31"/>
      <x:c r="D299" s="31" t="n">
        <x:v>295</x:v>
      </x:c>
      <x:c r="E299" s="42" t="n">
        <x:v>0.005215863167773919</x:v>
      </x:c>
      <x:c r="F299" s="42" t="n">
        <x:v>-0.003023242241323938</x:v>
      </x:c>
      <x:c r="G299" s="43" t="n">
        <x:v>0.9756530480475762</x:v>
      </x:c>
      <x:c r="H299" s="32" t="n">
        <x:v>1104751.3912095902</x:v>
      </x:c>
      <x:c r="I299" s="50" t="b">
        <x:v>0</x:v>
      </x:c>
      <x:c r="J299" s="50" t="b">
        <x:v>0</x:v>
      </x:c>
      <x:c r="K299" s="31"/>
      <x:c r="L299" s="31"/>
    </x:row>
    <x:row r="300">
      <x:c r="A300" s="31"/>
      <x:c r="B300" s="31"/>
      <x:c r="C300" s="31"/>
      <x:c r="D300" s="31" t="n">
        <x:v>296</x:v>
      </x:c>
      <x:c r="E300" s="42" t="n">
        <x:v>0.009950021566235714</x:v>
      </x:c>
      <x:c r="F300" s="42" t="n">
        <x:v>0.005130672613861788</x:v>
      </x:c>
      <x:c r="G300" s="43" t="n">
        <x:v>0.9478509241413677</x:v>
      </x:c>
      <x:c r="H300" s="32" t="n">
        <x:v>1271795.6003691803</x:v>
      </x:c>
      <x:c r="I300" s="50" t="b">
        <x:v>0</x:v>
      </x:c>
      <x:c r="J300" s="50" t="b">
        <x:v>0</x:v>
      </x:c>
      <x:c r="K300" s="31"/>
      <x:c r="L300" s="31"/>
    </x:row>
    <x:row r="301">
      <x:c r="A301" s="31"/>
      <x:c r="B301" s="31"/>
      <x:c r="C301" s="31"/>
      <x:c r="D301" s="31" t="n">
        <x:v>297</x:v>
      </x:c>
      <x:c r="E301" s="42" t="n">
        <x:v>-0.02514313869701058</x:v>
      </x:c>
      <x:c r="F301" s="42" t="n">
        <x:v>0.0064458172477374655</x:v>
      </x:c>
      <x:c r="G301" s="43" t="n">
        <x:v>1.0034025788468304</x:v>
      </x:c>
      <x:c r="H301" s="32" t="n">
        <x:v>817659.9260053323</x:v>
      </x:c>
      <x:c r="I301" s="50" t="b">
        <x:v>1</x:v>
      </x:c>
      <x:c r="J301" s="50" t="b">
        <x:v>0</x:v>
      </x:c>
      <x:c r="K301" s="31"/>
      <x:c r="L301" s="31"/>
    </x:row>
    <x:row r="302">
      <x:c r="A302" s="31"/>
      <x:c r="B302" s="31"/>
      <x:c r="C302" s="31"/>
      <x:c r="D302" s="31" t="n">
        <x:v>298</x:v>
      </x:c>
      <x:c r="E302" s="42" t="n">
        <x:v>-0.0027791420819299776</x:v>
      </x:c>
      <x:c r="F302" s="42" t="n">
        <x:v>0.015068174618125431</x:v>
      </x:c>
      <x:c r="G302" s="43" t="n">
        <x:v>1.0140659490760529</x:v>
      </x:c>
      <x:c r="H302" s="32" t="n">
        <x:v>788190.1303867947</x:v>
      </x:c>
      <x:c r="I302" s="50" t="b">
        <x:v>1</x:v>
      </x:c>
      <x:c r="J302" s="50" t="b">
        <x:v>0</x:v>
      </x:c>
      <x:c r="K302" s="31"/>
      <x:c r="L302" s="31"/>
    </x:row>
    <x:row r="303">
      <x:c r="A303" s="31"/>
      <x:c r="B303" s="31"/>
      <x:c r="C303" s="31"/>
      <x:c r="D303" s="31" t="n">
        <x:v>299</x:v>
      </x:c>
      <x:c r="E303" s="42" t="n">
        <x:v>0.0027131923453620776</x:v>
      </x:c>
      <x:c r="F303" s="42" t="n">
        <x:v>0.007855330773765006</x:v>
      </x:c>
      <x:c r="G303" s="43" t="n">
        <x:v>1.0053900609474657</x:v>
      </x:c>
      <x:c r="H303" s="32" t="n">
        <x:v>878653.3098608945</x:v>
      </x:c>
      <x:c r="I303" s="50" t="b">
        <x:v>1</x:v>
      </x:c>
      <x:c r="J303" s="50" t="b">
        <x:v>0</x:v>
      </x:c>
      <x:c r="K303" s="31"/>
      <x:c r="L303" s="31"/>
    </x:row>
    <x:row r="304">
      <x:c r="A304" s="31"/>
      <x:c r="B304" s="31"/>
      <x:c r="C304" s="31"/>
      <x:c r="D304" s="31" t="n">
        <x:v>300</x:v>
      </x:c>
      <x:c r="E304" s="42" t="n">
        <x:v>0.02463957935729411</x:v>
      </x:c>
      <x:c r="F304" s="42" t="n">
        <x:v>0.0009801653541004322</x:v>
      </x:c>
      <x:c r="G304" s="43" t="n">
        <x:v>1.051724746620952</x:v>
      </x:c>
      <x:c r="H304" s="32" t="n">
        <x:v>664564.9999087392</x:v>
      </x:c>
      <x:c r="I304" s="50" t="b">
        <x:v>1</x:v>
      </x:c>
      <x:c r="J304" s="50" t="b">
        <x:v>0</x:v>
      </x:c>
      <x:c r="K304" s="31"/>
      <x:c r="L304" s="31"/>
    </x:row>
    <x:row r="305">
      <x:c r="A305" s="31"/>
      <x:c r="B305" s="31"/>
      <x:c r="C305" s="31"/>
      <x:c r="D305" s="31" t="n">
        <x:v>301</x:v>
      </x:c>
      <x:c r="E305" s="42" t="n">
        <x:v>0.0032604898399247596</x:v>
      </x:c>
      <x:c r="F305" s="42" t="n">
        <x:v>0.00012516542626299636</x:v>
      </x:c>
      <x:c r="G305" s="43" t="n">
        <x:v>1.006817828855703</x:v>
      </x:c>
      <x:c r="H305" s="32" t="n">
        <x:v>892626.4737596752</x:v>
      </x:c>
      <x:c r="I305" s="50" t="b">
        <x:v>1</x:v>
      </x:c>
      <x:c r="J305" s="50" t="b">
        <x:v>0</x:v>
      </x:c>
      <x:c r="K305" s="31"/>
      <x:c r="L305" s="31"/>
    </x:row>
    <x:row r="306">
      <x:c r="A306" s="31"/>
      <x:c r="B306" s="31"/>
      <x:c r="C306" s="31"/>
      <x:c r="D306" s="31" t="n">
        <x:v>302</x:v>
      </x:c>
      <x:c r="E306" s="42" t="n">
        <x:v>0.008121749836640288</x:v>
      </x:c>
      <x:c r="F306" s="42" t="n">
        <x:v>0.008302437807628267</x:v>
      </x:c>
      <x:c r="G306" s="43" t="n">
        <x:v>0.9826952437684705</x:v>
      </x:c>
      <x:c r="H306" s="32" t="n">
        <x:v>1036591.7793888275</x:v>
      </x:c>
      <x:c r="I306" s="50" t="b">
        <x:v>0</x:v>
      </x:c>
      <x:c r="J306" s="50" t="b">
        <x:v>0</x:v>
      </x:c>
      <x:c r="K306" s="31"/>
      <x:c r="L306" s="31"/>
    </x:row>
    <x:row r="307">
      <x:c r="A307" s="31"/>
      <x:c r="B307" s="31"/>
      <x:c r="C307" s="31"/>
      <x:c r="D307" s="31" t="n">
        <x:v>303</x:v>
      </x:c>
      <x:c r="E307" s="42" t="n">
        <x:v>0.0013391528684536826</x:v>
      </x:c>
      <x:c r="F307" s="42" t="n">
        <x:v>-0.00981474792888801</x:v>
      </x:c>
      <x:c r="G307" s="43" t="n">
        <x:v>1.0827959656905917</x:v>
      </x:c>
      <x:c r="H307" s="32" t="n">
        <x:v>432431.3800842626</x:v>
      </x:c>
      <x:c r="I307" s="50" t="b">
        <x:v>1</x:v>
      </x:c>
      <x:c r="J307" s="50" t="b">
        <x:v>0</x:v>
      </x:c>
      <x:c r="K307" s="31"/>
      <x:c r="L307" s="31"/>
    </x:row>
    <x:row r="308">
      <x:c r="A308" s="31"/>
      <x:c r="B308" s="31"/>
      <x:c r="C308" s="31"/>
      <x:c r="D308" s="31" t="n">
        <x:v>304</x:v>
      </x:c>
      <x:c r="E308" s="42" t="n">
        <x:v>-0.011084025379469438</x:v>
      </x:c>
      <x:c r="F308" s="42" t="n">
        <x:v>0.005961102725973027</x:v>
      </x:c>
      <x:c r="G308" s="43" t="n">
        <x:v>1.0176576149478438</x:v>
      </x:c>
      <x:c r="H308" s="32" t="n">
        <x:v>767613.4181155562</x:v>
      </x:c>
      <x:c r="I308" s="50" t="b">
        <x:v>1</x:v>
      </x:c>
      <x:c r="J308" s="50" t="b">
        <x:v>0</x:v>
      </x:c>
      <x:c r="K308" s="31"/>
      <x:c r="L308" s="31"/>
    </x:row>
    <x:row r="309">
      <x:c r="A309" s="31"/>
      <x:c r="B309" s="31"/>
      <x:c r="C309" s="31"/>
      <x:c r="D309" s="31" t="n">
        <x:v>305</x:v>
      </x:c>
      <x:c r="E309" s="42" t="n">
        <x:v>0.009765195561839092</x:v>
      </x:c>
      <x:c r="F309" s="42" t="n">
        <x:v>-0.001125301853418942</x:v>
      </x:c>
      <x:c r="G309" s="43" t="n">
        <x:v>1.0288107178921264</x:v>
      </x:c>
      <x:c r="H309" s="32" t="n">
        <x:v>774542.7483417942</x:v>
      </x:c>
      <x:c r="I309" s="50" t="b">
        <x:v>1</x:v>
      </x:c>
      <x:c r="J309" s="50" t="b">
        <x:v>0</x:v>
      </x:c>
      <x:c r="K309" s="31"/>
      <x:c r="L309" s="31"/>
    </x:row>
    <x:row r="310">
      <x:c r="A310" s="31"/>
      <x:c r="B310" s="31"/>
      <x:c r="C310" s="31"/>
      <x:c r="D310" s="31" t="n">
        <x:v>306</x:v>
      </x:c>
      <x:c r="E310" s="42" t="n">
        <x:v>-0.007475383831256236</x:v>
      </x:c>
      <x:c r="F310" s="42" t="n">
        <x:v>-0.0050020135775341494</x:v>
      </x:c>
      <x:c r="G310" s="43" t="n">
        <x:v>0.9387712747863302</x:v>
      </x:c>
      <x:c r="H310" s="32" t="n">
        <x:v>1309158.3586768343</x:v>
      </x:c>
      <x:c r="I310" s="50" t="b">
        <x:v>0</x:v>
      </x:c>
      <x:c r="J310" s="50" t="b">
        <x:v>0</x:v>
      </x:c>
      <x:c r="K310" s="31"/>
      <x:c r="L310" s="31"/>
    </x:row>
    <x:row r="311">
      <x:c r="A311" s="31"/>
      <x:c r="B311" s="31"/>
      <x:c r="C311" s="31"/>
      <x:c r="D311" s="31" t="n">
        <x:v>307</x:v>
      </x:c>
      <x:c r="E311" s="42" t="n">
        <x:v>0.0038302167558072237</x:v>
      </x:c>
      <x:c r="F311" s="42" t="n">
        <x:v>-0.010712636928976312</x:v>
      </x:c>
      <x:c r="G311" s="43" t="n">
        <x:v>0.9522685578308279</x:v>
      </x:c>
      <x:c r="H311" s="32" t="n">
        <x:v>1270806.0887043364</x:v>
      </x:c>
      <x:c r="I311" s="50" t="b">
        <x:v>0</x:v>
      </x:c>
      <x:c r="J311" s="50" t="b">
        <x:v>0</x:v>
      </x:c>
      <x:c r="K311" s="31"/>
      <x:c r="L311" s="31"/>
    </x:row>
    <x:row r="312">
      <x:c r="A312" s="31"/>
      <x:c r="B312" s="31"/>
      <x:c r="C312" s="31"/>
      <x:c r="D312" s="31" t="n">
        <x:v>308</x:v>
      </x:c>
      <x:c r="E312" s="42" t="n">
        <x:v>0.0031798589215766065</x:v>
      </x:c>
      <x:c r="F312" s="42" t="n">
        <x:v>0.005057789797278119</x:v>
      </x:c>
      <x:c r="G312" s="43" t="n">
        <x:v>1.0664654404883096</x:v>
      </x:c>
      <x:c r="H312" s="32" t="n">
        <x:v>499867.3885318069</x:v>
      </x:c>
      <x:c r="I312" s="50" t="b">
        <x:v>1</x:v>
      </x:c>
      <x:c r="J312" s="50" t="b">
        <x:v>0</x:v>
      </x:c>
      <x:c r="K312" s="31"/>
      <x:c r="L312" s="31"/>
    </x:row>
    <x:row r="313">
      <x:c r="A313" s="31"/>
      <x:c r="B313" s="31"/>
      <x:c r="C313" s="31"/>
      <x:c r="D313" s="31" t="n">
        <x:v>309</x:v>
      </x:c>
      <x:c r="E313" s="42" t="n">
        <x:v>0.0020218679648530036</x:v>
      </x:c>
      <x:c r="F313" s="42" t="n">
        <x:v>-0.007314071670705032</x:v>
      </x:c>
      <x:c r="G313" s="43" t="n">
        <x:v>0.9754008988104972</x:v>
      </x:c>
      <x:c r="H313" s="32" t="n">
        <x:v>1109405.7798264709</x:v>
      </x:c>
      <x:c r="I313" s="50" t="b">
        <x:v>0</x:v>
      </x:c>
      <x:c r="J313" s="50" t="b">
        <x:v>0</x:v>
      </x:c>
      <x:c r="K313" s="31"/>
      <x:c r="L313" s="31"/>
    </x:row>
    <x:row r="314">
      <x:c r="A314" s="31"/>
      <x:c r="B314" s="31"/>
      <x:c r="C314" s="31"/>
      <x:c r="D314" s="31" t="n">
        <x:v>310</x:v>
      </x:c>
      <x:c r="E314" s="42" t="n">
        <x:v>-0.0014875320395727253</x:v>
      </x:c>
      <x:c r="F314" s="42" t="n">
        <x:v>-0.007731884476638387</x:v>
      </x:c>
      <x:c r="G314" s="43" t="n">
        <x:v>0.9912840068391416</x:v>
      </x:c>
      <x:c r="H314" s="32" t="n">
        <x:v>999931.2934789278</x:v>
      </x:c>
      <x:c r="I314" s="50" t="b">
        <x:v>1</x:v>
      </x:c>
      <x:c r="J314" s="50" t="b">
        <x:v>0</x:v>
      </x:c>
      <x:c r="K314" s="31"/>
      <x:c r="L314" s="31"/>
    </x:row>
    <x:row r="315">
      <x:c r="A315" s="31"/>
      <x:c r="B315" s="31"/>
      <x:c r="C315" s="31"/>
      <x:c r="D315" s="31" t="n">
        <x:v>311</x:v>
      </x:c>
      <x:c r="E315" s="42" t="n">
        <x:v>0.006027408074744405</x:v>
      </x:c>
      <x:c r="F315" s="42" t="n">
        <x:v>0.004051663768031023</x:v>
      </x:c>
      <x:c r="G315" s="43" t="n">
        <x:v>1.0156600698127987</x:v>
      </x:c>
      <x:c r="H315" s="32" t="n">
        <x:v>833244.2644239005</x:v>
      </x:c>
      <x:c r="I315" s="50" t="b">
        <x:v>1</x:v>
      </x:c>
      <x:c r="J315" s="50" t="b">
        <x:v>0</x:v>
      </x:c>
      <x:c r="K315" s="31"/>
      <x:c r="L315" s="31"/>
    </x:row>
    <x:row r="316">
      <x:c r="A316" s="31"/>
      <x:c r="B316" s="31"/>
      <x:c r="C316" s="31"/>
      <x:c r="D316" s="31" t="n">
        <x:v>312</x:v>
      </x:c>
      <x:c r="E316" s="42" t="n">
        <x:v>0.0056730359158657755</x:v>
      </x:c>
      <x:c r="F316" s="42" t="n">
        <x:v>-0.007841319048135979</x:v>
      </x:c>
      <x:c r="G316" s="43" t="n">
        <x:v>0.9659534019481743</x:v>
      </x:c>
      <x:c r="H316" s="32" t="n">
        <x:v>1181034.7875754838</x:v>
      </x:c>
      <x:c r="I316" s="50" t="b">
        <x:v>0</x:v>
      </x:c>
      <x:c r="J316" s="50" t="b">
        <x:v>0</x:v>
      </x:c>
      <x:c r="K316" s="31"/>
      <x:c r="L316" s="31"/>
    </x:row>
    <x:row r="317">
      <x:c r="A317" s="31"/>
      <x:c r="B317" s="31"/>
      <x:c r="C317" s="31"/>
      <x:c r="D317" s="31" t="n">
        <x:v>313</x:v>
      </x:c>
      <x:c r="E317" s="42" t="n">
        <x:v>0.0018209319016360965</x:v>
      </x:c>
      <x:c r="F317" s="42" t="n">
        <x:v>-0.0004239753387972258</x:v>
      </x:c>
      <x:c r="G317" s="43" t="n">
        <x:v>1.0431195682234766</x:v>
      </x:c>
      <x:c r="H317" s="32" t="n">
        <x:v>659606.2229096391</x:v>
      </x:c>
      <x:c r="I317" s="50" t="b">
        <x:v>1</x:v>
      </x:c>
      <x:c r="J317" s="50" t="b">
        <x:v>0</x:v>
      </x:c>
      <x:c r="K317" s="31"/>
      <x:c r="L317" s="31"/>
    </x:row>
    <x:row r="318">
      <x:c r="A318" s="31"/>
      <x:c r="B318" s="31"/>
      <x:c r="C318" s="31"/>
      <x:c r="D318" s="31" t="n">
        <x:v>314</x:v>
      </x:c>
      <x:c r="E318" s="42" t="n">
        <x:v>-0.011605908551454467</x:v>
      </x:c>
      <x:c r="F318" s="42" t="n">
        <x:v>-0.00023595084973465923</x:v>
      </x:c>
      <x:c r="G318" s="43" t="n">
        <x:v>0.9804723257790634</x:v>
      </x:c>
      <x:c r="H318" s="32" t="n">
        <x:v>1019563.302634688</x:v>
      </x:c>
      <x:c r="I318" s="50" t="b">
        <x:v>0</x:v>
      </x:c>
      <x:c r="J318" s="50" t="b">
        <x:v>0</x:v>
      </x:c>
      <x:c r="K318" s="31"/>
      <x:c r="L318" s="31"/>
    </x:row>
    <x:row r="319">
      <x:c r="A319" s="31"/>
      <x:c r="B319" s="31"/>
      <x:c r="C319" s="31"/>
      <x:c r="D319" s="31" t="n">
        <x:v>315</x:v>
      </x:c>
      <x:c r="E319" s="42" t="n">
        <x:v>-0.00671782324967015</x:v>
      </x:c>
      <x:c r="F319" s="42" t="n">
        <x:v>-0.0023282441536536243</x:v>
      </x:c>
      <x:c r="G319" s="43" t="n">
        <x:v>0.9527012025702566</x:v>
      </x:c>
      <x:c r="H319" s="32" t="n">
        <x:v>1215359.6418894469</x:v>
      </x:c>
      <x:c r="I319" s="50" t="b">
        <x:v>0</x:v>
      </x:c>
      <x:c r="J319" s="50" t="b">
        <x:v>0</x:v>
      </x:c>
      <x:c r="K319" s="31"/>
      <x:c r="L319" s="31"/>
    </x:row>
    <x:row r="320">
      <x:c r="A320" s="31"/>
      <x:c r="B320" s="31"/>
      <x:c r="C320" s="31"/>
      <x:c r="D320" s="31" t="n">
        <x:v>316</x:v>
      </x:c>
      <x:c r="E320" s="42" t="n">
        <x:v>-0.025001565384946516</x:v>
      </x:c>
      <x:c r="F320" s="42" t="n">
        <x:v>0.0071360407778265226</x:v>
      </x:c>
      <x:c r="G320" s="43" t="n">
        <x:v>1.009081523632068</x:v>
      </x:c>
      <x:c r="H320" s="32" t="n">
        <x:v>780067.4245851964</x:v>
      </x:c>
      <x:c r="I320" s="50" t="b">
        <x:v>1</x:v>
      </x:c>
      <x:c r="J320" s="50" t="b">
        <x:v>0</x:v>
      </x:c>
      <x:c r="K320" s="31"/>
      <x:c r="L320" s="31"/>
    </x:row>
    <x:row r="321">
      <x:c r="A321" s="31"/>
      <x:c r="B321" s="31"/>
      <x:c r="C321" s="31"/>
      <x:c r="D321" s="31" t="n">
        <x:v>317</x:v>
      </x:c>
      <x:c r="E321" s="42" t="n">
        <x:v>-0.006457896920642197</x:v>
      </x:c>
      <x:c r="F321" s="42" t="n">
        <x:v>-0.0019348444795319996</x:v>
      </x:c>
      <x:c r="G321" s="43" t="n">
        <x:v>0.9632433063817514</x:v>
      </x:c>
      <x:c r="H321" s="32" t="n">
        <x:v>1148038.290453611</x:v>
      </x:c>
      <x:c r="I321" s="50" t="b">
        <x:v>0</x:v>
      </x:c>
      <x:c r="J321" s="50" t="b">
        <x:v>0</x:v>
      </x:c>
      <x:c r="K321" s="31"/>
      <x:c r="L321" s="31"/>
    </x:row>
    <x:row r="322">
      <x:c r="A322" s="31"/>
      <x:c r="B322" s="31"/>
      <x:c r="C322" s="31"/>
      <x:c r="D322" s="31" t="n">
        <x:v>318</x:v>
      </x:c>
      <x:c r="E322" s="42" t="n">
        <x:v>0.002900220466855291</x:v>
      </x:c>
      <x:c r="F322" s="42" t="n">
        <x:v>0.0036722476835996188</x:v>
      </x:c>
      <x:c r="G322" s="43" t="n">
        <x:v>0.9884608658822245</x:v>
      </x:c>
      <x:c r="H322" s="32" t="n">
        <x:v>998329.989690311</x:v>
      </x:c>
      <x:c r="I322" s="50" t="b">
        <x:v>1</x:v>
      </x:c>
      <x:c r="J322" s="50" t="b">
        <x:v>0</x:v>
      </x:c>
      <x:c r="K322" s="31"/>
      <x:c r="L322" s="31"/>
    </x:row>
    <x:row r="323">
      <x:c r="A323" s="31"/>
      <x:c r="B323" s="31"/>
      <x:c r="C323" s="31"/>
      <x:c r="D323" s="31" t="n">
        <x:v>319</x:v>
      </x:c>
      <x:c r="E323" s="42" t="n">
        <x:v>-0.014158448578631693</x:v>
      </x:c>
      <x:c r="F323" s="42" t="n">
        <x:v>-0.004153431297336669</x:v>
      </x:c>
      <x:c r="G323" s="43" t="n">
        <x:v>1.0102358245448633</x:v>
      </x:c>
      <x:c r="H323" s="32" t="n">
        <x:v>834343.3480303583</x:v>
      </x:c>
      <x:c r="I323" s="50" t="b">
        <x:v>1</x:v>
      </x:c>
      <x:c r="J323" s="50" t="b">
        <x:v>0</x:v>
      </x:c>
      <x:c r="K323" s="31"/>
      <x:c r="L323" s="31"/>
    </x:row>
    <x:row r="324">
      <x:c r="A324" s="31"/>
      <x:c r="B324" s="31"/>
      <x:c r="C324" s="31"/>
      <x:c r="D324" s="31" t="n">
        <x:v>320</x:v>
      </x:c>
      <x:c r="E324" s="42" t="n">
        <x:v>-0.011989821441259338</x:v>
      </x:c>
      <x:c r="F324" s="42" t="n">
        <x:v>-0.006505644682888621</x:v>
      </x:c>
      <x:c r="G324" s="43" t="n">
        <x:v>0.981821396587852</x:v>
      </x:c>
      <x:c r="H324" s="32" t="n">
        <x:v>1027378.9492705743</x:v>
      </x:c>
      <x:c r="I324" s="50" t="b">
        <x:v>0</x:v>
      </x:c>
      <x:c r="J324" s="50" t="b">
        <x:v>0</x:v>
      </x:c>
      <x:c r="K324" s="31"/>
      <x:c r="L324" s="31"/>
    </x:row>
    <x:row r="325">
      <x:c r="A325" s="31"/>
      <x:c r="B325" s="31"/>
      <x:c r="C325" s="31"/>
      <x:c r="D325" s="31" t="n">
        <x:v>321</x:v>
      </x:c>
      <x:c r="E325" s="42" t="n">
        <x:v>-0.01443411421939715</x:v>
      </x:c>
      <x:c r="F325" s="42" t="n">
        <x:v>0.001054393674482243</x:v>
      </x:c>
      <x:c r="G325" s="43" t="n">
        <x:v>0.921927284949758</x:v>
      </x:c>
      <x:c r="H325" s="32" t="n">
        <x:v>1379901.6994129817</x:v>
      </x:c>
      <x:c r="I325" s="50" t="b">
        <x:v>0</x:v>
      </x:c>
      <x:c r="J325" s="50" t="b">
        <x:v>0</x:v>
      </x:c>
      <x:c r="K325" s="31"/>
      <x:c r="L325" s="31"/>
    </x:row>
    <x:row r="326">
      <x:c r="A326" s="31"/>
      <x:c r="B326" s="31"/>
      <x:c r="C326" s="31"/>
      <x:c r="D326" s="31" t="n">
        <x:v>322</x:v>
      </x:c>
      <x:c r="E326" s="42" t="n">
        <x:v>0.00681962285740403</x:v>
      </x:c>
      <x:c r="F326" s="42" t="n">
        <x:v>0.008483810824064901</x:v>
      </x:c>
      <x:c r="G326" s="43" t="n">
        <x:v>0.9371607570994615</x:v>
      </x:c>
      <x:c r="H326" s="32" t="n">
        <x:v>1321638.6634355932</x:v>
      </x:c>
      <x:c r="I326" s="50" t="b">
        <x:v>0</x:v>
      </x:c>
      <x:c r="J326" s="50" t="b">
        <x:v>0</x:v>
      </x:c>
      <x:c r="K326" s="31"/>
      <x:c r="L326" s="31"/>
    </x:row>
    <x:row r="327">
      <x:c r="A327" s="31"/>
      <x:c r="B327" s="31"/>
      <x:c r="C327" s="31"/>
      <x:c r="D327" s="31" t="n">
        <x:v>323</x:v>
      </x:c>
      <x:c r="E327" s="42" t="n">
        <x:v>0.015150714064269473</x:v>
      </x:c>
      <x:c r="F327" s="42" t="n">
        <x:v>0.0020966263976428933</x:v>
      </x:c>
      <x:c r="G327" s="43" t="n">
        <x:v>0.9791798451068251</x:v>
      </x:c>
      <x:c r="H327" s="32" t="n">
        <x:v>1095756.3419496273</x:v>
      </x:c>
      <x:c r="I327" s="50" t="b">
        <x:v>0</x:v>
      </x:c>
      <x:c r="J327" s="50" t="b">
        <x:v>0</x:v>
      </x:c>
      <x:c r="K327" s="31"/>
      <x:c r="L327" s="31"/>
    </x:row>
    <x:row r="328">
      <x:c r="A328" s="31"/>
      <x:c r="B328" s="31"/>
      <x:c r="C328" s="31"/>
      <x:c r="D328" s="31" t="n">
        <x:v>324</x:v>
      </x:c>
      <x:c r="E328" s="42" t="n">
        <x:v>-0.006679782226218908</x:v>
      </x:c>
      <x:c r="F328" s="42" t="n">
        <x:v>-0.0032461601570556962</x:v>
      </x:c>
      <x:c r="G328" s="43" t="n">
        <x:v>0.9727527113790402</x:v>
      </x:c>
      <x:c r="H328" s="32" t="n">
        <x:v>1090679.287478383</x:v>
      </x:c>
      <x:c r="I328" s="50" t="b">
        <x:v>0</x:v>
      </x:c>
      <x:c r="J328" s="50" t="b">
        <x:v>0</x:v>
      </x:c>
      <x:c r="K328" s="31"/>
      <x:c r="L328" s="31"/>
    </x:row>
    <x:row r="329">
      <x:c r="A329" s="31"/>
      <x:c r="B329" s="31"/>
      <x:c r="C329" s="31"/>
      <x:c r="D329" s="31" t="n">
        <x:v>325</x:v>
      </x:c>
      <x:c r="E329" s="42" t="n">
        <x:v>0.006053223908922288</x:v>
      </x:c>
      <x:c r="F329" s="42" t="n">
        <x:v>-0.007596589215616787</x:v>
      </x:c>
      <x:c r="G329" s="43" t="n">
        <x:v>1.0448516273939692</x:v>
      </x:c>
      <x:c r="H329" s="32" t="n">
        <x:v>680352.2288168636</x:v>
      </x:c>
      <x:c r="I329" s="50" t="b">
        <x:v>1</x:v>
      </x:c>
      <x:c r="J329" s="50" t="b">
        <x:v>0</x:v>
      </x:c>
      <x:c r="K329" s="31"/>
      <x:c r="L329" s="31"/>
    </x:row>
    <x:row r="330">
      <x:c r="A330" s="31"/>
      <x:c r="B330" s="31"/>
      <x:c r="C330" s="31"/>
      <x:c r="D330" s="31" t="n">
        <x:v>326</x:v>
      </x:c>
      <x:c r="E330" s="42" t="n">
        <x:v>0.01861714082368716</x:v>
      </x:c>
      <x:c r="F330" s="42" t="n">
        <x:v>0.008697384165014355</x:v>
      </x:c>
      <x:c r="G330" s="43" t="n">
        <x:v>1.0101304615000464</x:v>
      </x:c>
      <x:c r="H330" s="32" t="n">
        <x:v>890473.5279073655</x:v>
      </x:c>
      <x:c r="I330" s="50" t="b">
        <x:v>1</x:v>
      </x:c>
      <x:c r="J330" s="50" t="b">
        <x:v>0</x:v>
      </x:c>
      <x:c r="K330" s="31"/>
      <x:c r="L330" s="31"/>
    </x:row>
    <x:row r="331">
      <x:c r="A331" s="31"/>
      <x:c r="B331" s="31"/>
      <x:c r="C331" s="31"/>
      <x:c r="D331" s="31" t="n">
        <x:v>327</x:v>
      </x:c>
      <x:c r="E331" s="42" t="n">
        <x:v>-0.004835923806029382</x:v>
      </x:c>
      <x:c r="F331" s="42" t="n">
        <x:v>0.002946622328744546</x:v>
      </x:c>
      <x:c r="G331" s="43" t="n">
        <x:v>0.9972393223384011</x:v>
      </x:c>
      <x:c r="H331" s="32" t="n">
        <x:v>923066.6392348009</x:v>
      </x:c>
      <x:c r="I331" s="50" t="b">
        <x:v>1</x:v>
      </x:c>
      <x:c r="J331" s="50" t="b">
        <x:v>0</x:v>
      </x:c>
      <x:c r="K331" s="31"/>
      <x:c r="L331" s="31"/>
    </x:row>
    <x:row r="332">
      <x:c r="A332" s="31"/>
      <x:c r="B332" s="31"/>
      <x:c r="C332" s="31"/>
      <x:c r="D332" s="31" t="n">
        <x:v>328</x:v>
      </x:c>
      <x:c r="E332" s="42" t="n">
        <x:v>-0.003289132618184632</x:v>
      </x:c>
      <x:c r="F332" s="42" t="n">
        <x:v>0.010355003924203134</x:v>
      </x:c>
      <x:c r="G332" s="43" t="n">
        <x:v>1.0795309051795363</x:v>
      </x:c>
      <x:c r="H332" s="32" t="n">
        <x:v>384140.94012132357</x:v>
      </x:c>
      <x:c r="I332" s="50" t="b">
        <x:v>1</x:v>
      </x:c>
      <x:c r="J332" s="50" t="b">
        <x:v>0</x:v>
      </x:c>
      <x:c r="K332" s="31"/>
      <x:c r="L332" s="31"/>
    </x:row>
    <x:row r="333">
      <x:c r="A333" s="31"/>
      <x:c r="B333" s="31"/>
      <x:c r="C333" s="31"/>
      <x:c r="D333" s="31" t="n">
        <x:v>329</x:v>
      </x:c>
      <x:c r="E333" s="42" t="n">
        <x:v>-0.007857417876664411</x:v>
      </x:c>
      <x:c r="F333" s="42" t="n">
        <x:v>0.002509819709930279</x:v>
      </x:c>
      <x:c r="G333" s="43" t="n">
        <x:v>0.9972836930329134</x:v>
      </x:c>
      <x:c r="H333" s="32" t="n">
        <x:v>915590.3079507528</x:v>
      </x:c>
      <x:c r="I333" s="50" t="b">
        <x:v>1</x:v>
      </x:c>
      <x:c r="J333" s="50" t="b">
        <x:v>0</x:v>
      </x:c>
      <x:c r="K333" s="31"/>
      <x:c r="L333" s="31"/>
    </x:row>
    <x:row r="334">
      <x:c r="A334" s="31"/>
      <x:c r="B334" s="31"/>
      <x:c r="C334" s="31"/>
      <x:c r="D334" s="31" t="n">
        <x:v>330</x:v>
      </x:c>
      <x:c r="E334" s="42" t="n">
        <x:v>-0.0017949984878727347</x:v>
      </x:c>
      <x:c r="F334" s="42" t="n">
        <x:v>0.0028558935188642163</x:v>
      </x:c>
      <x:c r="G334" s="43" t="n">
        <x:v>1.105844487077477</x:v>
      </x:c>
      <x:c r="H334" s="32" t="n">
        <x:v>242063.95455362997</x:v>
      </x:c>
      <x:c r="I334" s="50" t="b">
        <x:v>1</x:v>
      </x:c>
      <x:c r="J334" s="50" t="b">
        <x:v>0</x:v>
      </x:c>
      <x:c r="K334" s="31"/>
      <x:c r="L334" s="31"/>
    </x:row>
    <x:row r="335">
      <x:c r="A335" s="31"/>
      <x:c r="B335" s="31"/>
      <x:c r="C335" s="31"/>
      <x:c r="D335" s="31" t="n">
        <x:v>331</x:v>
      </x:c>
      <x:c r="E335" s="42" t="n">
        <x:v>-0.014899099525305897</x:v>
      </x:c>
      <x:c r="F335" s="42" t="n">
        <x:v>-0.0061677599893595544</x:v>
      </x:c>
      <x:c r="G335" s="43" t="n">
        <x:v>1.0137982438459776</x:v>
      </x:c>
      <x:c r="H335" s="32" t="n">
        <x:v>815264.7726984334</x:v>
      </x:c>
      <x:c r="I335" s="50" t="b">
        <x:v>1</x:v>
      </x:c>
      <x:c r="J335" s="50" t="b">
        <x:v>0</x:v>
      </x:c>
      <x:c r="K335" s="31"/>
      <x:c r="L335" s="31"/>
    </x:row>
    <x:row r="336">
      <x:c r="A336" s="31"/>
      <x:c r="B336" s="31"/>
      <x:c r="C336" s="31"/>
      <x:c r="D336" s="31" t="n">
        <x:v>332</x:v>
      </x:c>
      <x:c r="E336" s="42" t="n">
        <x:v>-0.0001373860477241657</x:v>
      </x:c>
      <x:c r="F336" s="42" t="n">
        <x:v>-0.0017007990199817038</x:v>
      </x:c>
      <x:c r="G336" s="43" t="n">
        <x:v>1.0337948981752532</x:v>
      </x:c>
      <x:c r="H336" s="32" t="n">
        <x:v>716927.5273110501</x:v>
      </x:c>
      <x:c r="I336" s="50" t="b">
        <x:v>1</x:v>
      </x:c>
      <x:c r="J336" s="50" t="b">
        <x:v>0</x:v>
      </x:c>
      <x:c r="K336" s="31"/>
      <x:c r="L336" s="31"/>
    </x:row>
    <x:row r="337">
      <x:c r="A337" s="31"/>
      <x:c r="B337" s="31"/>
      <x:c r="C337" s="31"/>
      <x:c r="D337" s="31" t="n">
        <x:v>333</x:v>
      </x:c>
      <x:c r="E337" s="42" t="n">
        <x:v>-0.0011334322792872357</x:v>
      </x:c>
      <x:c r="F337" s="42" t="n">
        <x:v>0.00897935757054579</x:v>
      </x:c>
      <x:c r="G337" s="43" t="n">
        <x:v>0.9722717301840068</x:v>
      </x:c>
      <x:c r="H337" s="32" t="n">
        <x:v>1075142.2471411945</x:v>
      </x:c>
      <x:c r="I337" s="50" t="b">
        <x:v>0</x:v>
      </x:c>
      <x:c r="J337" s="50" t="b">
        <x:v>0</x:v>
      </x:c>
      <x:c r="K337" s="31"/>
      <x:c r="L337" s="31"/>
    </x:row>
    <x:row r="338">
      <x:c r="A338" s="31"/>
      <x:c r="B338" s="31"/>
      <x:c r="C338" s="31"/>
      <x:c r="D338" s="31" t="n">
        <x:v>334</x:v>
      </x:c>
      <x:c r="E338" s="42" t="n">
        <x:v>-0.0006940625943480541</x:v>
      </x:c>
      <x:c r="F338" s="42" t="n">
        <x:v>-0.001571438019015418</x:v>
      </x:c>
      <x:c r="G338" s="43" t="n">
        <x:v>1.0024889400897465</x:v>
      </x:c>
      <x:c r="H338" s="32" t="n">
        <x:v>913832.9322044682</x:v>
      </x:c>
      <x:c r="I338" s="50" t="b">
        <x:v>1</x:v>
      </x:c>
      <x:c r="J338" s="50" t="b">
        <x:v>0</x:v>
      </x:c>
      <x:c r="K338" s="31"/>
      <x:c r="L338" s="31"/>
    </x:row>
    <x:row r="339">
      <x:c r="A339" s="31"/>
      <x:c r="B339" s="31"/>
      <x:c r="C339" s="31"/>
      <x:c r="D339" s="31" t="n">
        <x:v>335</x:v>
      </x:c>
      <x:c r="E339" s="42" t="n">
        <x:v>-0.0086004953678692</x:v>
      </x:c>
      <x:c r="F339" s="42" t="n">
        <x:v>-0.000241236716733867</x:v>
      </x:c>
      <x:c r="G339" s="43" t="n">
        <x:v>1.0381585714489272</x:v>
      </x:c>
      <x:c r="H339" s="32" t="n">
        <x:v>661595.1351324547</x:v>
      </x:c>
      <x:c r="I339" s="50" t="b">
        <x:v>1</x:v>
      </x:c>
      <x:c r="J339" s="50" t="b">
        <x:v>0</x:v>
      </x:c>
      <x:c r="K339" s="31"/>
      <x:c r="L339" s="31"/>
    </x:row>
    <x:row r="340">
      <x:c r="A340" s="31"/>
      <x:c r="B340" s="31"/>
      <x:c r="C340" s="31"/>
      <x:c r="D340" s="31" t="n">
        <x:v>336</x:v>
      </x:c>
      <x:c r="E340" s="42" t="n">
        <x:v>-0.006907887806316944</x:v>
      </x:c>
      <x:c r="F340" s="42" t="n">
        <x:v>-0.00005162847319418085</x:v>
      </x:c>
      <x:c r="G340" s="43" t="n">
        <x:v>0.9663377231835791</x:v>
      </x:c>
      <x:c r="H340" s="32" t="n">
        <x:v>1121892.0191053099</x:v>
      </x:c>
      <x:c r="I340" s="50" t="b">
        <x:v>0</x:v>
      </x:c>
      <x:c r="J340" s="50" t="b">
        <x:v>0</x:v>
      </x:c>
      <x:c r="K340" s="31"/>
      <x:c r="L340" s="31"/>
    </x:row>
    <x:row r="341">
      <x:c r="A341" s="31"/>
      <x:c r="B341" s="31"/>
      <x:c r="C341" s="31"/>
      <x:c r="D341" s="31" t="n">
        <x:v>337</x:v>
      </x:c>
      <x:c r="E341" s="42" t="n">
        <x:v>-0.0222367366027633</x:v>
      </x:c>
      <x:c r="F341" s="42" t="n">
        <x:v>0.002853121178038196</x:v>
      </x:c>
      <x:c r="G341" s="43" t="n">
        <x:v>1.0469293770183234</x:v>
      </x:c>
      <x:c r="H341" s="32" t="n">
        <x:v>559324.3144988352</x:v>
      </x:c>
      <x:c r="I341" s="50" t="b">
        <x:v>1</x:v>
      </x:c>
      <x:c r="J341" s="50" t="b">
        <x:v>0</x:v>
      </x:c>
      <x:c r="K341" s="31"/>
      <x:c r="L341" s="31"/>
    </x:row>
    <x:row r="342">
      <x:c r="A342" s="31"/>
      <x:c r="B342" s="31"/>
      <x:c r="C342" s="31"/>
      <x:c r="D342" s="31" t="n">
        <x:v>338</x:v>
      </x:c>
      <x:c r="E342" s="42" t="n">
        <x:v>0.010731016119321056</x:v>
      </x:c>
      <x:c r="F342" s="42" t="n">
        <x:v>0.0036274697889785855</x:v>
      </x:c>
      <x:c r="G342" s="43" t="n">
        <x:v>0.9785079714840692</x:v>
      </x:c>
      <x:c r="H342" s="32" t="n">
        <x:v>1083459.7515828633</x:v>
      </x:c>
      <x:c r="I342" s="50" t="b">
        <x:v>0</x:v>
      </x:c>
      <x:c r="J342" s="50" t="b">
        <x:v>0</x:v>
      </x:c>
      <x:c r="K342" s="31"/>
      <x:c r="L342" s="31"/>
    </x:row>
    <x:row r="343">
      <x:c r="A343" s="31"/>
      <x:c r="B343" s="31"/>
      <x:c r="C343" s="31"/>
      <x:c r="D343" s="31" t="n">
        <x:v>339</x:v>
      </x:c>
      <x:c r="E343" s="42" t="n">
        <x:v>-0.0037693586108377957</x:v>
      </x:c>
      <x:c r="F343" s="42" t="n">
        <x:v>-0.01107018882303559</x:v>
      </x:c>
      <x:c r="G343" s="43" t="n">
        <x:v>0.9530039668857555</x:v>
      </x:c>
      <x:c r="H343" s="32" t="n">
        <x:v>1245977.3875027765</x:v>
      </x:c>
      <x:c r="I343" s="50" t="b">
        <x:v>0</x:v>
      </x:c>
      <x:c r="J343" s="50" t="b">
        <x:v>0</x:v>
      </x:c>
      <x:c r="K343" s="31"/>
      <x:c r="L343" s="31"/>
    </x:row>
    <x:row r="344">
      <x:c r="A344" s="31"/>
      <x:c r="B344" s="31"/>
      <x:c r="C344" s="31"/>
      <x:c r="D344" s="31" t="n">
        <x:v>340</x:v>
      </x:c>
      <x:c r="E344" s="42" t="n">
        <x:v>0.0008361566602588255</x:v>
      </x:c>
      <x:c r="F344" s="42" t="n">
        <x:v>0.0039170558173134366</x:v>
      </x:c>
      <x:c r="G344" s="43" t="n">
        <x:v>0.9675841506239082</x:v>
      </x:c>
      <x:c r="H344" s="32" t="n">
        <x:v>1124485.1208398303</x:v>
      </x:c>
      <x:c r="I344" s="50" t="b">
        <x:v>0</x:v>
      </x:c>
      <x:c r="J344" s="50" t="b">
        <x:v>0</x:v>
      </x:c>
      <x:c r="K344" s="31"/>
      <x:c r="L344" s="31"/>
    </x:row>
    <x:row r="345">
      <x:c r="A345" s="31"/>
      <x:c r="B345" s="31"/>
      <x:c r="C345" s="31"/>
      <x:c r="D345" s="31" t="n">
        <x:v>341</x:v>
      </x:c>
      <x:c r="E345" s="42" t="n">
        <x:v>0.028835477129867088</x:v>
      </x:c>
      <x:c r="F345" s="42" t="n">
        <x:v>0.00024606340507836</x:v>
      </x:c>
      <x:c r="G345" s="43" t="n">
        <x:v>1.1220750102344386</x:v>
      </x:c>
      <x:c r="H345" s="32" t="n">
        <x:v>231513.7654079597</x:v>
      </x:c>
      <x:c r="I345" s="50" t="b">
        <x:v>1</x:v>
      </x:c>
      <x:c r="J345" s="50" t="b">
        <x:v>0</x:v>
      </x:c>
      <x:c r="K345" s="31"/>
      <x:c r="L345" s="31"/>
    </x:row>
    <x:row r="346">
      <x:c r="A346" s="31"/>
      <x:c r="B346" s="31"/>
      <x:c r="C346" s="31"/>
      <x:c r="D346" s="31" t="n">
        <x:v>342</x:v>
      </x:c>
      <x:c r="E346" s="42" t="n">
        <x:v>0.027798586666355665</x:v>
      </x:c>
      <x:c r="F346" s="42" t="n">
        <x:v>0.005467864191255609</x:v>
      </x:c>
      <x:c r="G346" s="43" t="n">
        <x:v>0.9959293653533393</x:v>
      </x:c>
      <x:c r="H346" s="32" t="n">
        <x:v>1015206.7445154685</x:v>
      </x:c>
      <x:c r="I346" s="50" t="b">
        <x:v>0</x:v>
      </x:c>
      <x:c r="J346" s="50" t="b">
        <x:v>0</x:v>
      </x:c>
      <x:c r="K346" s="31"/>
      <x:c r="L346" s="31"/>
    </x:row>
    <x:row r="347">
      <x:c r="A347" s="31"/>
      <x:c r="B347" s="31"/>
      <x:c r="C347" s="31"/>
      <x:c r="D347" s="31" t="n">
        <x:v>343</x:v>
      </x:c>
      <x:c r="E347" s="42" t="n">
        <x:v>0.01600978509478333</x:v>
      </x:c>
      <x:c r="F347" s="42" t="n">
        <x:v>-0.0005828021569461982</x:v>
      </x:c>
      <x:c r="G347" s="43" t="n">
        <x:v>0.9642810466782149</x:v>
      </x:c>
      <x:c r="H347" s="32" t="n">
        <x:v>1200223.7557554056</x:v>
      </x:c>
      <x:c r="I347" s="50" t="b">
        <x:v>0</x:v>
      </x:c>
      <x:c r="J347" s="50" t="b">
        <x:v>0</x:v>
      </x:c>
      <x:c r="K347" s="31"/>
      <x:c r="L347" s="31"/>
    </x:row>
    <x:row r="348">
      <x:c r="A348" s="31"/>
      <x:c r="B348" s="31"/>
      <x:c r="C348" s="31"/>
      <x:c r="D348" s="31" t="n">
        <x:v>344</x:v>
      </x:c>
      <x:c r="E348" s="42" t="n">
        <x:v>0.002160315794109388</x:v>
      </x:c>
      <x:c r="F348" s="42" t="n">
        <x:v>-0.0034342212684355168</x:v>
      </x:c>
      <x:c r="G348" s="43" t="n">
        <x:v>0.9503217935604374</x:v>
      </x:c>
      <x:c r="H348" s="32" t="n">
        <x:v>1258261.5829057428</x:v>
      </x:c>
      <x:c r="I348" s="50" t="b">
        <x:v>0</x:v>
      </x:c>
      <x:c r="J348" s="50" t="b">
        <x:v>0</x:v>
      </x:c>
      <x:c r="K348" s="31"/>
      <x:c r="L348" s="31"/>
    </x:row>
    <x:row r="349">
      <x:c r="A349" s="31"/>
      <x:c r="B349" s="31"/>
      <x:c r="C349" s="31"/>
      <x:c r="D349" s="31" t="n">
        <x:v>345</x:v>
      </x:c>
      <x:c r="E349" s="42" t="n">
        <x:v>0.0059003296459835455</x:v>
      </x:c>
      <x:c r="F349" s="42" t="n">
        <x:v>-0.002684112718370225</x:v>
      </x:c>
      <x:c r="G349" s="43" t="n">
        <x:v>1.118672556826669</x:v>
      </x:c>
      <x:c r="H349" s="32" t="n">
        <x:v>197437.47304283665</x:v>
      </x:c>
      <x:c r="I349" s="50" t="b">
        <x:v>1</x:v>
      </x:c>
      <x:c r="J349" s="50" t="b">
        <x:v>0</x:v>
      </x:c>
      <x:c r="K349" s="31"/>
      <x:c r="L349" s="31"/>
    </x:row>
    <x:row r="350">
      <x:c r="A350" s="31"/>
      <x:c r="B350" s="31"/>
      <x:c r="C350" s="31"/>
      <x:c r="D350" s="31" t="n">
        <x:v>346</x:v>
      </x:c>
      <x:c r="E350" s="42" t="n">
        <x:v>-0.005257275841622358</x:v>
      </x:c>
      <x:c r="F350" s="42" t="n">
        <x:v>0.0038032985900362092</x:v>
      </x:c>
      <x:c r="G350" s="43" t="n">
        <x:v>0.9715440406616852</x:v>
      </x:c>
      <x:c r="H350" s="32" t="n">
        <x:v>1082692.455918639</x:v>
      </x:c>
      <x:c r="I350" s="50" t="b">
        <x:v>0</x:v>
      </x:c>
      <x:c r="J350" s="50" t="b">
        <x:v>0</x:v>
      </x:c>
      <x:c r="K350" s="31"/>
      <x:c r="L350" s="31"/>
    </x:row>
    <x:row r="351">
      <x:c r="A351" s="31"/>
      <x:c r="B351" s="31"/>
      <x:c r="C351" s="31"/>
      <x:c r="D351" s="31" t="n">
        <x:v>347</x:v>
      </x:c>
      <x:c r="E351" s="42" t="n">
        <x:v>-0.026317384748937564</x:v>
      </x:c>
      <x:c r="F351" s="42" t="n">
        <x:v>0.013215032767210786</x:v>
      </x:c>
      <x:c r="G351" s="43" t="n">
        <x:v>1.070487649624406</x:v>
      </x:c>
      <x:c r="H351" s="32" t="n">
        <x:v>369511.41364851105</x:v>
      </x:c>
      <x:c r="I351" s="50" t="b">
        <x:v>1</x:v>
      </x:c>
      <x:c r="J351" s="50" t="b">
        <x:v>0</x:v>
      </x:c>
      <x:c r="K351" s="31"/>
      <x:c r="L351" s="31"/>
    </x:row>
    <x:row r="352">
      <x:c r="A352" s="31"/>
      <x:c r="B352" s="31"/>
      <x:c r="C352" s="31"/>
      <x:c r="D352" s="31" t="n">
        <x:v>348</x:v>
      </x:c>
      <x:c r="E352" s="42" t="n">
        <x:v>-0.009132598358219217</x:v>
      </x:c>
      <x:c r="F352" s="42" t="n">
        <x:v>-0.007989125104275728</x:v>
      </x:c>
      <x:c r="G352" s="43" t="n">
        <x:v>0.9709205961858682</x:v>
      </x:c>
      <x:c r="H352" s="32" t="n">
        <x:v>1108689.1965025757</x:v>
      </x:c>
      <x:c r="I352" s="50" t="b">
        <x:v>0</x:v>
      </x:c>
      <x:c r="J352" s="50" t="b">
        <x:v>0</x:v>
      </x:c>
      <x:c r="K352" s="31"/>
      <x:c r="L352" s="31"/>
    </x:row>
    <x:row r="353">
      <x:c r="A353" s="31"/>
      <x:c r="B353" s="31"/>
      <x:c r="C353" s="31"/>
      <x:c r="D353" s="31" t="n">
        <x:v>349</x:v>
      </x:c>
      <x:c r="E353" s="42" t="n">
        <x:v>0.01277840250957782</x:v>
      </x:c>
      <x:c r="F353" s="42" t="n">
        <x:v>0.004564398202877959</x:v>
      </x:c>
      <x:c r="G353" s="43" t="n">
        <x:v>1.0231764309719937</x:v>
      </x:c>
      <x:c r="H353" s="32" t="n">
        <x:v>802874.3827513575</x:v>
      </x:c>
      <x:c r="I353" s="50" t="b">
        <x:v>1</x:v>
      </x:c>
      <x:c r="J353" s="50" t="b">
        <x:v>0</x:v>
      </x:c>
      <x:c r="K353" s="31"/>
      <x:c r="L353" s="31"/>
    </x:row>
    <x:row r="354">
      <x:c r="A354" s="31"/>
      <x:c r="B354" s="31"/>
      <x:c r="C354" s="31"/>
      <x:c r="D354" s="31" t="n">
        <x:v>350</x:v>
      </x:c>
      <x:c r="E354" s="42" t="n">
        <x:v>-0.012530200662926814</x:v>
      </x:c>
      <x:c r="F354" s="42" t="n">
        <x:v>-0.007967433231672398</x:v>
      </x:c>
      <x:c r="G354" s="43" t="n">
        <x:v>1.0469234512251104</x:v>
      </x:c>
      <x:c r="H354" s="32" t="n">
        <x:v>616499.5584810807</x:v>
      </x:c>
      <x:c r="I354" s="50" t="b">
        <x:v>1</x:v>
      </x:c>
      <x:c r="J354" s="50" t="b">
        <x:v>0</x:v>
      </x:c>
      <x:c r="K354" s="31"/>
      <x:c r="L354" s="31"/>
    </x:row>
    <x:row r="355">
      <x:c r="A355" s="31"/>
      <x:c r="B355" s="31"/>
      <x:c r="C355" s="31"/>
      <x:c r="D355" s="31" t="n">
        <x:v>351</x:v>
      </x:c>
      <x:c r="E355" s="42" t="n">
        <x:v>0.020972538120646186</x:v>
      </x:c>
      <x:c r="F355" s="42" t="n">
        <x:v>0.0029740098333536744</x:v>
      </x:c>
      <x:c r="G355" s="43" t="n">
        <x:v>1.0140477732202606</x:v>
      </x:c>
      <x:c r="H355" s="32" t="n">
        <x:v>888083.2640373798</x:v>
      </x:c>
      <x:c r="I355" s="50" t="b">
        <x:v>1</x:v>
      </x:c>
      <x:c r="J355" s="50" t="b">
        <x:v>0</x:v>
      </x:c>
      <x:c r="K355" s="31"/>
      <x:c r="L355" s="31"/>
    </x:row>
    <x:row r="356">
      <x:c r="A356" s="31"/>
      <x:c r="B356" s="31"/>
      <x:c r="C356" s="31"/>
      <x:c r="D356" s="31" t="n">
        <x:v>352</x:v>
      </x:c>
      <x:c r="E356" s="42" t="n">
        <x:v>0.02325755740675657</x:v>
      </x:c>
      <x:c r="F356" s="42" t="n">
        <x:v>0.003233110766858136</x:v>
      </x:c>
      <x:c r="G356" s="43" t="n">
        <x:v>1.0231896885852017</x:v>
      </x:c>
      <x:c r="H356" s="32" t="n">
        <x:v>835664.8155468635</x:v>
      </x:c>
      <x:c r="I356" s="50" t="b">
        <x:v>1</x:v>
      </x:c>
      <x:c r="J356" s="50" t="b">
        <x:v>0</x:v>
      </x:c>
      <x:c r="K356" s="31"/>
      <x:c r="L356" s="31"/>
    </x:row>
    <x:row r="357">
      <x:c r="A357" s="31"/>
      <x:c r="B357" s="31"/>
      <x:c r="C357" s="31"/>
      <x:c r="D357" s="31" t="n">
        <x:v>353</x:v>
      </x:c>
      <x:c r="E357" s="42" t="n">
        <x:v>-0.009310219372389626</x:v>
      </x:c>
      <x:c r="F357" s="42" t="n">
        <x:v>0.007425722621682379</x:v>
      </x:c>
      <x:c r="G357" s="43" t="n">
        <x:v>0.979926654619824</x:v>
      </x:c>
      <x:c r="H357" s="32" t="n">
        <x:v>1008092.3647336935</x:v>
      </x:c>
      <x:c r="I357" s="50" t="b">
        <x:v>0</x:v>
      </x:c>
      <x:c r="J357" s="50" t="b">
        <x:v>0</x:v>
      </x:c>
      <x:c r="K357" s="31"/>
      <x:c r="L357" s="31"/>
    </x:row>
    <x:row r="358">
      <x:c r="A358" s="31"/>
      <x:c r="B358" s="31"/>
      <x:c r="C358" s="31"/>
      <x:c r="D358" s="31" t="n">
        <x:v>354</x:v>
      </x:c>
      <x:c r="E358" s="42" t="n">
        <x:v>0.02408147520451838</x:v>
      </x:c>
      <x:c r="F358" s="42" t="n">
        <x:v>-0.00595535464098544</x:v>
      </x:c>
      <x:c r="G358" s="43" t="n">
        <x:v>1.084686470365999</x:v>
      </x:c>
      <x:c r="H358" s="32" t="n">
        <x:v>472986.3880572496</x:v>
      </x:c>
      <x:c r="I358" s="50" t="b">
        <x:v>1</x:v>
      </x:c>
      <x:c r="J358" s="50" t="b">
        <x:v>0</x:v>
      </x:c>
      <x:c r="K358" s="31"/>
      <x:c r="L358" s="31"/>
    </x:row>
    <x:row r="359">
      <x:c r="A359" s="31"/>
      <x:c r="B359" s="31"/>
      <x:c r="C359" s="31"/>
      <x:c r="D359" s="31" t="n">
        <x:v>355</x:v>
      </x:c>
      <x:c r="E359" s="42" t="n">
        <x:v>-0.009438964499694502</x:v>
      </x:c>
      <x:c r="F359" s="42" t="n">
        <x:v>0.00006589939555102442</x:v>
      </x:c>
      <x:c r="G359" s="43" t="n">
        <x:v>0.9636308505291986</x:v>
      </x:c>
      <x:c r="H359" s="32" t="n">
        <x:v>1131710.1280363821</x:v>
      </x:c>
      <x:c r="I359" s="50" t="b">
        <x:v>0</x:v>
      </x:c>
      <x:c r="J359" s="50" t="b">
        <x:v>0</x:v>
      </x:c>
      <x:c r="K359" s="31"/>
      <x:c r="L359" s="31"/>
    </x:row>
    <x:row r="360">
      <x:c r="A360" s="31"/>
      <x:c r="B360" s="31"/>
      <x:c r="C360" s="31"/>
      <x:c r="D360" s="31" t="n">
        <x:v>356</x:v>
      </x:c>
      <x:c r="E360" s="42" t="n">
        <x:v>-0.0047163785208877915</x:v>
      </x:c>
      <x:c r="F360" s="42" t="n">
        <x:v>-0.006861161953141925</x:v>
      </x:c>
      <x:c r="G360" s="43" t="n">
        <x:v>0.9733563463409801</x:v>
      </x:c>
      <x:c r="H360" s="32" t="n">
        <x:v>1102373.393324648</x:v>
      </x:c>
      <x:c r="I360" s="50" t="b">
        <x:v>0</x:v>
      </x:c>
      <x:c r="J360" s="50" t="b">
        <x:v>0</x:v>
      </x:c>
      <x:c r="K360" s="31"/>
      <x:c r="L360" s="31"/>
    </x:row>
    <x:row r="361">
      <x:c r="A361" s="31"/>
      <x:c r="B361" s="31"/>
      <x:c r="C361" s="31"/>
      <x:c r="D361" s="31" t="n">
        <x:v>357</x:v>
      </x:c>
      <x:c r="E361" s="42" t="n">
        <x:v>-0.010604490796276756</x:v>
      </x:c>
      <x:c r="F361" s="42" t="n">
        <x:v>0.0023414913617586957</x:v>
      </x:c>
      <x:c r="G361" s="43" t="n">
        <x:v>0.9859244564034746</x:v>
      </x:c>
      <x:c r="H361" s="32" t="n">
        <x:v>980551.5128066358</x:v>
      </x:c>
      <x:c r="I361" s="50" t="b">
        <x:v>1</x:v>
      </x:c>
      <x:c r="J361" s="50" t="b">
        <x:v>0</x:v>
      </x:c>
      <x:c r="K361" s="31"/>
      <x:c r="L361" s="31"/>
    </x:row>
    <x:row r="362">
      <x:c r="A362" s="31"/>
      <x:c r="B362" s="31"/>
      <x:c r="C362" s="31"/>
      <x:c r="D362" s="31" t="n">
        <x:v>358</x:v>
      </x:c>
      <x:c r="E362" s="42" t="n">
        <x:v>0.018988158592683987</x:v>
      </x:c>
      <x:c r="F362" s="42" t="n">
        <x:v>0.007226043442667767</x:v>
      </x:c>
      <x:c r="G362" s="43" t="n">
        <x:v>0.978894225188272</x:v>
      </x:c>
      <x:c r="H362" s="32" t="n">
        <x:v>1093973.9965783074</x:v>
      </x:c>
      <x:c r="I362" s="50" t="b">
        <x:v>0</x:v>
      </x:c>
      <x:c r="J362" s="50" t="b">
        <x:v>0</x:v>
      </x:c>
      <x:c r="K362" s="31"/>
      <x:c r="L362" s="31"/>
    </x:row>
    <x:row r="363">
      <x:c r="A363" s="31"/>
      <x:c r="B363" s="31"/>
      <x:c r="C363" s="31"/>
      <x:c r="D363" s="31" t="n">
        <x:v>359</x:v>
      </x:c>
      <x:c r="E363" s="42" t="n">
        <x:v>-0.01158361064548125</x:v>
      </x:c>
      <x:c r="F363" s="42" t="n">
        <x:v>-0.006385066835014979</x:v>
      </x:c>
      <x:c r="G363" s="43" t="n">
        <x:v>1.049029515288395</x:v>
      </x:c>
      <x:c r="H363" s="32" t="n">
        <x:v>601354.8624602982</x:v>
      </x:c>
      <x:c r="I363" s="50" t="b">
        <x:v>1</x:v>
      </x:c>
      <x:c r="J363" s="50" t="b">
        <x:v>0</x:v>
      </x:c>
      <x:c r="K363" s="31"/>
      <x:c r="L363" s="31"/>
    </x:row>
    <x:row r="364">
      <x:c r="A364" s="31"/>
      <x:c r="B364" s="31"/>
      <x:c r="C364" s="31"/>
      <x:c r="D364" s="31" t="n">
        <x:v>360</x:v>
      </x:c>
      <x:c r="E364" s="42" t="n">
        <x:v>0.0001057818361404153</x:v>
      </x:c>
      <x:c r="F364" s="42" t="n">
        <x:v>0.004747162190713584</x:v>
      </x:c>
      <x:c r="G364" s="43" t="n">
        <x:v>1.0216614945849005</x:v>
      </x:c>
      <x:c r="H364" s="32" t="n">
        <x:v>776712.0535689511</x:v>
      </x:c>
      <x:c r="I364" s="50" t="b">
        <x:v>1</x:v>
      </x:c>
      <x:c r="J364" s="50" t="b">
        <x:v>0</x:v>
      </x:c>
      <x:c r="K364" s="31"/>
      <x:c r="L364" s="31"/>
    </x:row>
    <x:row r="365">
      <x:c r="A365" s="31"/>
      <x:c r="B365" s="31"/>
      <x:c r="C365" s="31"/>
      <x:c r="D365" s="31" t="n">
        <x:v>361</x:v>
      </x:c>
      <x:c r="E365" s="42" t="n">
        <x:v>-0.012140945416364396</x:v>
      </x:c>
      <x:c r="F365" s="42" t="n">
        <x:v>-0.000844159900417302</x:v>
      </x:c>
      <x:c r="G365" s="43" t="n">
        <x:v>1.0357398960314745</x:v>
      </x:c>
      <x:c r="H365" s="32" t="n">
        <x:v>668778.7658656568</x:v>
      </x:c>
      <x:c r="I365" s="50" t="b">
        <x:v>1</x:v>
      </x:c>
      <x:c r="J365" s="50" t="b">
        <x:v>0</x:v>
      </x:c>
      <x:c r="K365" s="31"/>
      <x:c r="L365" s="31"/>
    </x:row>
    <x:row r="366">
      <x:c r="A366" s="31"/>
      <x:c r="B366" s="31"/>
      <x:c r="C366" s="31"/>
      <x:c r="D366" s="31" t="n">
        <x:v>362</x:v>
      </x:c>
      <x:c r="E366" s="42" t="n">
        <x:v>-0.016515987110752153</x:v>
      </x:c>
      <x:c r="F366" s="42" t="n">
        <x:v>-0.00015304999748920987</x:v>
      </x:c>
      <x:c r="G366" s="43" t="n">
        <x:v>1.024944272435213</x:v>
      </x:c>
      <x:c r="H366" s="32" t="n">
        <x:v>723236.8762008174</x:v>
      </x:c>
      <x:c r="I366" s="50" t="b">
        <x:v>1</x:v>
      </x:c>
      <x:c r="J366" s="50" t="b">
        <x:v>0</x:v>
      </x:c>
      <x:c r="K366" s="31"/>
      <x:c r="L366" s="31"/>
    </x:row>
    <x:row r="367">
      <x:c r="A367" s="31"/>
      <x:c r="B367" s="31"/>
      <x:c r="C367" s="31"/>
      <x:c r="D367" s="31" t="n">
        <x:v>363</x:v>
      </x:c>
      <x:c r="E367" s="42" t="n">
        <x:v>-0.00162878008287821</x:v>
      </x:c>
      <x:c r="F367" s="42" t="n">
        <x:v>0.005346255524031878</x:v>
      </x:c>
      <x:c r="G367" s="43" t="n">
        <x:v>0.9914293585272105</x:v>
      </x:c>
      <x:c r="H367" s="32" t="n">
        <x:v>962211.7476715659</x:v>
      </x:c>
      <x:c r="I367" s="50" t="b">
        <x:v>1</x:v>
      </x:c>
      <x:c r="J367" s="50" t="b">
        <x:v>0</x:v>
      </x:c>
      <x:c r="K367" s="31"/>
      <x:c r="L367" s="31"/>
    </x:row>
    <x:row r="368">
      <x:c r="A368" s="31"/>
      <x:c r="B368" s="31"/>
      <x:c r="C368" s="31"/>
      <x:c r="D368" s="31" t="n">
        <x:v>364</x:v>
      </x:c>
      <x:c r="E368" s="42" t="n">
        <x:v>0.01594997201496708</x:v>
      </x:c>
      <x:c r="F368" s="42" t="n">
        <x:v>0.009572010584774289</x:v>
      </x:c>
      <x:c r="G368" s="43" t="n">
        <x:v>1.0752203337444466</x:v>
      </x:c>
      <x:c r="H368" s="32" t="n">
        <x:v>467248.0751270058</x:v>
      </x:c>
      <x:c r="I368" s="50" t="b">
        <x:v>1</x:v>
      </x:c>
      <x:c r="J368" s="50" t="b">
        <x:v>0</x:v>
      </x:c>
      <x:c r="K368" s="31"/>
      <x:c r="L368" s="31"/>
    </x:row>
    <x:row r="369">
      <x:c r="A369" s="31"/>
      <x:c r="B369" s="31"/>
      <x:c r="C369" s="31"/>
      <x:c r="D369" s="31" t="n">
        <x:v>365</x:v>
      </x:c>
      <x:c r="E369" s="42" t="n">
        <x:v>-0.017441106356639965</x:v>
      </x:c>
      <x:c r="F369" s="42" t="n">
        <x:v>0.0031432516309503446</x:v>
      </x:c>
      <x:c r="G369" s="43" t="n">
        <x:v>0.9803220116949941</x:v>
      </x:c>
      <x:c r="H369" s="32" t="n">
        <x:v>994869.4160799488</x:v>
      </x:c>
      <x:c r="I369" s="50" t="b">
        <x:v>1</x:v>
      </x:c>
      <x:c r="J369" s="50" t="b">
        <x:v>0</x:v>
      </x:c>
      <x:c r="K369" s="31"/>
      <x:c r="L369" s="31"/>
    </x:row>
    <x:row r="370">
      <x:c r="A370" s="31"/>
      <x:c r="B370" s="31"/>
      <x:c r="C370" s="31"/>
      <x:c r="D370" s="31" t="n">
        <x:v>366</x:v>
      </x:c>
      <x:c r="E370" s="42" t="n">
        <x:v>0.0069180559012009075</x:v>
      </x:c>
      <x:c r="F370" s="42" t="n">
        <x:v>-0.001257133035841295</x:v>
      </x:c>
      <x:c r="G370" s="43" t="n">
        <x:v>1.0369938449596203</x:v>
      </x:c>
      <x:c r="H370" s="32" t="n">
        <x:v>715015.9746019837</x:v>
      </x:c>
      <x:c r="I370" s="50" t="b">
        <x:v>1</x:v>
      </x:c>
      <x:c r="J370" s="50" t="b">
        <x:v>0</x:v>
      </x:c>
      <x:c r="K370" s="31"/>
      <x:c r="L370" s="31"/>
    </x:row>
    <x:row r="371">
      <x:c r="A371" s="31"/>
      <x:c r="B371" s="31"/>
      <x:c r="C371" s="31"/>
      <x:c r="D371" s="31" t="n">
        <x:v>367</x:v>
      </x:c>
      <x:c r="E371" s="42" t="n">
        <x:v>0.011923914483208028</x:v>
      </x:c>
      <x:c r="F371" s="42" t="n">
        <x:v>0.002417955871106452</x:v>
      </x:c>
      <x:c r="G371" s="43" t="n">
        <x:v>0.9181468820107986</x:v>
      </x:c>
      <x:c r="H371" s="32" t="n">
        <x:v>1473482.5870197627</x:v>
      </x:c>
      <x:c r="I371" s="50" t="b">
        <x:v>0</x:v>
      </x:c>
      <x:c r="J371" s="50" t="b">
        <x:v>0</x:v>
      </x:c>
      <x:c r="K371" s="31"/>
      <x:c r="L371" s="31"/>
    </x:row>
    <x:row r="372">
      <x:c r="A372" s="31"/>
      <x:c r="B372" s="31"/>
      <x:c r="C372" s="31"/>
      <x:c r="D372" s="31" t="n">
        <x:v>368</x:v>
      </x:c>
      <x:c r="E372" s="42" t="n">
        <x:v>-0.003188494572535992</x:v>
      </x:c>
      <x:c r="F372" s="42" t="n">
        <x:v>-0.006414051837944822</x:v>
      </x:c>
      <x:c r="G372" s="43" t="n">
        <x:v>0.9718601346273845</x:v>
      </x:c>
      <x:c r="H372" s="32" t="n">
        <x:v>1114883.7552871187</x:v>
      </x:c>
      <x:c r="I372" s="50" t="b">
        <x:v>0</x:v>
      </x:c>
      <x:c r="J372" s="50" t="b">
        <x:v>0</x:v>
      </x:c>
      <x:c r="K372" s="31"/>
      <x:c r="L372" s="31"/>
    </x:row>
    <x:row r="373">
      <x:c r="A373" s="31"/>
      <x:c r="B373" s="31"/>
      <x:c r="C373" s="31"/>
      <x:c r="D373" s="31" t="n">
        <x:v>369</x:v>
      </x:c>
      <x:c r="E373" s="42" t="n">
        <x:v>-0.0008053960923914577</x:v>
      </x:c>
      <x:c r="F373" s="42" t="n">
        <x:v>-0.006108268924083498</x:v>
      </x:c>
      <x:c r="G373" s="43" t="n">
        <x:v>0.9839443875108893</x:v>
      </x:c>
      <x:c r="H373" s="32" t="n">
        <x:v>1043922.4449900528</x:v>
      </x:c>
      <x:c r="I373" s="50" t="b">
        <x:v>0</x:v>
      </x:c>
      <x:c r="J373" s="50" t="b">
        <x:v>0</x:v>
      </x:c>
      <x:c r="K373" s="31"/>
      <x:c r="L373" s="31"/>
    </x:row>
    <x:row r="374">
      <x:c r="A374" s="31"/>
      <x:c r="B374" s="31"/>
      <x:c r="C374" s="31"/>
      <x:c r="D374" s="31" t="n">
        <x:v>370</x:v>
      </x:c>
      <x:c r="E374" s="42" t="n">
        <x:v>-0.028084085200843583</x:v>
      </x:c>
      <x:c r="F374" s="42" t="n">
        <x:v>0.006342315002754241</x:v>
      </x:c>
      <x:c r="G374" s="43" t="n">
        <x:v>0.941244783352174</x:v>
      </x:c>
      <x:c r="H374" s="32" t="n">
        <x:v>1204507.860327153</x:v>
      </x:c>
      <x:c r="I374" s="50" t="b">
        <x:v>0</x:v>
      </x:c>
      <x:c r="J374" s="50" t="b">
        <x:v>0</x:v>
      </x:c>
      <x:c r="K374" s="31"/>
      <x:c r="L374" s="31"/>
    </x:row>
    <x:row r="375">
      <x:c r="A375" s="31"/>
      <x:c r="B375" s="31"/>
      <x:c r="C375" s="31"/>
      <x:c r="D375" s="31" t="n">
        <x:v>371</x:v>
      </x:c>
      <x:c r="E375" s="42" t="n">
        <x:v>0.011345949453581184</x:v>
      </x:c>
      <x:c r="F375" s="42" t="n">
        <x:v>-0.004553699744719479</x:v>
      </x:c>
      <x:c r="G375" s="43" t="n">
        <x:v>1.0219213747085973</x:v>
      </x:c>
      <x:c r="H375" s="32" t="n">
        <x:v>832238.0418089405</x:v>
      </x:c>
      <x:c r="I375" s="50" t="b">
        <x:v>1</x:v>
      </x:c>
      <x:c r="J375" s="50" t="b">
        <x:v>0</x:v>
      </x:c>
      <x:c r="K375" s="31"/>
      <x:c r="L375" s="31"/>
    </x:row>
    <x:row r="376">
      <x:c r="A376" s="31"/>
      <x:c r="B376" s="31"/>
      <x:c r="C376" s="31"/>
      <x:c r="D376" s="31" t="n">
        <x:v>372</x:v>
      </x:c>
      <x:c r="E376" s="42" t="n">
        <x:v>-0.007072334197866674</x:v>
      </x:c>
      <x:c r="F376" s="42" t="n">
        <x:v>0.0014742359227698171</x:v>
      </x:c>
      <x:c r="G376" s="43" t="n">
        <x:v>0.9446125671412712</x:v>
      </x:c>
      <x:c r="H376" s="32" t="n">
        <x:v>1255157.1288031533</x:v>
      </x:c>
      <x:c r="I376" s="50" t="b">
        <x:v>0</x:v>
      </x:c>
      <x:c r="J376" s="50" t="b">
        <x:v>0</x:v>
      </x:c>
      <x:c r="K376" s="31"/>
      <x:c r="L376" s="31"/>
    </x:row>
    <x:row r="377">
      <x:c r="A377" s="31"/>
      <x:c r="B377" s="31"/>
      <x:c r="C377" s="31"/>
      <x:c r="D377" s="31" t="n">
        <x:v>373</x:v>
      </x:c>
      <x:c r="E377" s="42" t="n">
        <x:v>-0.01913010821499582</x:v>
      </x:c>
      <x:c r="F377" s="42" t="n">
        <x:v>0.0046722284041269685</x:v>
      </x:c>
      <x:c r="G377" s="43" t="n">
        <x:v>1.0606406506738923</x:v>
      </x:c>
      <x:c r="H377" s="32" t="n">
        <x:v>475831.85976464185</x:v>
      </x:c>
      <x:c r="I377" s="50" t="b">
        <x:v>1</x:v>
      </x:c>
      <x:c r="J377" s="50" t="b">
        <x:v>0</x:v>
      </x:c>
      <x:c r="K377" s="31"/>
      <x:c r="L377" s="31"/>
    </x:row>
    <x:row r="378">
      <x:c r="A378" s="31"/>
      <x:c r="B378" s="31"/>
      <x:c r="C378" s="31"/>
      <x:c r="D378" s="31" t="n">
        <x:v>374</x:v>
      </x:c>
      <x:c r="E378" s="42" t="n">
        <x:v>0.005972841276024845</x:v>
      </x:c>
      <x:c r="F378" s="42" t="n">
        <x:v>-0.0017067563809796133</x:v>
      </x:c>
      <x:c r="G378" s="43" t="n">
        <x:v>0.9684788180447459</x:v>
      </x:c>
      <x:c r="H378" s="32" t="n">
        <x:v>1148755.4304913806</x:v>
      </x:c>
      <x:c r="I378" s="50" t="b">
        <x:v>0</x:v>
      </x:c>
      <x:c r="J378" s="50" t="b">
        <x:v>0</x:v>
      </x:c>
      <x:c r="K378" s="31"/>
      <x:c r="L378" s="31"/>
    </x:row>
    <x:row r="379">
      <x:c r="A379" s="31"/>
      <x:c r="B379" s="31"/>
      <x:c r="C379" s="31"/>
      <x:c r="D379" s="31" t="n">
        <x:v>375</x:v>
      </x:c>
      <x:c r="E379" s="42" t="n">
        <x:v>-0.008453016529596041</x:v>
      </x:c>
      <x:c r="F379" s="42" t="n">
        <x:v>-0.001126235172226238</x:v>
      </x:c>
      <x:c r="G379" s="43" t="n">
        <x:v>1.0048336697679194</x:v>
      </x:c>
      <x:c r="H379" s="32" t="n">
        <x:v>876105.7858847643</x:v>
      </x:c>
      <x:c r="I379" s="50" t="b">
        <x:v>1</x:v>
      </x:c>
      <x:c r="J379" s="50" t="b">
        <x:v>0</x:v>
      </x:c>
      <x:c r="K379" s="31"/>
      <x:c r="L379" s="31"/>
    </x:row>
    <x:row r="380">
      <x:c r="A380" s="31"/>
      <x:c r="B380" s="31"/>
      <x:c r="C380" s="31"/>
      <x:c r="D380" s="31" t="n">
        <x:v>376</x:v>
      </x:c>
      <x:c r="E380" s="42" t="n">
        <x:v>0.007379949688154822</x:v>
      </x:c>
      <x:c r="F380" s="42" t="n">
        <x:v>0.004600543105336684</x:v>
      </x:c>
      <x:c r="G380" s="43" t="n">
        <x:v>0.9214984305997116</x:v>
      </x:c>
      <x:c r="H380" s="32" t="n">
        <x:v>1433474.3731414196</x:v>
      </x:c>
      <x:c r="I380" s="50" t="b">
        <x:v>0</x:v>
      </x:c>
      <x:c r="J380" s="50" t="b">
        <x:v>0</x:v>
      </x:c>
      <x:c r="K380" s="31"/>
      <x:c r="L380" s="31"/>
    </x:row>
    <x:row r="381">
      <x:c r="A381" s="31"/>
      <x:c r="B381" s="31"/>
      <x:c r="C381" s="31"/>
      <x:c r="D381" s="31" t="n">
        <x:v>377</x:v>
      </x:c>
      <x:c r="E381" s="42" t="n">
        <x:v>-0.0031758224757647753</x:v>
      </x:c>
      <x:c r="F381" s="42" t="n">
        <x:v>-0.007343002843331679</x:v>
      </x:c>
      <x:c r="G381" s="43" t="n">
        <x:v>1.0348406636271528</x:v>
      </x:c>
      <x:c r="H381" s="32" t="n">
        <x:v>717533.8203114602</x:v>
      </x:c>
      <x:c r="I381" s="50" t="b">
        <x:v>1</x:v>
      </x:c>
      <x:c r="J381" s="50" t="b">
        <x:v>0</x:v>
      </x:c>
      <x:c r="K381" s="31"/>
      <x:c r="L381" s="31"/>
    </x:row>
    <x:row r="382">
      <x:c r="A382" s="31"/>
      <x:c r="B382" s="31"/>
      <x:c r="C382" s="31"/>
      <x:c r="D382" s="31" t="n">
        <x:v>378</x:v>
      </x:c>
      <x:c r="E382" s="42" t="n">
        <x:v>0.025879467767965163</x:v>
      </x:c>
      <x:c r="F382" s="42" t="n">
        <x:v>0.005487745979150691</x:v>
      </x:c>
      <x:c r="G382" s="43" t="n">
        <x:v>1.0183420535367202</x:v>
      </x:c>
      <x:c r="H382" s="32" t="n">
        <x:v>867473.0498560788</x:v>
      </x:c>
      <x:c r="I382" s="50" t="b">
        <x:v>1</x:v>
      </x:c>
      <x:c r="J382" s="50" t="b">
        <x:v>0</x:v>
      </x:c>
      <x:c r="K382" s="31"/>
      <x:c r="L382" s="31"/>
    </x:row>
    <x:row r="383">
      <x:c r="A383" s="31"/>
      <x:c r="B383" s="31"/>
      <x:c r="C383" s="31"/>
      <x:c r="D383" s="31" t="n">
        <x:v>379</x:v>
      </x:c>
      <x:c r="E383" s="42" t="n">
        <x:v>0.011113173869243358</x:v>
      </x:c>
      <x:c r="F383" s="42" t="n">
        <x:v>-0.00920834369571347</x:v>
      </x:c>
      <x:c r="G383" s="43" t="n">
        <x:v>0.9744171197831875</x:v>
      </x:c>
      <x:c r="H383" s="32" t="n">
        <x:v>1146232.0730668034</x:v>
      </x:c>
      <x:c r="I383" s="50" t="b">
        <x:v>0</x:v>
      </x:c>
      <x:c r="J383" s="50" t="b">
        <x:v>0</x:v>
      </x:c>
      <x:c r="K383" s="31"/>
      <x:c r="L383" s="31"/>
    </x:row>
    <x:row r="384">
      <x:c r="A384" s="31"/>
      <x:c r="B384" s="31"/>
      <x:c r="C384" s="31"/>
      <x:c r="D384" s="31" t="n">
        <x:v>380</x:v>
      </x:c>
      <x:c r="E384" s="42" t="n">
        <x:v>0.009401507526595503</x:v>
      </x:c>
      <x:c r="F384" s="42" t="n">
        <x:v>-0.0006291278460226206</x:v>
      </x:c>
      <x:c r="G384" s="43" t="n">
        <x:v>0.994123265822017</x:v>
      </x:c>
      <x:c r="H384" s="32" t="n">
        <x:v>992439.1905727603</x:v>
      </x:c>
      <x:c r="I384" s="50" t="b">
        <x:v>1</x:v>
      </x:c>
      <x:c r="J384" s="50" t="b">
        <x:v>0</x:v>
      </x:c>
      <x:c r="K384" s="31"/>
      <x:c r="L384" s="31"/>
    </x:row>
    <x:row r="385">
      <x:c r="A385" s="31"/>
      <x:c r="B385" s="31"/>
      <x:c r="C385" s="31"/>
      <x:c r="D385" s="31" t="n">
        <x:v>381</x:v>
      </x:c>
      <x:c r="E385" s="42" t="n">
        <x:v>-0.006671997612168246</x:v>
      </x:c>
      <x:c r="F385" s="42" t="n">
        <x:v>-0.010781034597300577</x:v>
      </x:c>
      <x:c r="G385" s="43" t="n">
        <x:v>0.994917731510807</x:v>
      </x:c>
      <x:c r="H385" s="32" t="n">
        <x:v>970910.870413958</x:v>
      </x:c>
      <x:c r="I385" s="50" t="b">
        <x:v>1</x:v>
      </x:c>
      <x:c r="J385" s="50" t="b">
        <x:v>0</x:v>
      </x:c>
      <x:c r="K385" s="31"/>
      <x:c r="L385" s="31"/>
    </x:row>
    <x:row r="386">
      <x:c r="A386" s="31"/>
      <x:c r="B386" s="31"/>
      <x:c r="C386" s="31"/>
      <x:c r="D386" s="31" t="n">
        <x:v>382</x:v>
      </x:c>
      <x:c r="E386" s="42" t="n">
        <x:v>-0.006553796169291378</x:v>
      </x:c>
      <x:c r="F386" s="42" t="n">
        <x:v>-0.010990618175455795</x:v>
      </x:c>
      <x:c r="G386" s="43" t="n">
        <x:v>0.9695352498859048</x:v>
      </x:c>
      <x:c r="H386" s="32" t="n">
        <x:v>1133020.0022003073</x:v>
      </x:c>
      <x:c r="I386" s="50" t="b">
        <x:v>0</x:v>
      </x:c>
      <x:c r="J386" s="50" t="b">
        <x:v>0</x:v>
      </x:c>
      <x:c r="K386" s="31"/>
      <x:c r="L386" s="31"/>
    </x:row>
    <x:row r="387">
      <x:c r="A387" s="31"/>
      <x:c r="B387" s="31"/>
      <x:c r="C387" s="31"/>
      <x:c r="D387" s="31" t="n">
        <x:v>383</x:v>
      </x:c>
      <x:c r="E387" s="42" t="n">
        <x:v>-0.028971344929072985</x:v>
      </x:c>
      <x:c r="F387" s="42" t="n">
        <x:v>0.010524836940052304</x:v>
      </x:c>
      <x:c r="G387" s="43" t="n">
        <x:v>1.0064867010553609</x:v>
      </x:c>
      <x:c r="H387" s="32" t="n">
        <x:v>776063.6270831784</x:v>
      </x:c>
      <x:c r="I387" s="50" t="b">
        <x:v>1</x:v>
      </x:c>
      <x:c r="J387" s="50" t="b">
        <x:v>0</x:v>
      </x:c>
      <x:c r="K387" s="31"/>
      <x:c r="L387" s="31"/>
    </x:row>
    <x:row r="388">
      <x:c r="A388" s="31"/>
      <x:c r="B388" s="31"/>
      <x:c r="C388" s="31"/>
      <x:c r="D388" s="31" t="n">
        <x:v>384</x:v>
      </x:c>
      <x:c r="E388" s="42" t="n">
        <x:v>-0.01064605830561938</x:v>
      </x:c>
      <x:c r="F388" s="42" t="n">
        <x:v>0.0018785590419916189</x:v>
      </x:c>
      <x:c r="G388" s="43" t="n">
        <x:v>1.0102554498225758</x:v>
      </x:c>
      <x:c r="H388" s="32" t="n">
        <x:v>827205.3509827885</x:v>
      </x:c>
      <x:c r="I388" s="50" t="b">
        <x:v>1</x:v>
      </x:c>
      <x:c r="J388" s="50" t="b">
        <x:v>0</x:v>
      </x:c>
      <x:c r="K388" s="31"/>
      <x:c r="L388" s="31"/>
    </x:row>
    <x:row r="389">
      <x:c r="A389" s="31"/>
      <x:c r="B389" s="31"/>
      <x:c r="C389" s="31"/>
      <x:c r="D389" s="31" t="n">
        <x:v>385</x:v>
      </x:c>
      <x:c r="E389" s="42" t="n">
        <x:v>0.013545156451409609</x:v>
      </x:c>
      <x:c r="F389" s="42" t="n">
        <x:v>0.007047124363431013</x:v>
      </x:c>
      <x:c r="G389" s="43" t="n">
        <x:v>0.9715747256482282</x:v>
      </x:c>
      <x:c r="H389" s="32" t="n">
        <x:v>1125805.3106469577</x:v>
      </x:c>
      <x:c r="I389" s="50" t="b">
        <x:v>0</x:v>
      </x:c>
      <x:c r="J389" s="50" t="b">
        <x:v>0</x:v>
      </x:c>
      <x:c r="K389" s="31"/>
      <x:c r="L389" s="31"/>
    </x:row>
    <x:row r="390">
      <x:c r="A390" s="31"/>
      <x:c r="B390" s="31"/>
      <x:c r="C390" s="31"/>
      <x:c r="D390" s="31" t="n">
        <x:v>386</x:v>
      </x:c>
      <x:c r="E390" s="42" t="n">
        <x:v>-0.0037109152385159908</x:v>
      </x:c>
      <x:c r="F390" s="42" t="n">
        <x:v>0.0010644355359232223</x:v>
      </x:c>
      <x:c r="G390" s="43" t="n">
        <x:v>1.0289644257209303</x:v>
      </x:c>
      <x:c r="H390" s="32" t="n">
        <x:v>729960.3590780112</x:v>
      </x:c>
      <x:c r="I390" s="50" t="b">
        <x:v>1</x:v>
      </x:c>
      <x:c r="J390" s="50" t="b">
        <x:v>0</x:v>
      </x:c>
      <x:c r="K390" s="31"/>
      <x:c r="L390" s="31"/>
    </x:row>
    <x:row r="391">
      <x:c r="A391" s="31"/>
      <x:c r="B391" s="31"/>
      <x:c r="C391" s="31"/>
      <x:c r="D391" s="31" t="n">
        <x:v>387</x:v>
      </x:c>
      <x:c r="E391" s="42" t="n">
        <x:v>0.005636720655062536</x:v>
      </x:c>
      <x:c r="F391" s="42" t="n">
        <x:v>-0.003128428068265012</x:v>
      </x:c>
      <x:c r="G391" s="43" t="n">
        <x:v>0.9521302912832194</x:v>
      </x:c>
      <x:c r="H391" s="32" t="n">
        <x:v>1255601.8093751438</x:v>
      </x:c>
      <x:c r="I391" s="50" t="b">
        <x:v>0</x:v>
      </x:c>
      <x:c r="J391" s="50" t="b">
        <x:v>0</x:v>
      </x:c>
      <x:c r="K391" s="31"/>
      <x:c r="L391" s="31"/>
    </x:row>
    <x:row r="392">
      <x:c r="A392" s="31"/>
      <x:c r="B392" s="31"/>
      <x:c r="C392" s="31"/>
      <x:c r="D392" s="31" t="n">
        <x:v>388</x:v>
      </x:c>
      <x:c r="E392" s="42" t="n">
        <x:v>-0.018960463945949284</x:v>
      </x:c>
      <x:c r="F392" s="42" t="n">
        <x:v>0.0005648619756653693</x:v>
      </x:c>
      <x:c r="G392" s="43" t="n">
        <x:v>0.9041890585261404</x:v>
      </x:c>
      <x:c r="H392" s="32" t="n">
        <x:v>1481315.4274583913</x:v>
      </x:c>
      <x:c r="I392" s="50" t="b">
        <x:v>0</x:v>
      </x:c>
      <x:c r="J392" s="50" t="b">
        <x:v>0</x:v>
      </x:c>
      <x:c r="K392" s="31"/>
      <x:c r="L392" s="31"/>
    </x:row>
    <x:row r="393">
      <x:c r="A393" s="31"/>
      <x:c r="B393" s="31"/>
      <x:c r="C393" s="31"/>
      <x:c r="D393" s="31" t="n">
        <x:v>389</x:v>
      </x:c>
      <x:c r="E393" s="42" t="n">
        <x:v>0.01822584037329523</x:v>
      </x:c>
      <x:c r="F393" s="42" t="n">
        <x:v>-0.00021488083010610034</x:v>
      </x:c>
      <x:c r="G393" s="43" t="n">
        <x:v>1.0196708176719653</x:v>
      </x:c>
      <x:c r="H393" s="32" t="n">
        <x:v>853603.8031526192</x:v>
      </x:c>
      <x:c r="I393" s="50" t="b">
        <x:v>1</x:v>
      </x:c>
      <x:c r="J393" s="50" t="b">
        <x:v>0</x:v>
      </x:c>
      <x:c r="K393" s="31"/>
      <x:c r="L393" s="31"/>
    </x:row>
    <x:row r="394">
      <x:c r="A394" s="31"/>
      <x:c r="B394" s="31"/>
      <x:c r="C394" s="31"/>
      <x:c r="D394" s="31" t="n">
        <x:v>390</x:v>
      </x:c>
      <x:c r="E394" s="42" t="n">
        <x:v>0.010692254205151163</x:v>
      </x:c>
      <x:c r="F394" s="42" t="n">
        <x:v>-0.0049480135495655496</x:v>
      </x:c>
      <x:c r="G394" s="43" t="n">
        <x:v>0.9920299259726479</x:v>
      </x:c>
      <x:c r="H394" s="32" t="n">
        <x:v>1021347.9172597708</x:v>
      </x:c>
      <x:c r="I394" s="50" t="b">
        <x:v>0</x:v>
      </x:c>
      <x:c r="J394" s="50" t="b">
        <x:v>0</x:v>
      </x:c>
      <x:c r="K394" s="31"/>
      <x:c r="L394" s="31"/>
    </x:row>
    <x:row r="395">
      <x:c r="A395" s="31"/>
      <x:c r="B395" s="31"/>
      <x:c r="C395" s="31"/>
      <x:c r="D395" s="31" t="n">
        <x:v>391</x:v>
      </x:c>
      <x:c r="E395" s="42" t="n">
        <x:v>-0.009366183823858013</x:v>
      </x:c>
      <x:c r="F395" s="42" t="n">
        <x:v>-0.003217125439005816</x:v>
      </x:c>
      <x:c r="G395" s="43" t="n">
        <x:v>0.9681104291437127</x:v>
      </x:c>
      <x:c r="H395" s="32" t="n">
        <x:v>1112602.590293186</x:v>
      </x:c>
      <x:c r="I395" s="50" t="b">
        <x:v>0</x:v>
      </x:c>
      <x:c r="J395" s="50" t="b">
        <x:v>0</x:v>
      </x:c>
      <x:c r="K395" s="31"/>
      <x:c r="L395" s="31"/>
    </x:row>
    <x:row r="396">
      <x:c r="A396" s="31"/>
      <x:c r="B396" s="31"/>
      <x:c r="C396" s="31"/>
      <x:c r="D396" s="31" t="n">
        <x:v>392</x:v>
      </x:c>
      <x:c r="E396" s="42" t="n">
        <x:v>0.015268089640448294</x:v>
      </x:c>
      <x:c r="F396" s="42" t="n">
        <x:v>-0.0030106346115072466</x:v>
      </x:c>
      <x:c r="G396" s="43" t="n">
        <x:v>0.9827919797083146</x:v>
      </x:c>
      <x:c r="H396" s="32" t="n">
        <x:v>1087359.6207599312</x:v>
      </x:c>
      <x:c r="I396" s="50" t="b">
        <x:v>0</x:v>
      </x:c>
      <x:c r="J396" s="50" t="b">
        <x:v>0</x:v>
      </x:c>
      <x:c r="K396" s="31"/>
      <x:c r="L396" s="31"/>
    </x:row>
    <x:row r="397">
      <x:c r="A397" s="31"/>
      <x:c r="B397" s="31"/>
      <x:c r="C397" s="31"/>
      <x:c r="D397" s="31" t="n">
        <x:v>393</x:v>
      </x:c>
      <x:c r="E397" s="42" t="n">
        <x:v>0.0047819496075149695</x:v>
      </x:c>
      <x:c r="F397" s="42" t="n">
        <x:v>0.0017338841504181306</x:v>
      </x:c>
      <x:c r="G397" s="43" t="n">
        <x:v>0.8952511887456428</x:v>
      </x:c>
      <x:c r="H397" s="32" t="n">
        <x:v>1600910.7658907017</x:v>
      </x:c>
      <x:c r="I397" s="50" t="b">
        <x:v>0</x:v>
      </x:c>
      <x:c r="J397" s="50" t="b">
        <x:v>0</x:v>
      </x:c>
      <x:c r="K397" s="31"/>
      <x:c r="L397" s="31"/>
    </x:row>
    <x:row r="398">
      <x:c r="A398" s="31"/>
      <x:c r="B398" s="31"/>
      <x:c r="C398" s="31"/>
      <x:c r="D398" s="31" t="n">
        <x:v>394</x:v>
      </x:c>
      <x:c r="E398" s="42" t="n">
        <x:v>-0.005468575638401448</x:v>
      </x:c>
      <x:c r="F398" s="42" t="n">
        <x:v>-0.009148368128919952</x:v>
      </x:c>
      <x:c r="G398" s="43" t="n">
        <x:v>0.9829614889088493</x:v>
      </x:c>
      <x:c r="H398" s="32" t="n">
        <x:v>1045646.6671223762</x:v>
      </x:c>
      <x:c r="I398" s="50" t="b">
        <x:v>0</x:v>
      </x:c>
      <x:c r="J398" s="50" t="b">
        <x:v>0</x:v>
      </x:c>
      <x:c r="K398" s="31"/>
      <x:c r="L398" s="31"/>
    </x:row>
    <x:row r="399">
      <x:c r="A399" s="31"/>
      <x:c r="B399" s="31"/>
      <x:c r="C399" s="31"/>
      <x:c r="D399" s="31" t="n">
        <x:v>395</x:v>
      </x:c>
      <x:c r="E399" s="42" t="n">
        <x:v>-0.016662622341981594</x:v>
      </x:c>
      <x:c r="F399" s="42" t="n">
        <x:v>0.004600421500097583</x:v>
      </x:c>
      <x:c r="G399" s="43" t="n">
        <x:v>1.0228754060726712</x:v>
      </x:c>
      <x:c r="H399" s="32" t="n">
        <x:v>722736.08713592</x:v>
      </x:c>
      <x:c r="I399" s="50" t="b">
        <x:v>1</x:v>
      </x:c>
      <x:c r="J399" s="50" t="b">
        <x:v>0</x:v>
      </x:c>
      <x:c r="K399" s="31"/>
      <x:c r="L399" s="31"/>
    </x:row>
    <x:row r="400">
      <x:c r="A400" s="31"/>
      <x:c r="B400" s="31"/>
      <x:c r="C400" s="31"/>
      <x:c r="D400" s="31" t="n">
        <x:v>396</x:v>
      </x:c>
      <x:c r="E400" s="42" t="n">
        <x:v>0.022310980730917345</x:v>
      </x:c>
      <x:c r="F400" s="42" t="n">
        <x:v>-0.0047989837876214825</x:v>
      </x:c>
      <x:c r="G400" s="43" t="n">
        <x:v>0.9581244391905879</x:v>
      </x:c>
      <x:c r="H400" s="32" t="n">
        <x:v>1268597.9263405753</x:v>
      </x:c>
      <x:c r="I400" s="50" t="b">
        <x:v>0</x:v>
      </x:c>
      <x:c r="J400" s="50" t="b">
        <x:v>0</x:v>
      </x:c>
      <x:c r="K400" s="31"/>
      <x:c r="L400" s="31"/>
    </x:row>
    <x:row r="401">
      <x:c r="A401" s="31"/>
      <x:c r="B401" s="31"/>
      <x:c r="C401" s="31"/>
      <x:c r="D401" s="31" t="n">
        <x:v>397</x:v>
      </x:c>
      <x:c r="E401" s="42" t="n">
        <x:v>0.010521736529657289</x:v>
      </x:c>
      <x:c r="F401" s="42" t="n">
        <x:v>0.0022488595848191794</x:v>
      </x:c>
      <x:c r="G401" s="43" t="n">
        <x:v>0.9760983963832779</x:v>
      </x:c>
      <x:c r="H401" s="32" t="n">
        <x:v>1102017.1176878344</x:v>
      </x:c>
      <x:c r="I401" s="50" t="b">
        <x:v>0</x:v>
      </x:c>
      <x:c r="J401" s="50" t="b">
        <x:v>0</x:v>
      </x:c>
      <x:c r="K401" s="31"/>
      <x:c r="L401" s="31"/>
    </x:row>
    <x:row r="402">
      <x:c r="A402" s="31"/>
      <x:c r="B402" s="31"/>
      <x:c r="C402" s="31"/>
      <x:c r="D402" s="31" t="n">
        <x:v>398</x:v>
      </x:c>
      <x:c r="E402" s="42" t="n">
        <x:v>0.0024206395575888814</x:v>
      </x:c>
      <x:c r="F402" s="42" t="n">
        <x:v>-0.005050002911796427</x:v>
      </x:c>
      <x:c r="G402" s="43" t="n">
        <x:v>0.9382845381391527</x:v>
      </x:c>
      <x:c r="H402" s="32" t="n">
        <x:v>1339928.8609443516</x:v>
      </x:c>
      <x:c r="I402" s="50" t="b">
        <x:v>0</x:v>
      </x:c>
      <x:c r="J402" s="50" t="b">
        <x:v>0</x:v>
      </x:c>
      <x:c r="K402" s="31"/>
      <x:c r="L402" s="31"/>
    </x:row>
    <x:row r="403">
      <x:c r="A403" s="31"/>
      <x:c r="B403" s="31"/>
      <x:c r="C403" s="31"/>
      <x:c r="D403" s="31" t="n">
        <x:v>399</x:v>
      </x:c>
      <x:c r="E403" s="42" t="n">
        <x:v>-0.018023712206552456</x:v>
      </x:c>
      <x:c r="F403" s="42" t="n">
        <x:v>0.003473872050928997</x:v>
      </x:c>
      <x:c r="G403" s="43" t="n">
        <x:v>0.965749293885086</x:v>
      </x:c>
      <x:c r="H403" s="32" t="n">
        <x:v>1084874.50942152</x:v>
      </x:c>
      <x:c r="I403" s="50" t="b">
        <x:v>0</x:v>
      </x:c>
      <x:c r="J403" s="50" t="b">
        <x:v>0</x:v>
      </x:c>
      <x:c r="K403" s="31"/>
      <x:c r="L403" s="31"/>
    </x:row>
    <x:row r="404">
      <x:c r="A404" s="31"/>
      <x:c r="B404" s="31"/>
      <x:c r="C404" s="31"/>
      <x:c r="D404" s="31" t="n">
        <x:v>400</x:v>
      </x:c>
      <x:c r="E404" s="42" t="n">
        <x:v>-0.007148651442831871</x:v>
      </x:c>
      <x:c r="F404" s="42" t="n">
        <x:v>0.0031826509879892793</x:v>
      </x:c>
      <x:c r="G404" s="43" t="n">
        <x:v>0.9944503821586786</x:v>
      </x:c>
      <x:c r="H404" s="32" t="n">
        <x:v>933683.864936243</x:v>
      </x:c>
      <x:c r="I404" s="50" t="b">
        <x:v>1</x:v>
      </x:c>
      <x:c r="J404" s="50" t="b">
        <x:v>0</x:v>
      </x:c>
      <x:c r="K404" s="31"/>
      <x:c r="L404" s="31"/>
    </x:row>
    <x:row r="405">
      <x:c r="A405" s="31"/>
      <x:c r="B405" s="31"/>
      <x:c r="C405" s="31"/>
      <x:c r="D405" s="31" t="n">
        <x:v>401</x:v>
      </x:c>
      <x:c r="E405" s="42" t="n">
        <x:v>-0.0163964361164921</x:v>
      </x:c>
      <x:c r="F405" s="42" t="n">
        <x:v>0.01012872319134857</x:v>
      </x:c>
      <x:c r="G405" s="43" t="n">
        <x:v>0.9911151931100678</x:v>
      </x:c>
      <x:c r="H405" s="32" t="n">
        <x:v>909788.7178949937</x:v>
      </x:c>
      <x:c r="I405" s="50" t="b">
        <x:v>1</x:v>
      </x:c>
      <x:c r="J405" s="50" t="b">
        <x:v>0</x:v>
      </x:c>
      <x:c r="K405" s="31"/>
      <x:c r="L405" s="31"/>
    </x:row>
    <x:row r="406">
      <x:c r="A406" s="31"/>
      <x:c r="B406" s="31"/>
      <x:c r="C406" s="31"/>
      <x:c r="D406" s="31" t="n">
        <x:v>402</x:v>
      </x:c>
      <x:c r="E406" s="42" t="n">
        <x:v>0.0025825403536526436</x:v>
      </x:c>
      <x:c r="F406" s="42" t="n">
        <x:v>-0.0024429700458464885</x:v>
      </x:c>
      <x:c r="G406" s="43" t="n">
        <x:v>1.035295949733255</x:v>
      </x:c>
      <x:c r="H406" s="32" t="n">
        <x:v>717031.6117610477</x:v>
      </x:c>
      <x:c r="I406" s="50" t="b">
        <x:v>1</x:v>
      </x:c>
      <x:c r="J406" s="50" t="b">
        <x:v>0</x:v>
      </x:c>
      <x:c r="K406" s="31"/>
      <x:c r="L406" s="31"/>
    </x:row>
    <x:row r="407">
      <x:c r="A407" s="31"/>
      <x:c r="B407" s="31"/>
      <x:c r="C407" s="31"/>
      <x:c r="D407" s="31" t="n">
        <x:v>403</x:v>
      </x:c>
      <x:c r="E407" s="42" t="n">
        <x:v>-0.015636740445673196</x:v>
      </x:c>
      <x:c r="F407" s="42" t="n">
        <x:v>-0.0001908496481152013</x:v>
      </x:c>
      <x:c r="G407" s="43" t="n">
        <x:v>0.9981425264518264</x:v>
      </x:c>
      <x:c r="H407" s="32" t="n">
        <x:v>895999.5637024727</x:v>
      </x:c>
      <x:c r="I407" s="50" t="b">
        <x:v>1</x:v>
      </x:c>
      <x:c r="J407" s="50" t="b">
        <x:v>0</x:v>
      </x:c>
      <x:c r="K407" s="31"/>
      <x:c r="L407" s="31"/>
    </x:row>
    <x:row r="408">
      <x:c r="A408" s="31"/>
      <x:c r="B408" s="31"/>
      <x:c r="C408" s="31"/>
      <x:c r="D408" s="31" t="n">
        <x:v>404</x:v>
      </x:c>
      <x:c r="E408" s="42" t="n">
        <x:v>-0.014994874317466295</x:v>
      </x:c>
      <x:c r="F408" s="42" t="n">
        <x:v>-0.00543640748201195</x:v>
      </x:c>
      <x:c r="G408" s="43" t="n">
        <x:v>0.8905576077409492</x:v>
      </x:c>
      <x:c r="H408" s="32" t="n">
        <x:v>1595627.7673211892</x:v>
      </x:c>
      <x:c r="I408" s="50" t="b">
        <x:v>0</x:v>
      </x:c>
      <x:c r="J408" s="50" t="b">
        <x:v>0</x:v>
      </x:c>
      <x:c r="K408" s="31"/>
      <x:c r="L408" s="31"/>
    </x:row>
    <x:row r="409">
      <x:c r="A409" s="31"/>
      <x:c r="B409" s="31"/>
      <x:c r="C409" s="31"/>
      <x:c r="D409" s="31" t="n">
        <x:v>405</x:v>
      </x:c>
      <x:c r="E409" s="42" t="n">
        <x:v>0.007032267165175606</x:v>
      </x:c>
      <x:c r="F409" s="42" t="n">
        <x:v>-0.00030653891653751756</x:v>
      </x:c>
      <x:c r="G409" s="43" t="n">
        <x:v>1.0166575648587737</x:v>
      </x:c>
      <x:c r="H409" s="32" t="n">
        <x:v>841837.6657577476</x:v>
      </x:c>
      <x:c r="I409" s="50" t="b">
        <x:v>1</x:v>
      </x:c>
      <x:c r="J409" s="50" t="b">
        <x:v>0</x:v>
      </x:c>
      <x:c r="K409" s="31"/>
      <x:c r="L409" s="31"/>
    </x:row>
    <x:row r="410">
      <x:c r="A410" s="31"/>
      <x:c r="B410" s="31"/>
      <x:c r="C410" s="31"/>
      <x:c r="D410" s="31" t="n">
        <x:v>406</x:v>
      </x:c>
      <x:c r="E410" s="42" t="n">
        <x:v>-0.007390505804457576</x:v>
      </x:c>
      <x:c r="F410" s="42" t="n">
        <x:v>-0.00643907174136649</x:v>
      </x:c>
      <x:c r="G410" s="43" t="n">
        <x:v>0.9574728638377026</x:v>
      </x:c>
      <x:c r="H410" s="32" t="n">
        <x:v>1194626.3663250138</x:v>
      </x:c>
      <x:c r="I410" s="50" t="b">
        <x:v>0</x:v>
      </x:c>
      <x:c r="J410" s="50" t="b">
        <x:v>0</x:v>
      </x:c>
      <x:c r="K410" s="31"/>
      <x:c r="L410" s="31"/>
    </x:row>
    <x:row r="411">
      <x:c r="A411" s="31"/>
      <x:c r="B411" s="31"/>
      <x:c r="C411" s="31"/>
      <x:c r="D411" s="31" t="n">
        <x:v>407</x:v>
      </x:c>
      <x:c r="E411" s="42" t="n">
        <x:v>0.0026430572191581433</x:v>
      </x:c>
      <x:c r="F411" s="42" t="n">
        <x:v>0.0009616531864164847</x:v>
      </x:c>
      <x:c r="G411" s="43" t="n">
        <x:v>1.0416486019186861</x:v>
      </x:c>
      <x:c r="H411" s="32" t="n">
        <x:v>667379.3770558737</x:v>
      </x:c>
      <x:c r="I411" s="50" t="b">
        <x:v>1</x:v>
      </x:c>
      <x:c r="J411" s="50" t="b">
        <x:v>0</x:v>
      </x:c>
      <x:c r="K411" s="31"/>
      <x:c r="L411" s="31"/>
    </x:row>
    <x:row r="412">
      <x:c r="A412" s="31"/>
      <x:c r="B412" s="31"/>
      <x:c r="C412" s="31"/>
      <x:c r="D412" s="31" t="n">
        <x:v>408</x:v>
      </x:c>
      <x:c r="E412" s="42" t="n">
        <x:v>-0.003054650680068416</x:v>
      </x:c>
      <x:c r="F412" s="42" t="n">
        <x:v>0.002856429664952196</x:v>
      </x:c>
      <x:c r="G412" s="43" t="n">
        <x:v>1.0207468394839092</x:v>
      </x:c>
      <x:c r="H412" s="32" t="n">
        <x:v>778986.5231770191</x:v>
      </x:c>
      <x:c r="I412" s="50" t="b">
        <x:v>1</x:v>
      </x:c>
      <x:c r="J412" s="50" t="b">
        <x:v>0</x:v>
      </x:c>
      <x:c r="K412" s="31"/>
      <x:c r="L412" s="31"/>
    </x:row>
    <x:row r="413">
      <x:c r="A413" s="31"/>
      <x:c r="B413" s="31"/>
      <x:c r="C413" s="31"/>
      <x:c r="D413" s="31" t="n">
        <x:v>409</x:v>
      </x:c>
      <x:c r="E413" s="42" t="n">
        <x:v>-0.020990562826917063</x:v>
      </x:c>
      <x:c r="F413" s="42" t="n">
        <x:v>-0.000053964386747356505</x:v>
      </x:c>
      <x:c r="G413" s="43" t="n">
        <x:v>0.866793300718399</x:v>
      </x:c>
      <x:c r="H413" s="32" t="n">
        <x:v>1714876.6659401122</x:v>
      </x:c>
      <x:c r="I413" s="50" t="b">
        <x:v>0</x:v>
      </x:c>
      <x:c r="J413" s="50" t="b">
        <x:v>0</x:v>
      </x:c>
      <x:c r="K413" s="31"/>
      <x:c r="L413" s="31"/>
    </x:row>
    <x:row r="414">
      <x:c r="A414" s="31"/>
      <x:c r="B414" s="31"/>
      <x:c r="C414" s="31"/>
      <x:c r="D414" s="31" t="n">
        <x:v>410</x:v>
      </x:c>
      <x:c r="E414" s="42" t="n">
        <x:v>-0.0039533755240734325</x:v>
      </x:c>
      <x:c r="F414" s="42" t="n">
        <x:v>0.010814545599755756</x:v>
      </x:c>
      <x:c r="G414" s="43" t="n">
        <x:v>1.008687711101944</x:v>
      </x:c>
      <x:c r="H414" s="32" t="n">
        <x:v>830917.316389062</x:v>
      </x:c>
      <x:c r="I414" s="50" t="b">
        <x:v>1</x:v>
      </x:c>
      <x:c r="J414" s="50" t="b">
        <x:v>0</x:v>
      </x:c>
      <x:c r="K414" s="31"/>
      <x:c r="L414" s="31"/>
    </x:row>
    <x:row r="415">
      <x:c r="A415" s="31"/>
      <x:c r="B415" s="31"/>
      <x:c r="C415" s="31"/>
      <x:c r="D415" s="31" t="n">
        <x:v>411</x:v>
      </x:c>
      <x:c r="E415" s="42" t="n">
        <x:v>0.0008223932413808425</x:v>
      </x:c>
      <x:c r="F415" s="42" t="n">
        <x:v>0.00966798553805858</x:v>
      </x:c>
      <x:c r="G415" s="43" t="n">
        <x:v>1.0273603340676434</x:v>
      </x:c>
      <x:c r="H415" s="32" t="n">
        <x:v>728817.8696402484</x:v>
      </x:c>
      <x:c r="I415" s="50" t="b">
        <x:v>1</x:v>
      </x:c>
      <x:c r="J415" s="50" t="b">
        <x:v>0</x:v>
      </x:c>
      <x:c r="K415" s="31"/>
      <x:c r="L415" s="31"/>
    </x:row>
    <x:row r="416">
      <x:c r="A416" s="31"/>
      <x:c r="B416" s="31"/>
      <x:c r="C416" s="31"/>
      <x:c r="D416" s="31" t="n">
        <x:v>412</x:v>
      </x:c>
      <x:c r="E416" s="42" t="n">
        <x:v>-0.005555438917384492</x:v>
      </x:c>
      <x:c r="F416" s="42" t="n">
        <x:v>0.00151062592813725</x:v>
      </x:c>
      <x:c r="G416" s="43" t="n">
        <x:v>0.9834961320467511</x:v>
      </x:c>
      <x:c r="H416" s="32" t="n">
        <x:v>1012339.9724559544</x:v>
      </x:c>
      <x:c r="I416" s="50" t="b">
        <x:v>0</x:v>
      </x:c>
      <x:c r="J416" s="50" t="b">
        <x:v>0</x:v>
      </x:c>
      <x:c r="K416" s="31"/>
      <x:c r="L416" s="31"/>
    </x:row>
    <x:row r="417">
      <x:c r="A417" s="31"/>
      <x:c r="B417" s="31"/>
      <x:c r="C417" s="31"/>
      <x:c r="D417" s="31" t="n">
        <x:v>413</x:v>
      </x:c>
      <x:c r="E417" s="42" t="n">
        <x:v>-0.0018948015914906449</x:v>
      </x:c>
      <x:c r="F417" s="42" t="n">
        <x:v>-0.000563645090994386</x:v>
      </x:c>
      <x:c r="G417" s="43" t="n">
        <x:v>1.0258555643987566</x:v>
      </x:c>
      <x:c r="H417" s="32" t="n">
        <x:v>759290.8213646612</x:v>
      </x:c>
      <x:c r="I417" s="50" t="b">
        <x:v>1</x:v>
      </x:c>
      <x:c r="J417" s="50" t="b">
        <x:v>0</x:v>
      </x:c>
      <x:c r="K417" s="31"/>
      <x:c r="L417" s="31"/>
    </x:row>
    <x:row r="418">
      <x:c r="A418" s="31"/>
      <x:c r="B418" s="31"/>
      <x:c r="C418" s="31"/>
      <x:c r="D418" s="31" t="n">
        <x:v>414</x:v>
      </x:c>
      <x:c r="E418" s="42" t="n">
        <x:v>0.0006541739890615802</x:v>
      </x:c>
      <x:c r="F418" s="42" t="n">
        <x:v>0.004358691742405377</x:v>
      </x:c>
      <x:c r="G418" s="43" t="n">
        <x:v>0.9434148340238129</x:v>
      </x:c>
      <x:c r="H418" s="32" t="n">
        <x:v>1276241.542462681</x:v>
      </x:c>
      <x:c r="I418" s="50" t="b">
        <x:v>0</x:v>
      </x:c>
      <x:c r="J418" s="50" t="b">
        <x:v>0</x:v>
      </x:c>
      <x:c r="K418" s="31"/>
      <x:c r="L418" s="31"/>
    </x:row>
    <x:row r="419">
      <x:c r="A419" s="31"/>
      <x:c r="B419" s="31"/>
      <x:c r="C419" s="31"/>
      <x:c r="D419" s="31" t="n">
        <x:v>415</x:v>
      </x:c>
      <x:c r="E419" s="42" t="n">
        <x:v>-0.018717208623789856</x:v>
      </x:c>
      <x:c r="F419" s="42" t="n">
        <x:v>0.008540888452036188</x:v>
      </x:c>
      <x:c r="G419" s="43" t="n">
        <x:v>0.9480354973670682</x:v>
      </x:c>
      <x:c r="H419" s="32" t="n">
        <x:v>1181335.1476067419</x:v>
      </x:c>
      <x:c r="I419" s="50" t="b">
        <x:v>0</x:v>
      </x:c>
      <x:c r="J419" s="50" t="b">
        <x:v>0</x:v>
      </x:c>
      <x:c r="K419" s="31"/>
      <x:c r="L419" s="31"/>
    </x:row>
    <x:row r="420">
      <x:c r="A420" s="31"/>
      <x:c r="B420" s="31"/>
      <x:c r="C420" s="31"/>
      <x:c r="D420" s="31" t="n">
        <x:v>416</x:v>
      </x:c>
      <x:c r="E420" s="42" t="n">
        <x:v>0.003117948751299152</x:v>
      </x:c>
      <x:c r="F420" s="42" t="n">
        <x:v>-0.0010392771952539034</x:v>
      </x:c>
      <x:c r="G420" s="43" t="n">
        <x:v>1.0081718114265361</x:v>
      </x:c>
      <x:c r="H420" s="32" t="n">
        <x:v>886872.2110744907</x:v>
      </x:c>
      <x:c r="I420" s="50" t="b">
        <x:v>1</x:v>
      </x:c>
      <x:c r="J420" s="50" t="b">
        <x:v>0</x:v>
      </x:c>
      <x:c r="K420" s="31"/>
      <x:c r="L420" s="31"/>
    </x:row>
    <x:row r="421">
      <x:c r="A421" s="31"/>
      <x:c r="B421" s="31"/>
      <x:c r="C421" s="31"/>
      <x:c r="D421" s="31" t="n">
        <x:v>417</x:v>
      </x:c>
      <x:c r="E421" s="42" t="n">
        <x:v>0.007138705757059931</x:v>
      </x:c>
      <x:c r="F421" s="42" t="n">
        <x:v>-0.005969499626957064</x:v>
      </x:c>
      <x:c r="G421" s="43" t="n">
        <x:v>1.0871359567241952</x:v>
      </x:c>
      <x:c r="H421" s="32" t="n">
        <x:v>410309.21345242765</x:v>
      </x:c>
      <x:c r="I421" s="50" t="b">
        <x:v>1</x:v>
      </x:c>
      <x:c r="J421" s="50" t="b">
        <x:v>0</x:v>
      </x:c>
      <x:c r="K421" s="31"/>
      <x:c r="L421" s="31"/>
    </x:row>
    <x:row r="422">
      <x:c r="A422" s="31"/>
      <x:c r="B422" s="31"/>
      <x:c r="C422" s="31"/>
      <x:c r="D422" s="31" t="n">
        <x:v>418</x:v>
      </x:c>
      <x:c r="E422" s="42" t="n">
        <x:v>0.007949194673111577</x:v>
      </x:c>
      <x:c r="F422" s="42" t="n">
        <x:v>0.011925496591171798</x:v>
      </x:c>
      <x:c r="G422" s="43" t="n">
        <x:v>1.0785514998570633</x:v>
      </x:c>
      <x:c r="H422" s="32" t="n">
        <x:v>417271.48953914153</x:v>
      </x:c>
      <x:c r="I422" s="50" t="b">
        <x:v>1</x:v>
      </x:c>
      <x:c r="J422" s="50" t="b">
        <x:v>0</x:v>
      </x:c>
      <x:c r="K422" s="31"/>
      <x:c r="L422" s="31"/>
    </x:row>
    <x:row r="423">
      <x:c r="A423" s="31"/>
      <x:c r="B423" s="31"/>
      <x:c r="C423" s="31"/>
      <x:c r="D423" s="31" t="n">
        <x:v>419</x:v>
      </x:c>
      <x:c r="E423" s="42" t="n">
        <x:v>0.022285396941702257</x:v>
      </x:c>
      <x:c r="F423" s="42" t="n">
        <x:v>0.0007488803928538833</x:v>
      </x:c>
      <x:c r="G423" s="43" t="n">
        <x:v>1.0463258414348455</x:v>
      </x:c>
      <x:c r="H423" s="32" t="n">
        <x:v>692942.7393778812</x:v>
      </x:c>
      <x:c r="I423" s="50" t="b">
        <x:v>1</x:v>
      </x:c>
      <x:c r="J423" s="50" t="b">
        <x:v>0</x:v>
      </x:c>
      <x:c r="K423" s="31"/>
      <x:c r="L423" s="31"/>
    </x:row>
    <x:row r="424">
      <x:c r="A424" s="31"/>
      <x:c r="B424" s="31"/>
      <x:c r="C424" s="31"/>
      <x:c r="D424" s="31" t="n">
        <x:v>420</x:v>
      </x:c>
      <x:c r="E424" s="42" t="n">
        <x:v>-0.0017182188892219535</x:v>
      </x:c>
      <x:c r="F424" s="42" t="n">
        <x:v>0.002341312467050299</x:v>
      </x:c>
      <x:c r="G424" s="43" t="n">
        <x:v>1.0116780233994354</x:v>
      </x:c>
      <x:c r="H424" s="32" t="n">
        <x:v>841733.7557595145</x:v>
      </x:c>
      <x:c r="I424" s="50" t="b">
        <x:v>1</x:v>
      </x:c>
      <x:c r="J424" s="50" t="b">
        <x:v>0</x:v>
      </x:c>
      <x:c r="K424" s="31"/>
      <x:c r="L424" s="31"/>
    </x:row>
    <x:row r="425">
      <x:c r="A425" s="31"/>
      <x:c r="B425" s="31"/>
      <x:c r="C425" s="31"/>
      <x:c r="D425" s="31" t="n">
        <x:v>421</x:v>
      </x:c>
      <x:c r="E425" s="42" t="n">
        <x:v>-0.0019943215130005507</x:v>
      </x:c>
      <x:c r="F425" s="42" t="n">
        <x:v>0.0029437397058423758</x:v>
      </x:c>
      <x:c r="G425" s="43" t="n">
        <x:v>0.997177262397273</x:v>
      </x:c>
      <x:c r="H425" s="32" t="n">
        <x:v>931378.4506289093</x:v>
      </x:c>
      <x:c r="I425" s="50" t="b">
        <x:v>1</x:v>
      </x:c>
      <x:c r="J425" s="50" t="b">
        <x:v>0</x:v>
      </x:c>
      <x:c r="K425" s="31"/>
      <x:c r="L425" s="31"/>
    </x:row>
    <x:row r="426">
      <x:c r="A426" s="31"/>
      <x:c r="B426" s="31"/>
      <x:c r="C426" s="31"/>
      <x:c r="D426" s="31" t="n">
        <x:v>422</x:v>
      </x:c>
      <x:c r="E426" s="42" t="n">
        <x:v>-0.008482848108252559</x:v>
      </x:c>
      <x:c r="F426" s="42" t="n">
        <x:v>-0.0013543467124985044</x:v>
      </x:c>
      <x:c r="G426" s="43" t="n">
        <x:v>1.0236514972351773</x:v>
      </x:c>
      <x:c r="H426" s="32" t="n">
        <x:v>757151.1708146307</x:v>
      </x:c>
      <x:c r="I426" s="50" t="b">
        <x:v>1</x:v>
      </x:c>
      <x:c r="J426" s="50" t="b">
        <x:v>0</x:v>
      </x:c>
      <x:c r="K426" s="31"/>
      <x:c r="L426" s="31"/>
    </x:row>
    <x:row r="427">
      <x:c r="A427" s="31"/>
      <x:c r="B427" s="31"/>
      <x:c r="C427" s="31"/>
      <x:c r="D427" s="31" t="n">
        <x:v>423</x:v>
      </x:c>
      <x:c r="E427" s="42" t="n">
        <x:v>-0.015109347880103492</x:v>
      </x:c>
      <x:c r="F427" s="42" t="n">
        <x:v>0.00009820554590004865</x:v>
      </x:c>
      <x:c r="G427" s="43" t="n">
        <x:v>1.0064973624277134</x:v>
      </x:c>
      <x:c r="H427" s="32" t="n">
        <x:v>843603.855479596</x:v>
      </x:c>
      <x:c r="I427" s="50" t="b">
        <x:v>1</x:v>
      </x:c>
      <x:c r="J427" s="50" t="b">
        <x:v>0</x:v>
      </x:c>
      <x:c r="K427" s="31"/>
      <x:c r="L427" s="31"/>
    </x:row>
    <x:row r="428">
      <x:c r="A428" s="31"/>
      <x:c r="B428" s="31"/>
      <x:c r="C428" s="31"/>
      <x:c r="D428" s="31" t="n">
        <x:v>424</x:v>
      </x:c>
      <x:c r="E428" s="42" t="n">
        <x:v>-0.002648184580599311</x:v>
      </x:c>
      <x:c r="F428" s="42" t="n">
        <x:v>-0.0008133269359098974</x:v>
      </x:c>
      <x:c r="G428" s="43" t="n">
        <x:v>0.9568871190611286</x:v>
      </x:c>
      <x:c r="H428" s="32" t="n">
        <x:v>1195887.231375741</x:v>
      </x:c>
      <x:c r="I428" s="50" t="b">
        <x:v>0</x:v>
      </x:c>
      <x:c r="J428" s="50" t="b">
        <x:v>0</x:v>
      </x:c>
      <x:c r="K428" s="31"/>
      <x:c r="L428" s="31"/>
    </x:row>
    <x:row r="429">
      <x:c r="A429" s="31"/>
      <x:c r="B429" s="31"/>
      <x:c r="C429" s="31"/>
      <x:c r="D429" s="31" t="n">
        <x:v>425</x:v>
      </x:c>
      <x:c r="E429" s="42" t="n">
        <x:v>0.009823354238759813</x:v>
      </x:c>
      <x:c r="F429" s="42" t="n">
        <x:v>-0.008578067121154408</x:v>
      </x:c>
      <x:c r="G429" s="43" t="n">
        <x:v>1.0050228358182398</x:v>
      </x:c>
      <x:c r="H429" s="32" t="n">
        <x:v>946519.4700562204</x:v>
      </x:c>
      <x:c r="I429" s="50" t="b">
        <x:v>1</x:v>
      </x:c>
      <x:c r="J429" s="50" t="b">
        <x:v>0</x:v>
      </x:c>
      <x:c r="K429" s="31"/>
      <x:c r="L429" s="31"/>
    </x:row>
    <x:row r="430">
      <x:c r="A430" s="31"/>
      <x:c r="B430" s="31"/>
      <x:c r="C430" s="31"/>
      <x:c r="D430" s="31" t="n">
        <x:v>426</x:v>
      </x:c>
      <x:c r="E430" s="42" t="n">
        <x:v>0.008504573293463963</x:v>
      </x:c>
      <x:c r="F430" s="42" t="n">
        <x:v>-0.0012098392292707457</x:v>
      </x:c>
      <x:c r="G430" s="43" t="n">
        <x:v>0.9485362218962633</x:v>
      </x:c>
      <x:c r="H430" s="32" t="n">
        <x:v>1281068.992231972</x:v>
      </x:c>
      <x:c r="I430" s="50" t="b">
        <x:v>0</x:v>
      </x:c>
      <x:c r="J430" s="50" t="b">
        <x:v>0</x:v>
      </x:c>
      <x:c r="K430" s="31"/>
      <x:c r="L430" s="31"/>
    </x:row>
    <x:row r="431">
      <x:c r="A431" s="31"/>
      <x:c r="B431" s="31"/>
      <x:c r="C431" s="31"/>
      <x:c r="D431" s="31" t="n">
        <x:v>427</x:v>
      </x:c>
      <x:c r="E431" s="42" t="n">
        <x:v>-0.0023198958647234415</x:v>
      </x:c>
      <x:c r="F431" s="42" t="n">
        <x:v>-0.0048446898718345795</x:v>
      </x:c>
      <x:c r="G431" s="43" t="n">
        <x:v>1.0367426995464941</x:v>
      </x:c>
      <x:c r="H431" s="32" t="n">
        <x:v>700882.926307604</x:v>
      </x:c>
      <x:c r="I431" s="50" t="b">
        <x:v>1</x:v>
      </x:c>
      <x:c r="J431" s="50" t="b">
        <x:v>0</x:v>
      </x:c>
      <x:c r="K431" s="31"/>
      <x:c r="L431" s="31"/>
    </x:row>
    <x:row r="432">
      <x:c r="A432" s="31"/>
      <x:c r="B432" s="31"/>
      <x:c r="C432" s="31"/>
      <x:c r="D432" s="31" t="n">
        <x:v>428</x:v>
      </x:c>
      <x:c r="E432" s="42" t="n">
        <x:v>0.006286711518339518</x:v>
      </x:c>
      <x:c r="F432" s="42" t="n">
        <x:v>0.0012137165475954422</x:v>
      </x:c>
      <x:c r="G432" s="43" t="n">
        <x:v>0.9574288639116451</x:v>
      </x:c>
      <x:c r="H432" s="32" t="n">
        <x:v>1211674.9287727321</x:v>
      </x:c>
      <x:c r="I432" s="50" t="b">
        <x:v>0</x:v>
      </x:c>
      <x:c r="J432" s="50" t="b">
        <x:v>0</x:v>
      </x:c>
      <x:c r="K432" s="31"/>
      <x:c r="L432" s="31"/>
    </x:row>
    <x:row r="433">
      <x:c r="A433" s="31"/>
      <x:c r="B433" s="31"/>
      <x:c r="C433" s="31"/>
      <x:c r="D433" s="31" t="n">
        <x:v>429</x:v>
      </x:c>
      <x:c r="E433" s="42" t="n">
        <x:v>-0.0037308084641892456</x:v>
      </x:c>
      <x:c r="F433" s="42" t="n">
        <x:v>0.00645512492295863</x:v>
      </x:c>
      <x:c r="G433" s="43" t="n">
        <x:v>0.9070096345260253</x:v>
      </x:c>
      <x:c r="H433" s="32" t="n">
        <x:v>1489399.1783867518</x:v>
      </x:c>
      <x:c r="I433" s="50" t="b">
        <x:v>0</x:v>
      </x:c>
      <x:c r="J433" s="50" t="b">
        <x:v>0</x:v>
      </x:c>
      <x:c r="K433" s="31"/>
      <x:c r="L433" s="31"/>
    </x:row>
    <x:row r="434">
      <x:c r="A434" s="31"/>
      <x:c r="B434" s="31"/>
      <x:c r="C434" s="31"/>
      <x:c r="D434" s="31" t="n">
        <x:v>430</x:v>
      </x:c>
      <x:c r="E434" s="42" t="n">
        <x:v>0.010529812231304463</x:v>
      </x:c>
      <x:c r="F434" s="42" t="n">
        <x:v>-0.0004665096732174592</x:v>
      </x:c>
      <x:c r="G434" s="43" t="n">
        <x:v>0.9435534254809052</x:v>
      </x:c>
      <x:c r="H434" s="32" t="n">
        <x:v>1316281.5016072786</x:v>
      </x:c>
      <x:c r="I434" s="50" t="b">
        <x:v>0</x:v>
      </x:c>
      <x:c r="J434" s="50" t="b">
        <x:v>0</x:v>
      </x:c>
      <x:c r="K434" s="31"/>
      <x:c r="L434" s="31"/>
    </x:row>
    <x:row r="435">
      <x:c r="A435" s="31"/>
      <x:c r="B435" s="31"/>
      <x:c r="C435" s="31"/>
      <x:c r="D435" s="31" t="n">
        <x:v>431</x:v>
      </x:c>
      <x:c r="E435" s="42" t="n">
        <x:v>0.00863533212806263</x:v>
      </x:c>
      <x:c r="F435" s="42" t="n">
        <x:v>0.0010080470481767538</x:v>
      </x:c>
      <x:c r="G435" s="43" t="n">
        <x:v>1.0291598790272403</x:v>
      </x:c>
      <x:c r="H435" s="32" t="n">
        <x:v>763242.1039789622</x:v>
      </x:c>
      <x:c r="I435" s="50" t="b">
        <x:v>1</x:v>
      </x:c>
      <x:c r="J435" s="50" t="b">
        <x:v>0</x:v>
      </x:c>
      <x:c r="K435" s="31"/>
      <x:c r="L435" s="31"/>
    </x:row>
    <x:row r="436">
      <x:c r="A436" s="31"/>
      <x:c r="B436" s="31"/>
      <x:c r="C436" s="31"/>
      <x:c r="D436" s="31" t="n">
        <x:v>432</x:v>
      </x:c>
      <x:c r="E436" s="42" t="n">
        <x:v>-0.030236860758111994</x:v>
      </x:c>
      <x:c r="F436" s="42" t="n">
        <x:v>0.00042429810789295394</x:v>
      </x:c>
      <x:c r="G436" s="43" t="n">
        <x:v>1.0847605042060058</x:v>
      </x:c>
      <x:c r="H436" s="32" t="n">
        <x:v>303562.0237092987</x:v>
      </x:c>
      <x:c r="I436" s="50" t="b">
        <x:v>1</x:v>
      </x:c>
      <x:c r="J436" s="50" t="b">
        <x:v>0</x:v>
      </x:c>
      <x:c r="K436" s="31"/>
      <x:c r="L436" s="31"/>
    </x:row>
    <x:row r="437">
      <x:c r="A437" s="31"/>
      <x:c r="B437" s="31"/>
      <x:c r="C437" s="31"/>
      <x:c r="D437" s="31" t="n">
        <x:v>433</x:v>
      </x:c>
      <x:c r="E437" s="42" t="n">
        <x:v>-0.008339719638979738</x:v>
      </x:c>
      <x:c r="F437" s="42" t="n">
        <x:v>-0.0002958197910243471</x:v>
      </x:c>
      <x:c r="G437" s="43" t="n">
        <x:v>0.981920055997094</x:v>
      </x:c>
      <x:c r="H437" s="32" t="n">
        <x:v>1019627.3461889206</x:v>
      </x:c>
      <x:c r="I437" s="50" t="b">
        <x:v>0</x:v>
      </x:c>
      <x:c r="J437" s="50" t="b">
        <x:v>0</x:v>
      </x:c>
      <x:c r="K437" s="31"/>
      <x:c r="L437" s="31"/>
    </x:row>
    <x:row r="438">
      <x:c r="A438" s="31"/>
      <x:c r="B438" s="31"/>
      <x:c r="C438" s="31"/>
      <x:c r="D438" s="31" t="n">
        <x:v>434</x:v>
      </x:c>
      <x:c r="E438" s="42" t="n">
        <x:v>-0.02009532979504247</x:v>
      </x:c>
      <x:c r="F438" s="42" t="n">
        <x:v>0.007933633567598445</x:v>
      </x:c>
      <x:c r="G438" s="43" t="n">
        <x:v>1.0216167498667275</x:v>
      </x:c>
      <x:c r="H438" s="32" t="n">
        <x:v>711896.3584986471</x:v>
      </x:c>
      <x:c r="I438" s="50" t="b">
        <x:v>1</x:v>
      </x:c>
      <x:c r="J438" s="50" t="b">
        <x:v>0</x:v>
      </x:c>
      <x:c r="K438" s="31"/>
      <x:c r="L438" s="31"/>
    </x:row>
    <x:row r="439">
      <x:c r="A439" s="31"/>
      <x:c r="B439" s="31"/>
      <x:c r="C439" s="31"/>
      <x:c r="D439" s="31" t="n">
        <x:v>435</x:v>
      </x:c>
      <x:c r="E439" s="42" t="n">
        <x:v>-0.0003249727909228278</x:v>
      </x:c>
      <x:c r="F439" s="42" t="n">
        <x:v>-0.004865224309600824</x:v>
      </x:c>
      <x:c r="G439" s="43" t="n">
        <x:v>1.0228781778825433</x:v>
      </x:c>
      <x:c r="H439" s="32" t="n">
        <x:v>794542.5287815693</x:v>
      </x:c>
      <x:c r="I439" s="50" t="b">
        <x:v>1</x:v>
      </x:c>
      <x:c r="J439" s="50" t="b">
        <x:v>0</x:v>
      </x:c>
      <x:c r="K439" s="31"/>
      <x:c r="L439" s="31"/>
    </x:row>
    <x:row r="440">
      <x:c r="A440" s="31"/>
      <x:c r="B440" s="31"/>
      <x:c r="C440" s="31"/>
      <x:c r="D440" s="31" t="n">
        <x:v>436</x:v>
      </x:c>
      <x:c r="E440" s="42" t="n">
        <x:v>-0.020598078302952443</x:v>
      </x:c>
      <x:c r="F440" s="42" t="n">
        <x:v>0.005702199680497999</x:v>
      </x:c>
      <x:c r="G440" s="43" t="n">
        <x:v>1.0448302718202667</x:v>
      </x:c>
      <x:c r="H440" s="32" t="n">
        <x:v>569285.8876879144</x:v>
      </x:c>
      <x:c r="I440" s="50" t="b">
        <x:v>1</x:v>
      </x:c>
      <x:c r="J440" s="50" t="b">
        <x:v>0</x:v>
      </x:c>
      <x:c r="K440" s="31"/>
      <x:c r="L440" s="31"/>
    </x:row>
    <x:row r="441">
      <x:c r="A441" s="31"/>
      <x:c r="B441" s="31"/>
      <x:c r="C441" s="31"/>
      <x:c r="D441" s="31" t="n">
        <x:v>437</x:v>
      </x:c>
      <x:c r="E441" s="42" t="n">
        <x:v>0.027462730726730538</x:v>
      </x:c>
      <x:c r="F441" s="42" t="n">
        <x:v>0.0016187677763514292</x:v>
      </x:c>
      <x:c r="G441" s="43" t="n">
        <x:v>1.0284378816267667</x:v>
      </x:c>
      <x:c r="H441" s="32" t="n">
        <x:v>818533.8254607723</x:v>
      </x:c>
      <x:c r="I441" s="50" t="b">
        <x:v>1</x:v>
      </x:c>
      <x:c r="J441" s="50" t="b">
        <x:v>0</x:v>
      </x:c>
      <x:c r="K441" s="31"/>
      <x:c r="L441" s="31"/>
    </x:row>
    <x:row r="442">
      <x:c r="A442" s="31"/>
      <x:c r="B442" s="31"/>
      <x:c r="C442" s="31"/>
      <x:c r="D442" s="31" t="n">
        <x:v>438</x:v>
      </x:c>
      <x:c r="E442" s="42" t="n">
        <x:v>0.015196296916600146</x:v>
      </x:c>
      <x:c r="F442" s="42" t="n">
        <x:v>-0.0018418113699860271</x:v>
      </x:c>
      <x:c r="G442" s="43" t="n">
        <x:v>0.9564568430510549</x:v>
      </x:c>
      <x:c r="H442" s="32" t="n">
        <x:v>1251153.1077878107</x:v>
      </x:c>
      <x:c r="I442" s="50" t="b">
        <x:v>0</x:v>
      </x:c>
      <x:c r="J442" s="50" t="b">
        <x:v>0</x:v>
      </x:c>
      <x:c r="K442" s="31"/>
      <x:c r="L442" s="31"/>
    </x:row>
    <x:row r="443">
      <x:c r="A443" s="31"/>
      <x:c r="B443" s="31"/>
      <x:c r="C443" s="31"/>
      <x:c r="D443" s="31" t="n">
        <x:v>439</x:v>
      </x:c>
      <x:c r="E443" s="42" t="n">
        <x:v>-0.0039130577389247705</x:v>
      </x:c>
      <x:c r="F443" s="42" t="n">
        <x:v>0.003814405586431112</x:v>
      </x:c>
      <x:c r="G443" s="43" t="n">
        <x:v>0.9630132408542046</x:v>
      </x:c>
      <x:c r="H443" s="32" t="n">
        <x:v>1140579.8207661174</x:v>
      </x:c>
      <x:c r="I443" s="50" t="b">
        <x:v>0</x:v>
      </x:c>
      <x:c r="J443" s="50" t="b">
        <x:v>0</x:v>
      </x:c>
      <x:c r="K443" s="31"/>
      <x:c r="L443" s="31"/>
    </x:row>
    <x:row r="444">
      <x:c r="A444" s="31"/>
      <x:c r="B444" s="31"/>
      <x:c r="C444" s="31"/>
      <x:c r="D444" s="31" t="n">
        <x:v>440</x:v>
      </x:c>
      <x:c r="E444" s="42" t="n">
        <x:v>-0.008865310916384726</x:v>
      </x:c>
      <x:c r="F444" s="42" t="n">
        <x:v>0.006067316744010527</x:v>
      </x:c>
      <x:c r="G444" s="43" t="n">
        <x:v>1.0379290673210357</x:v>
      </x:c>
      <x:c r="H444" s="32" t="n">
        <x:v>644755.5305410856</x:v>
      </x:c>
      <x:c r="I444" s="50" t="b">
        <x:v>1</x:v>
      </x:c>
      <x:c r="J444" s="50" t="b">
        <x:v>0</x:v>
      </x:c>
      <x:c r="K444" s="31"/>
      <x:c r="L444" s="31"/>
    </x:row>
    <x:row r="445">
      <x:c r="A445" s="31"/>
      <x:c r="B445" s="31"/>
      <x:c r="C445" s="31"/>
      <x:c r="D445" s="31" t="n">
        <x:v>441</x:v>
      </x:c>
      <x:c r="E445" s="42" t="n">
        <x:v>-0.003795441989635725</x:v>
      </x:c>
      <x:c r="F445" s="42" t="n">
        <x:v>0.001695453699177115</x:v>
      </x:c>
      <x:c r="G445" s="43" t="n">
        <x:v>0.9895236723923788</x:v>
      </x:c>
      <x:c r="H445" s="32" t="n">
        <x:v>978445.3406489227</x:v>
      </x:c>
      <x:c r="I445" s="50" t="b">
        <x:v>1</x:v>
      </x:c>
      <x:c r="J445" s="50" t="b">
        <x:v>0</x:v>
      </x:c>
      <x:c r="K445" s="31"/>
      <x:c r="L445" s="31"/>
    </x:row>
    <x:row r="446">
      <x:c r="A446" s="31"/>
      <x:c r="B446" s="31"/>
      <x:c r="C446" s="31"/>
      <x:c r="D446" s="31" t="n">
        <x:v>442</x:v>
      </x:c>
      <x:c r="E446" s="42" t="n">
        <x:v>0.003148816520495188</x:v>
      </x:c>
      <x:c r="F446" s="42" t="n">
        <x:v>-0.0018534821399242617</x:v>
      </x:c>
      <x:c r="G446" s="43" t="n">
        <x:v>0.9666036850210442</x:v>
      </x:c>
      <x:c r="H446" s="32" t="n">
        <x:v>1153211.53211157</x:v>
      </x:c>
      <x:c r="I446" s="50" t="b">
        <x:v>0</x:v>
      </x:c>
      <x:c r="J446" s="50" t="b">
        <x:v>0</x:v>
      </x:c>
      <x:c r="K446" s="31"/>
      <x:c r="L446" s="31"/>
    </x:row>
    <x:row r="447">
      <x:c r="A447" s="31"/>
      <x:c r="B447" s="31"/>
      <x:c r="C447" s="31"/>
      <x:c r="D447" s="31" t="n">
        <x:v>443</x:v>
      </x:c>
      <x:c r="E447" s="42" t="n">
        <x:v>0.015119121461835777</x:v>
      </x:c>
      <x:c r="F447" s="42" t="n">
        <x:v>-0.00652454090034023</x:v>
      </x:c>
      <x:c r="G447" s="43" t="n">
        <x:v>1.0332993496744152</x:v>
      </x:c>
      <x:c r="H447" s="32" t="n">
        <x:v>775968.4305355039</x:v>
      </x:c>
      <x:c r="I447" s="50" t="b">
        <x:v>1</x:v>
      </x:c>
      <x:c r="J447" s="50" t="b">
        <x:v>0</x:v>
      </x:c>
      <x:c r="K447" s="31"/>
      <x:c r="L447" s="31"/>
    </x:row>
    <x:row r="448">
      <x:c r="A448" s="31"/>
      <x:c r="B448" s="31"/>
      <x:c r="C448" s="31"/>
      <x:c r="D448" s="31" t="n">
        <x:v>444</x:v>
      </x:c>
      <x:c r="E448" s="42" t="n">
        <x:v>0.000026535927664880824</x:v>
      </x:c>
      <x:c r="F448" s="42" t="n">
        <x:v>0.0036643485379659</x:v>
      </x:c>
      <x:c r="G448" s="43" t="n">
        <x:v>0.9906053980462206</x:v>
      </x:c>
      <x:c r="H448" s="32" t="n">
        <x:v>976733.7144632272</x:v>
      </x:c>
      <x:c r="I448" s="50" t="b">
        <x:v>1</x:v>
      </x:c>
      <x:c r="J448" s="50" t="b">
        <x:v>0</x:v>
      </x:c>
      <x:c r="K448" s="31"/>
      <x:c r="L448" s="31"/>
    </x:row>
    <x:row r="449">
      <x:c r="A449" s="31"/>
      <x:c r="B449" s="31"/>
      <x:c r="C449" s="31"/>
      <x:c r="D449" s="31" t="n">
        <x:v>445</x:v>
      </x:c>
      <x:c r="E449" s="42" t="n">
        <x:v>-0.004065123425808096</x:v>
      </x:c>
      <x:c r="F449" s="42" t="n">
        <x:v>-0.00802571775520537</x:v>
      </x:c>
      <x:c r="G449" s="43" t="n">
        <x:v>1.014583540254645</x:v>
      </x:c>
      <x:c r="H449" s="32" t="n">
        <x:v>845605.8635820794</x:v>
      </x:c>
      <x:c r="I449" s="50" t="b">
        <x:v>1</x:v>
      </x:c>
      <x:c r="J449" s="50" t="b">
        <x:v>0</x:v>
      </x:c>
      <x:c r="K449" s="31"/>
      <x:c r="L449" s="31"/>
    </x:row>
    <x:row r="450">
      <x:c r="A450" s="31"/>
      <x:c r="B450" s="31"/>
      <x:c r="C450" s="31"/>
      <x:c r="D450" s="31" t="n">
        <x:v>446</x:v>
      </x:c>
      <x:c r="E450" s="42" t="n">
        <x:v>0.024569337801333118</x:v>
      </x:c>
      <x:c r="F450" s="42" t="n">
        <x:v>0.000965093027015732</x:v>
      </x:c>
      <x:c r="G450" s="43" t="n">
        <x:v>0.9417876823611757</x:v>
      </x:c>
      <x:c r="H450" s="32" t="n">
        <x:v>1362589.653746769</x:v>
      </x:c>
      <x:c r="I450" s="50" t="b">
        <x:v>0</x:v>
      </x:c>
      <x:c r="J450" s="50" t="b">
        <x:v>0</x:v>
      </x:c>
      <x:c r="K450" s="31"/>
      <x:c r="L450" s="31"/>
    </x:row>
    <x:row r="451">
      <x:c r="A451" s="31"/>
      <x:c r="B451" s="31"/>
      <x:c r="C451" s="31"/>
      <x:c r="D451" s="31" t="n">
        <x:v>447</x:v>
      </x:c>
      <x:c r="E451" s="42" t="n">
        <x:v>0.0073088512163273205</x:v>
      </x:c>
      <x:c r="F451" s="42" t="n">
        <x:v>-0.007975785167543194</x:v>
      </x:c>
      <x:c r="G451" s="43" t="n">
        <x:v>0.9265563787390149</x:v>
      </x:c>
      <x:c r="H451" s="32" t="n">
        <x:v>1436161.404620387</x:v>
      </x:c>
      <x:c r="I451" s="50" t="b">
        <x:v>0</x:v>
      </x:c>
      <x:c r="J451" s="50" t="b">
        <x:v>0</x:v>
      </x:c>
      <x:c r="K451" s="31"/>
      <x:c r="L451" s="31"/>
    </x:row>
    <x:row r="452">
      <x:c r="A452" s="31"/>
      <x:c r="B452" s="31"/>
      <x:c r="C452" s="31"/>
      <x:c r="D452" s="31" t="n">
        <x:v>448</x:v>
      </x:c>
      <x:c r="E452" s="42" t="n">
        <x:v>0.0012335826755678501</x:v>
      </x:c>
      <x:c r="F452" s="42" t="n">
        <x:v>-0.0016818667691140916</x:v>
      </x:c>
      <x:c r="G452" s="43" t="n">
        <x:v>0.9900158133964064</x:v>
      </x:c>
      <x:c r="H452" s="32" t="n">
        <x:v>998719.1447421003</x:v>
      </x:c>
      <x:c r="I452" s="50" t="b">
        <x:v>1</x:v>
      </x:c>
      <x:c r="J452" s="50" t="b">
        <x:v>0</x:v>
      </x:c>
      <x:c r="K452" s="31"/>
      <x:c r="L452" s="31"/>
    </x:row>
    <x:row r="453">
      <x:c r="A453" s="31"/>
      <x:c r="B453" s="31"/>
      <x:c r="C453" s="31"/>
      <x:c r="D453" s="31" t="n">
        <x:v>449</x:v>
      </x:c>
      <x:c r="E453" s="42" t="n">
        <x:v>-0.01774640298245086</x:v>
      </x:c>
      <x:c r="F453" s="42" t="n">
        <x:v>0.004104354123857381</x:v>
      </x:c>
      <x:c r="G453" s="43" t="n">
        <x:v>0.9837236389413766</x:v>
      </x:c>
      <x:c r="H453" s="32" t="n">
        <x:v>969741.6239177343</x:v>
      </x:c>
      <x:c r="I453" s="50" t="b">
        <x:v>1</x:v>
      </x:c>
      <x:c r="J453" s="50" t="b">
        <x:v>0</x:v>
      </x:c>
      <x:c r="K453" s="31"/>
      <x:c r="L453" s="31"/>
    </x:row>
    <x:row r="454">
      <x:c r="A454" s="31"/>
      <x:c r="B454" s="31"/>
      <x:c r="C454" s="31"/>
      <x:c r="D454" s="31" t="n">
        <x:v>450</x:v>
      </x:c>
      <x:c r="E454" s="42" t="n">
        <x:v>-0.003845828678997962</x:v>
      </x:c>
      <x:c r="F454" s="42" t="n">
        <x:v>0.006675923138832361</x:v>
      </x:c>
      <x:c r="G454" s="43" t="n">
        <x:v>1.0053965640770517</x:v>
      </x:c>
      <x:c r="H454" s="32" t="n">
        <x:v>863637.7372664856</x:v>
      </x:c>
      <x:c r="I454" s="50" t="b">
        <x:v>1</x:v>
      </x:c>
      <x:c r="J454" s="50" t="b">
        <x:v>0</x:v>
      </x:c>
      <x:c r="K454" s="31"/>
      <x:c r="L454" s="31"/>
    </x:row>
    <x:row r="455">
      <x:c r="A455" s="31"/>
      <x:c r="B455" s="31"/>
      <x:c r="C455" s="31"/>
      <x:c r="D455" s="31" t="n">
        <x:v>451</x:v>
      </x:c>
      <x:c r="E455" s="42" t="n">
        <x:v>-0.0004243286152480401</x:v>
      </x:c>
      <x:c r="F455" s="42" t="n">
        <x:v>0.005264833172920988</x:v>
      </x:c>
      <x:c r="G455" s="43" t="n">
        <x:v>1.0464749059313958</x:v>
      </x:c>
      <x:c r="H455" s="32" t="n">
        <x:v>616212.7951082028</x:v>
      </x:c>
      <x:c r="I455" s="50" t="b">
        <x:v>1</x:v>
      </x:c>
      <x:c r="J455" s="50" t="b">
        <x:v>0</x:v>
      </x:c>
      <x:c r="K455" s="31"/>
      <x:c r="L455" s="31"/>
    </x:row>
    <x:row r="456">
      <x:c r="A456" s="31"/>
      <x:c r="B456" s="31"/>
      <x:c r="C456" s="31"/>
      <x:c r="D456" s="31" t="n">
        <x:v>452</x:v>
      </x:c>
      <x:c r="E456" s="42" t="n">
        <x:v>0.0001568852526259574</x:v>
      </x:c>
      <x:c r="F456" s="42" t="n">
        <x:v>-0.007393303062247602</x:v>
      </x:c>
      <x:c r="G456" s="43" t="n">
        <x:v>1.0736966144617104</x:v>
      </x:c>
      <x:c r="H456" s="32" t="n">
        <x:v>480187.691231266</x:v>
      </x:c>
      <x:c r="I456" s="50" t="b">
        <x:v>1</x:v>
      </x:c>
      <x:c r="J456" s="50" t="b">
        <x:v>0</x:v>
      </x:c>
      <x:c r="K456" s="31"/>
      <x:c r="L456" s="31"/>
    </x:row>
    <x:row r="457">
      <x:c r="A457" s="31"/>
      <x:c r="B457" s="31"/>
      <x:c r="C457" s="31"/>
      <x:c r="D457" s="31" t="n">
        <x:v>453</x:v>
      </x:c>
      <x:c r="E457" s="42" t="n">
        <x:v>0.01291529891216732</x:v>
      </x:c>
      <x:c r="F457" s="42" t="n">
        <x:v>0.0070455798363710095</x:v>
      </x:c>
      <x:c r="G457" s="43" t="n">
        <x:v>1.0691831961569807</x:v>
      </x:c>
      <x:c r="H457" s="32" t="n">
        <x:v>504173.47062085336</x:v>
      </x:c>
      <x:c r="I457" s="50" t="b">
        <x:v>1</x:v>
      </x:c>
      <x:c r="J457" s="50" t="b">
        <x:v>0</x:v>
      </x:c>
      <x:c r="K457" s="31"/>
      <x:c r="L457" s="31"/>
    </x:row>
    <x:row r="458">
      <x:c r="A458" s="31"/>
      <x:c r="B458" s="31"/>
      <x:c r="C458" s="31"/>
      <x:c r="D458" s="31" t="n">
        <x:v>454</x:v>
      </x:c>
      <x:c r="E458" s="42" t="n">
        <x:v>0.018682256506689678</x:v>
      </x:c>
      <x:c r="F458" s="42" t="n">
        <x:v>0.0012896157677264322</x:v>
      </x:c>
      <x:c r="G458" s="43" t="n">
        <x:v>1.0264827533272196</x:v>
      </x:c>
      <x:c r="H458" s="32" t="n">
        <x:v>807425.8321300428</x:v>
      </x:c>
      <x:c r="I458" s="50" t="b">
        <x:v>1</x:v>
      </x:c>
      <x:c r="J458" s="50" t="b">
        <x:v>0</x:v>
      </x:c>
      <x:c r="K458" s="31"/>
      <x:c r="L458" s="31"/>
    </x:row>
    <x:row r="459">
      <x:c r="A459" s="31"/>
      <x:c r="B459" s="31"/>
      <x:c r="C459" s="31"/>
      <x:c r="D459" s="31" t="n">
        <x:v>455</x:v>
      </x:c>
      <x:c r="E459" s="42" t="n">
        <x:v>0.0012520869695279604</x:v>
      </x:c>
      <x:c r="F459" s="42" t="n">
        <x:v>0.0014421144847048474</x:v>
      </x:c>
      <x:c r="G459" s="43" t="n">
        <x:v>0.9454573915935602</x:v>
      </x:c>
      <x:c r="H459" s="32" t="n">
        <x:v>1273052.5167786826</x:v>
      </x:c>
      <x:c r="I459" s="50" t="b">
        <x:v>0</x:v>
      </x:c>
      <x:c r="J459" s="50" t="b">
        <x:v>0</x:v>
      </x:c>
      <x:c r="K459" s="31"/>
      <x:c r="L459" s="31"/>
    </x:row>
    <x:row r="460">
      <x:c r="A460" s="31"/>
      <x:c r="B460" s="31"/>
      <x:c r="C460" s="31"/>
      <x:c r="D460" s="31" t="n">
        <x:v>456</x:v>
      </x:c>
      <x:c r="E460" s="42" t="n">
        <x:v>-0.006069723502913608</x:v>
      </x:c>
      <x:c r="F460" s="42" t="n">
        <x:v>0.005695874715426573</x:v>
      </x:c>
      <x:c r="G460" s="43" t="n">
        <x:v>0.9761592491058545</x:v>
      </x:c>
      <x:c r="H460" s="32" t="n">
        <x:v>1045853.1200053841</x:v>
      </x:c>
      <x:c r="I460" s="50" t="b">
        <x:v>0</x:v>
      </x:c>
      <x:c r="J460" s="50" t="b">
        <x:v>0</x:v>
      </x:c>
      <x:c r="K460" s="31"/>
      <x:c r="L460" s="31"/>
    </x:row>
    <x:row r="461">
      <x:c r="A461" s="31"/>
      <x:c r="B461" s="31"/>
      <x:c r="C461" s="31"/>
      <x:c r="D461" s="31" t="n">
        <x:v>457</x:v>
      </x:c>
      <x:c r="E461" s="42" t="n">
        <x:v>-0.0038737097310749783</x:v>
      </x:c>
      <x:c r="F461" s="42" t="n">
        <x:v>-0.005987309727085461</x:v>
      </x:c>
      <x:c r="G461" s="43" t="n">
        <x:v>1.0027900440196715</x:v>
      </x:c>
      <x:c r="H461" s="32" t="n">
        <x:v>915361.7674959786</x:v>
      </x:c>
      <x:c r="I461" s="50" t="b">
        <x:v>1</x:v>
      </x:c>
      <x:c r="J461" s="50" t="b">
        <x:v>0</x:v>
      </x:c>
      <x:c r="K461" s="31"/>
      <x:c r="L461" s="31"/>
    </x:row>
    <x:row r="462">
      <x:c r="A462" s="31"/>
      <x:c r="B462" s="31"/>
      <x:c r="C462" s="31"/>
      <x:c r="D462" s="31" t="n">
        <x:v>458</x:v>
      </x:c>
      <x:c r="E462" s="42" t="n">
        <x:v>-0.010520139458161739</x:v>
      </x:c>
      <x:c r="F462" s="42" t="n">
        <x:v>-0.002389691580266474</x:v>
      </x:c>
      <x:c r="G462" s="43" t="n">
        <x:v>0.943644270194938</x:v>
      </x:c>
      <x:c r="H462" s="32" t="n">
        <x:v>1262464.785674423</x:v>
      </x:c>
      <x:c r="I462" s="50" t="b">
        <x:v>0</x:v>
      </x:c>
      <x:c r="J462" s="50" t="b">
        <x:v>0</x:v>
      </x:c>
      <x:c r="K462" s="31"/>
      <x:c r="L462" s="31"/>
    </x:row>
    <x:row r="463">
      <x:c r="A463" s="31"/>
      <x:c r="B463" s="31"/>
      <x:c r="C463" s="31"/>
      <x:c r="D463" s="31" t="n">
        <x:v>459</x:v>
      </x:c>
      <x:c r="E463" s="42" t="n">
        <x:v>-0.0019015062154345542</x:v>
      </x:c>
      <x:c r="F463" s="42" t="n">
        <x:v>-0.002747295894552618</x:v>
      </x:c>
      <x:c r="G463" s="43" t="n">
        <x:v>1.0659333102425006</x:v>
      </x:c>
      <x:c r="H463" s="32" t="n">
        <x:v>510828.32900175825</x:v>
      </x:c>
      <x:c r="I463" s="50" t="b">
        <x:v>1</x:v>
      </x:c>
      <x:c r="J463" s="50" t="b">
        <x:v>0</x:v>
      </x:c>
      <x:c r="K463" s="31"/>
      <x:c r="L463" s="31"/>
    </x:row>
    <x:row r="464">
      <x:c r="A464" s="31"/>
      <x:c r="B464" s="31"/>
      <x:c r="C464" s="31"/>
      <x:c r="D464" s="31" t="n">
        <x:v>460</x:v>
      </x:c>
      <x:c r="E464" s="42" t="n">
        <x:v>-0.0027348312387843834</x:v>
      </x:c>
      <x:c r="F464" s="42" t="n">
        <x:v>-0.002522442053764044</x:v>
      </x:c>
      <x:c r="G464" s="43" t="n">
        <x:v>0.9454997729062853</x:v>
      </x:c>
      <x:c r="H464" s="32" t="n">
        <x:v>1272721.1212235396</x:v>
      </x:c>
      <x:c r="I464" s="50" t="b">
        <x:v>0</x:v>
      </x:c>
      <x:c r="J464" s="50" t="b">
        <x:v>0</x:v>
      </x:c>
      <x:c r="K464" s="31"/>
      <x:c r="L464" s="31"/>
    </x:row>
    <x:row r="465">
      <x:c r="A465" s="31"/>
      <x:c r="B465" s="31"/>
      <x:c r="C465" s="31"/>
      <x:c r="D465" s="31" t="n">
        <x:v>461</x:v>
      </x:c>
      <x:c r="E465" s="42" t="n">
        <x:v>0.00441913443761594</x:v>
      </x:c>
      <x:c r="F465" s="42" t="n">
        <x:v>-0.004564408034118203</x:v>
      </x:c>
      <x:c r="G465" s="43" t="n">
        <x:v>0.909953064501249</x:v>
      </x:c>
      <x:c r="H465" s="32" t="n">
        <x:v>1524064.9743935547</x:v>
      </x:c>
      <x:c r="I465" s="50" t="b">
        <x:v>0</x:v>
      </x:c>
      <x:c r="J465" s="50" t="b">
        <x:v>0</x:v>
      </x:c>
      <x:c r="K465" s="31"/>
      <x:c r="L465" s="31"/>
    </x:row>
    <x:row r="466">
      <x:c r="A466" s="31"/>
      <x:c r="B466" s="31"/>
      <x:c r="C466" s="31"/>
      <x:c r="D466" s="31" t="n">
        <x:v>462</x:v>
      </x:c>
      <x:c r="E466" s="42" t="n">
        <x:v>0.00098646595413628</x:v>
      </x:c>
      <x:c r="F466" s="42" t="n">
        <x:v>-0.00384044662318302</x:v>
      </x:c>
      <x:c r="G466" s="43" t="n">
        <x:v>1.0045531498573292</x:v>
      </x:c>
      <x:c r="H466" s="32" t="n">
        <x:v>911717.3624593806</x:v>
      </x:c>
      <x:c r="I466" s="50" t="b">
        <x:v>1</x:v>
      </x:c>
      <x:c r="J466" s="50" t="b">
        <x:v>0</x:v>
      </x:c>
      <x:c r="K466" s="31"/>
      <x:c r="L466" s="31"/>
    </x:row>
    <x:row r="467">
      <x:c r="A467" s="31"/>
      <x:c r="B467" s="31"/>
      <x:c r="C467" s="31"/>
      <x:c r="D467" s="31" t="n">
        <x:v>463</x:v>
      </x:c>
      <x:c r="E467" s="42" t="n">
        <x:v>-0.018363100011006894</x:v>
      </x:c>
      <x:c r="F467" s="42" t="n">
        <x:v>0.0035540712852449425</x:v>
      </x:c>
      <x:c r="G467" s="43" t="n">
        <x:v>1.0235300106949705</x:v>
      </x:c>
      <x:c r="H467" s="32" t="n">
        <x:v>716758.1059063787</x:v>
      </x:c>
      <x:c r="I467" s="50" t="b">
        <x:v>1</x:v>
      </x:c>
      <x:c r="J467" s="50" t="b">
        <x:v>0</x:v>
      </x:c>
      <x:c r="K467" s="31"/>
      <x:c r="L467" s="31"/>
    </x:row>
    <x:row r="468">
      <x:c r="A468" s="31"/>
      <x:c r="B468" s="31"/>
      <x:c r="C468" s="31"/>
      <x:c r="D468" s="31" t="n">
        <x:v>464</x:v>
      </x:c>
      <x:c r="E468" s="42" t="n">
        <x:v>0.017407870706903805</x:v>
      </x:c>
      <x:c r="F468" s="42" t="n">
        <x:v>0.0006956223169728231</x:v>
      </x:c>
      <x:c r="G468" s="43" t="n">
        <x:v>1.0350315678211068</x:v>
      </x:c>
      <x:c r="H468" s="32" t="n">
        <x:v>751240.9183946196</x:v>
      </x:c>
      <x:c r="I468" s="50" t="b">
        <x:v>1</x:v>
      </x:c>
      <x:c r="J468" s="50" t="b">
        <x:v>0</x:v>
      </x:c>
      <x:c r="K468" s="31"/>
      <x:c r="L468" s="31"/>
    </x:row>
    <x:row r="469">
      <x:c r="A469" s="31"/>
      <x:c r="B469" s="31"/>
      <x:c r="C469" s="31"/>
      <x:c r="D469" s="31" t="n">
        <x:v>465</x:v>
      </x:c>
      <x:c r="E469" s="42" t="n">
        <x:v>0.0009517070870977877</x:v>
      </x:c>
      <x:c r="F469" s="42" t="n">
        <x:v>-0.0013745378276134963</x:v>
      </x:c>
      <x:c r="G469" s="43" t="n">
        <x:v>1.0220230251830231</x:v>
      </x:c>
      <x:c r="H469" s="32" t="n">
        <x:v>793810.6176084438</x:v>
      </x:c>
      <x:c r="I469" s="50" t="b">
        <x:v>1</x:v>
      </x:c>
      <x:c r="J469" s="50" t="b">
        <x:v>0</x:v>
      </x:c>
      <x:c r="K469" s="31"/>
      <x:c r="L469" s="31"/>
    </x:row>
    <x:row r="470">
      <x:c r="A470" s="31"/>
      <x:c r="B470" s="31"/>
      <x:c r="C470" s="31"/>
      <x:c r="D470" s="31" t="n">
        <x:v>466</x:v>
      </x:c>
      <x:c r="E470" s="42" t="n">
        <x:v>0.019422579971445406</x:v>
      </x:c>
      <x:c r="F470" s="42" t="n">
        <x:v>-0.0015288691816567376</x:v>
      </x:c>
      <x:c r="G470" s="43" t="n">
        <x:v>1.0082158510560375</x:v>
      </x:c>
      <x:c r="H470" s="32" t="n">
        <x:v>933339.6207990107</x:v>
      </x:c>
      <x:c r="I470" s="50" t="b">
        <x:v>1</x:v>
      </x:c>
      <x:c r="J470" s="50" t="b">
        <x:v>0</x:v>
      </x:c>
      <x:c r="K470" s="31"/>
      <x:c r="L470" s="31"/>
    </x:row>
    <x:row r="471">
      <x:c r="A471" s="31"/>
      <x:c r="B471" s="31"/>
      <x:c r="C471" s="31"/>
      <x:c r="D471" s="31" t="n">
        <x:v>467</x:v>
      </x:c>
      <x:c r="E471" s="42" t="n">
        <x:v>0.006237445006339568</x:v>
      </x:c>
      <x:c r="F471" s="42" t="n">
        <x:v>-0.005161307853256825</x:v>
      </x:c>
      <x:c r="G471" s="43" t="n">
        <x:v>1.0349687603441713</x:v>
      </x:c>
      <x:c r="H471" s="32" t="n">
        <x:v>736849.5577657439</x:v>
      </x:c>
      <x:c r="I471" s="50" t="b">
        <x:v>1</x:v>
      </x:c>
      <x:c r="J471" s="50" t="b">
        <x:v>0</x:v>
      </x:c>
      <x:c r="K471" s="31"/>
      <x:c r="L471" s="31"/>
    </x:row>
    <x:row r="472">
      <x:c r="A472" s="31"/>
      <x:c r="B472" s="31"/>
      <x:c r="C472" s="31"/>
      <x:c r="D472" s="31" t="n">
        <x:v>468</x:v>
      </x:c>
      <x:c r="E472" s="42" t="n">
        <x:v>0.0006357455694728439</x:v>
      </x:c>
      <x:c r="F472" s="42" t="n">
        <x:v>-0.003321439485953123</x:v>
      </x:c>
      <x:c r="G472" s="43" t="n">
        <x:v>0.9677421810575926</x:v>
      </x:c>
      <x:c r="H472" s="32" t="n">
        <x:v>1143072.1790783228</x:v>
      </x:c>
      <x:c r="I472" s="50" t="b">
        <x:v>0</x:v>
      </x:c>
      <x:c r="J472" s="50" t="b">
        <x:v>0</x:v>
      </x:c>
      <x:c r="K472" s="31"/>
      <x:c r="L472" s="31"/>
    </x:row>
    <x:row r="473">
      <x:c r="A473" s="31"/>
      <x:c r="B473" s="31"/>
      <x:c r="C473" s="31"/>
      <x:c r="D473" s="31" t="n">
        <x:v>469</x:v>
      </x:c>
      <x:c r="E473" s="42" t="n">
        <x:v>0.004029769652346492</x:v>
      </x:c>
      <x:c r="F473" s="42" t="n">
        <x:v>0.006498327214229024</x:v>
      </x:c>
      <x:c r="G473" s="43" t="n">
        <x:v>1.001886667633145</x:v>
      </x:c>
      <x:c r="H473" s="32" t="n">
        <x:v>908344.310215228</x:v>
      </x:c>
      <x:c r="I473" s="50" t="b">
        <x:v>1</x:v>
      </x:c>
      <x:c r="J473" s="50" t="b">
        <x:v>0</x:v>
      </x:c>
      <x:c r="K473" s="31"/>
      <x:c r="L473" s="31"/>
    </x:row>
    <x:row r="474">
      <x:c r="A474" s="31"/>
      <x:c r="B474" s="31"/>
      <x:c r="C474" s="31"/>
      <x:c r="D474" s="31" t="n">
        <x:v>470</x:v>
      </x:c>
      <x:c r="E474" s="42" t="n">
        <x:v>-0.004976732087832618</x:v>
      </x:c>
      <x:c r="F474" s="42" t="n">
        <x:v>-0.008166629727940617</x:v>
      </x:c>
      <x:c r="G474" s="43" t="n">
        <x:v>1.0152937776674829</x:v>
      </x:c>
      <x:c r="H474" s="32" t="n">
        <x:v>838950.1016820304</x:v>
      </x:c>
      <x:c r="I474" s="50" t="b">
        <x:v>1</x:v>
      </x:c>
      <x:c r="J474" s="50" t="b">
        <x:v>0</x:v>
      </x:c>
      <x:c r="K474" s="31"/>
      <x:c r="L474" s="31"/>
    </x:row>
    <x:row r="475">
      <x:c r="A475" s="31"/>
      <x:c r="B475" s="31"/>
      <x:c r="C475" s="31"/>
      <x:c r="D475" s="31" t="n">
        <x:v>471</x:v>
      </x:c>
      <x:c r="E475" s="42" t="n">
        <x:v>0.009287180911745553</x:v>
      </x:c>
      <x:c r="F475" s="42" t="n">
        <x:v>0.006386050454242719</x:v>
      </x:c>
      <x:c r="G475" s="43" t="n">
        <x:v>1.0130543762348312</x:v>
      </x:c>
      <x:c r="H475" s="32" t="n">
        <x:v>852368.0969335475</x:v>
      </x:c>
      <x:c r="I475" s="50" t="b">
        <x:v>1</x:v>
      </x:c>
      <x:c r="J475" s="50" t="b">
        <x:v>0</x:v>
      </x:c>
      <x:c r="K475" s="31"/>
      <x:c r="L475" s="31"/>
    </x:row>
    <x:row r="476">
      <x:c r="A476" s="31"/>
      <x:c r="B476" s="31"/>
      <x:c r="C476" s="31"/>
      <x:c r="D476" s="31" t="n">
        <x:v>472</x:v>
      </x:c>
      <x:c r="E476" s="42" t="n">
        <x:v>-0.01277424788888823</x:v>
      </x:c>
      <x:c r="F476" s="42" t="n">
        <x:v>0.0009687400948421005</x:v>
      </x:c>
      <x:c r="G476" s="43" t="n">
        <x:v>1.0402745390535129</x:v>
      </x:c>
      <x:c r="H476" s="32" t="n">
        <x:v>633171.5123199366</x:v>
      </x:c>
      <x:c r="I476" s="50" t="b">
        <x:v>1</x:v>
      </x:c>
      <x:c r="J476" s="50" t="b">
        <x:v>0</x:v>
      </x:c>
      <x:c r="K476" s="31"/>
      <x:c r="L476" s="31"/>
    </x:row>
    <x:row r="477">
      <x:c r="A477" s="31"/>
      <x:c r="B477" s="31"/>
      <x:c r="C477" s="31"/>
      <x:c r="D477" s="31" t="n">
        <x:v>473</x:v>
      </x:c>
      <x:c r="E477" s="42" t="n">
        <x:v>-0.017100625412990463</x:v>
      </x:c>
      <x:c r="F477" s="42" t="n">
        <x:v>0.008128670949236208</x:v>
      </x:c>
      <x:c r="G477" s="43" t="n">
        <x:v>1.0468268852073193</x:v>
      </x:c>
      <x:c r="H477" s="32" t="n">
        <x:v>559587.0797040899</x:v>
      </x:c>
      <x:c r="I477" s="50" t="b">
        <x:v>1</x:v>
      </x:c>
      <x:c r="J477" s="50" t="b">
        <x:v>0</x:v>
      </x:c>
      <x:c r="K477" s="31"/>
      <x:c r="L477" s="31"/>
    </x:row>
    <x:row r="478">
      <x:c r="A478" s="31"/>
      <x:c r="B478" s="31"/>
      <x:c r="C478" s="31"/>
      <x:c r="D478" s="31" t="n">
        <x:v>474</x:v>
      </x:c>
      <x:c r="E478" s="42" t="n">
        <x:v>0.0002851221216171774</x:v>
      </x:c>
      <x:c r="F478" s="42" t="n">
        <x:v>-0.00868906154513759</x:v>
      </x:c>
      <x:c r="G478" s="43" t="n">
        <x:v>0.9712099533394419</x:v>
      </x:c>
      <x:c r="H478" s="32" t="n">
        <x:v>1135014.295956642</x:v>
      </x:c>
      <x:c r="I478" s="50" t="b">
        <x:v>0</x:v>
      </x:c>
      <x:c r="J478" s="50" t="b">
        <x:v>0</x:v>
      </x:c>
      <x:c r="K478" s="31"/>
      <x:c r="L478" s="31"/>
    </x:row>
    <x:row r="479">
      <x:c r="A479" s="31"/>
      <x:c r="B479" s="31"/>
      <x:c r="C479" s="31"/>
      <x:c r="D479" s="31" t="n">
        <x:v>475</x:v>
      </x:c>
      <x:c r="E479" s="42" t="n">
        <x:v>-0.005349385912418404</x:v>
      </x:c>
      <x:c r="F479" s="42" t="n">
        <x:v>-0.004800065900739776</x:v>
      </x:c>
      <x:c r="G479" s="43" t="n">
        <x:v>0.9780715423950979</x:v>
      </x:c>
      <x:c r="H479" s="32" t="n">
        <x:v>1064929.462290252</x:v>
      </x:c>
      <x:c r="I479" s="50" t="b">
        <x:v>0</x:v>
      </x:c>
      <x:c r="J479" s="50" t="b">
        <x:v>0</x:v>
      </x:c>
      <x:c r="K479" s="31"/>
      <x:c r="L479" s="31"/>
    </x:row>
    <x:row r="480">
      <x:c r="A480" s="31"/>
      <x:c r="B480" s="31"/>
      <x:c r="C480" s="31"/>
      <x:c r="D480" s="31" t="n">
        <x:v>476</x:v>
      </x:c>
      <x:c r="E480" s="42" t="n">
        <x:v>-0.0034340020972655327</x:v>
      </x:c>
      <x:c r="F480" s="42" t="n">
        <x:v>0.0009728978610789918</x:v>
      </x:c>
      <x:c r="G480" s="43" t="n">
        <x:v>0.9435253385267933</x:v>
      </x:c>
      <x:c r="H480" s="32" t="n">
        <x:v>1273584.6641694536</x:v>
      </x:c>
      <x:c r="I480" s="50" t="b">
        <x:v>0</x:v>
      </x:c>
      <x:c r="J480" s="50" t="b">
        <x:v>0</x:v>
      </x:c>
      <x:c r="K480" s="31"/>
      <x:c r="L480" s="31"/>
    </x:row>
    <x:row r="481">
      <x:c r="A481" s="31"/>
      <x:c r="B481" s="31"/>
      <x:c r="C481" s="31"/>
      <x:c r="D481" s="31" t="n">
        <x:v>477</x:v>
      </x:c>
      <x:c r="E481" s="42" t="n">
        <x:v>-0.010504536401687614</x:v>
      </x:c>
      <x:c r="F481" s="42" t="n">
        <x:v>-0.004029958941436978</x:v>
      </x:c>
      <x:c r="G481" s="43" t="n">
        <x:v>0.9681510564326502</x:v>
      </x:c>
      <x:c r="H481" s="32" t="n">
        <x:v>1111438.4886730905</x:v>
      </x:c>
      <x:c r="I481" s="50" t="b">
        <x:v>0</x:v>
      </x:c>
      <x:c r="J481" s="50" t="b">
        <x:v>0</x:v>
      </x:c>
      <x:c r="K481" s="31"/>
      <x:c r="L481" s="31"/>
    </x:row>
    <x:row r="482">
      <x:c r="A482" s="31"/>
      <x:c r="B482" s="31"/>
      <x:c r="C482" s="31"/>
      <x:c r="D482" s="31" t="n">
        <x:v>478</x:v>
      </x:c>
      <x:c r="E482" s="42" t="n">
        <x:v>0.02134475794523019</x:v>
      </x:c>
      <x:c r="F482" s="42" t="n">
        <x:v>0.0013679264671408184</x:v>
      </x:c>
      <x:c r="G482" s="43" t="n">
        <x:v>1.0485031278841583</x:v>
      </x:c>
      <x:c r="H482" s="32" t="n">
        <x:v>674774.0104414981</x:v>
      </x:c>
      <x:c r="I482" s="50" t="b">
        <x:v>1</x:v>
      </x:c>
      <x:c r="J482" s="50" t="b">
        <x:v>0</x:v>
      </x:c>
      <x:c r="K482" s="31"/>
      <x:c r="L482" s="31"/>
    </x:row>
    <x:row r="483">
      <x:c r="A483" s="31"/>
      <x:c r="B483" s="31"/>
      <x:c r="C483" s="31"/>
      <x:c r="D483" s="31" t="n">
        <x:v>479</x:v>
      </x:c>
      <x:c r="E483" s="42" t="n">
        <x:v>0.021263941343834376</x:v>
      </x:c>
      <x:c r="F483" s="42" t="n">
        <x:v>-0.010100426861267484</x:v>
      </x:c>
      <x:c r="G483" s="43" t="n">
        <x:v>0.980391719929459</x:v>
      </x:c>
      <x:c r="H483" s="32" t="n">
        <x:v>1139027.1502924783</x:v>
      </x:c>
      <x:c r="I483" s="50" t="b">
        <x:v>0</x:v>
      </x:c>
      <x:c r="J483" s="50" t="b">
        <x:v>0</x:v>
      </x:c>
      <x:c r="K483" s="31"/>
      <x:c r="L483" s="31"/>
    </x:row>
    <x:row r="484">
      <x:c r="A484" s="31"/>
      <x:c r="B484" s="31"/>
      <x:c r="C484" s="31"/>
      <x:c r="D484" s="31" t="n">
        <x:v>480</x:v>
      </x:c>
      <x:c r="E484" s="42" t="n">
        <x:v>-0.00867517763681666</x:v>
      </x:c>
      <x:c r="F484" s="42" t="n">
        <x:v>0.005708203804389272</x:v>
      </x:c>
      <x:c r="G484" s="43" t="n">
        <x:v>1.0122179602080694</x:v>
      </x:c>
      <x:c r="H484" s="32" t="n">
        <x:v>809568.1090726284</x:v>
      </x:c>
      <x:c r="I484" s="50" t="b">
        <x:v>1</x:v>
      </x:c>
      <x:c r="J484" s="50" t="b">
        <x:v>0</x:v>
      </x:c>
      <x:c r="K484" s="31"/>
      <x:c r="L484" s="31"/>
    </x:row>
    <x:row r="485">
      <x:c r="A485" s="31"/>
      <x:c r="B485" s="31"/>
      <x:c r="C485" s="31"/>
      <x:c r="D485" s="31" t="n">
        <x:v>481</x:v>
      </x:c>
      <x:c r="E485" s="42" t="n">
        <x:v>0.012870347875000212</x:v>
      </x:c>
      <x:c r="F485" s="42" t="n">
        <x:v>-0.0005887256296487207</x:v>
      </x:c>
      <x:c r="G485" s="43" t="n">
        <x:v>1.0026475429869661</x:v>
      </x:c>
      <x:c r="H485" s="32" t="n">
        <x:v>947847.1269759224</x:v>
      </x:c>
      <x:c r="I485" s="50" t="b">
        <x:v>1</x:v>
      </x:c>
      <x:c r="J485" s="50" t="b">
        <x:v>0</x:v>
      </x:c>
      <x:c r="K485" s="31"/>
      <x:c r="L485" s="31"/>
    </x:row>
    <x:row r="486">
      <x:c r="A486" s="31"/>
      <x:c r="B486" s="31"/>
      <x:c r="C486" s="31"/>
      <x:c r="D486" s="31" t="n">
        <x:v>482</x:v>
      </x:c>
      <x:c r="E486" s="42" t="n">
        <x:v>0.012235645818802739</x:v>
      </x:c>
      <x:c r="F486" s="42" t="n">
        <x:v>-0.0055665012708640835</x:v>
      </x:c>
      <x:c r="G486" s="43" t="n">
        <x:v>0.9778428608527457</x:v>
      </x:c>
      <x:c r="H486" s="32" t="n">
        <x:v>1117463.467504513</x:v>
      </x:c>
      <x:c r="I486" s="50" t="b">
        <x:v>0</x:v>
      </x:c>
      <x:c r="J486" s="50" t="b">
        <x:v>0</x:v>
      </x:c>
      <x:c r="K486" s="31"/>
      <x:c r="L486" s="31"/>
    </x:row>
    <x:row r="487">
      <x:c r="A487" s="31"/>
      <x:c r="B487" s="31"/>
      <x:c r="C487" s="31"/>
      <x:c r="D487" s="31" t="n">
        <x:v>483</x:v>
      </x:c>
      <x:c r="E487" s="42" t="n">
        <x:v>-0.0019884544999763777</x:v>
      </x:c>
      <x:c r="F487" s="42" t="n">
        <x:v>0.0003081241400751688</x:v>
      </x:c>
      <x:c r="G487" s="43" t="n">
        <x:v>0.9769600476790469</x:v>
      </x:c>
      <x:c r="H487" s="32" t="n">
        <x:v>1067124.7078069765</x:v>
      </x:c>
      <x:c r="I487" s="50" t="b">
        <x:v>0</x:v>
      </x:c>
      <x:c r="J487" s="50" t="b">
        <x:v>0</x:v>
      </x:c>
      <x:c r="K487" s="31"/>
      <x:c r="L487" s="31"/>
    </x:row>
    <x:row r="488">
      <x:c r="A488" s="31"/>
      <x:c r="B488" s="31"/>
      <x:c r="C488" s="31"/>
      <x:c r="D488" s="31" t="n">
        <x:v>484</x:v>
      </x:c>
      <x:c r="E488" s="42" t="n">
        <x:v>0.000574118116382273</x:v>
      </x:c>
      <x:c r="F488" s="42" t="n">
        <x:v>-0.0013138240543076026</x:v>
      </x:c>
      <x:c r="G488" s="43" t="n">
        <x:v>1.017326580535435</x:v>
      </x:c>
      <x:c r="H488" s="32" t="n">
        <x:v>822416.34187293</x:v>
      </x:c>
      <x:c r="I488" s="50" t="b">
        <x:v>1</x:v>
      </x:c>
      <x:c r="J488" s="50" t="b">
        <x:v>0</x:v>
      </x:c>
      <x:c r="K488" s="31"/>
      <x:c r="L488" s="31"/>
    </x:row>
    <x:row r="489">
      <x:c r="A489" s="31"/>
      <x:c r="B489" s="31"/>
      <x:c r="C489" s="31"/>
      <x:c r="D489" s="31" t="n">
        <x:v>485</x:v>
      </x:c>
      <x:c r="E489" s="42" t="n">
        <x:v>-0.007155737753317057</x:v>
      </x:c>
      <x:c r="F489" s="42" t="n">
        <x:v>-0.0038176261952161863</x:v>
      </x:c>
      <x:c r="G489" s="43" t="n">
        <x:v>1.0376443996660005</x:v>
      </x:c>
      <x:c r="H489" s="32" t="n">
        <x:v>678836.9643390793</x:v>
      </x:c>
      <x:c r="I489" s="50" t="b">
        <x:v>1</x:v>
      </x:c>
      <x:c r="J489" s="50" t="b">
        <x:v>0</x:v>
      </x:c>
      <x:c r="K489" s="31"/>
      <x:c r="L489" s="31"/>
    </x:row>
    <x:row r="490">
      <x:c r="A490" s="31"/>
      <x:c r="B490" s="31"/>
      <x:c r="C490" s="31"/>
      <x:c r="D490" s="31" t="n">
        <x:v>486</x:v>
      </x:c>
      <x:c r="E490" s="42" t="n">
        <x:v>0.0027611871113883404</x:v>
      </x:c>
      <x:c r="F490" s="42" t="n">
        <x:v>-0.010379224061149175</x:v>
      </x:c>
      <x:c r="G490" s="43" t="n">
        <x:v>1.029908257948985</x:v>
      </x:c>
      <x:c r="H490" s="32" t="n">
        <x:v>773835.2764873663</x:v>
      </x:c>
      <x:c r="I490" s="50" t="b">
        <x:v>1</x:v>
      </x:c>
      <x:c r="J490" s="50" t="b">
        <x:v>0</x:v>
      </x:c>
      <x:c r="K490" s="31"/>
      <x:c r="L490" s="31"/>
    </x:row>
    <x:row r="491">
      <x:c r="A491" s="31"/>
      <x:c r="B491" s="31"/>
      <x:c r="C491" s="31"/>
      <x:c r="D491" s="31" t="n">
        <x:v>487</x:v>
      </x:c>
      <x:c r="E491" s="42" t="n">
        <x:v>-0.002219720761362946</x:v>
      </x:c>
      <x:c r="F491" s="42" t="n">
        <x:v>0.013853807039647201</x:v>
      </x:c>
      <x:c r="G491" s="43" t="n">
        <x:v>0.9886686738837903</x:v>
      </x:c>
      <x:c r="H491" s="32" t="n">
        <x:v>954418.1956501799</x:v>
      </x:c>
      <x:c r="I491" s="50" t="b">
        <x:v>1</x:v>
      </x:c>
      <x:c r="J491" s="50" t="b">
        <x:v>0</x:v>
      </x:c>
      <x:c r="K491" s="31"/>
      <x:c r="L491" s="31"/>
    </x:row>
    <x:row r="492">
      <x:c r="A492" s="31"/>
      <x:c r="B492" s="31"/>
      <x:c r="C492" s="31"/>
      <x:c r="D492" s="31" t="n">
        <x:v>488</x:v>
      </x:c>
      <x:c r="E492" s="42" t="n">
        <x:v>-0.005250562639189068</x:v>
      </x:c>
      <x:c r="F492" s="42" t="n">
        <x:v>0.0033825941266939484</x:v>
      </x:c>
      <x:c r="G492" s="43" t="n">
        <x:v>0.9480061698002722</x:v>
      </x:c>
      <x:c r="H492" s="32" t="n">
        <x:v>1233364.3326260909</x:v>
      </x:c>
      <x:c r="I492" s="50" t="b">
        <x:v>0</x:v>
      </x:c>
      <x:c r="J492" s="50" t="b">
        <x:v>0</x:v>
      </x:c>
      <x:c r="K492" s="31"/>
      <x:c r="L492" s="31"/>
    </x:row>
    <x:row r="493">
      <x:c r="A493" s="31"/>
      <x:c r="B493" s="31"/>
      <x:c r="C493" s="31"/>
      <x:c r="D493" s="31" t="n">
        <x:v>489</x:v>
      </x:c>
      <x:c r="E493" s="42" t="n">
        <x:v>0.020015595769481</x:v>
      </x:c>
      <x:c r="F493" s="42" t="n">
        <x:v>0.011544180783202242</x:v>
      </x:c>
      <x:c r="G493" s="43" t="n">
        <x:v>1.0208547065796216</x:v>
      </x:c>
      <x:c r="H493" s="32" t="n">
        <x:v>818335.4852867196</x:v>
      </x:c>
      <x:c r="I493" s="50" t="b">
        <x:v>1</x:v>
      </x:c>
      <x:c r="J493" s="50" t="b">
        <x:v>0</x:v>
      </x:c>
      <x:c r="K493" s="31"/>
      <x:c r="L493" s="31"/>
    </x:row>
    <x:row r="494">
      <x:c r="A494" s="31"/>
      <x:c r="B494" s="31"/>
      <x:c r="C494" s="31"/>
      <x:c r="D494" s="31" t="n">
        <x:v>490</x:v>
      </x:c>
      <x:c r="E494" s="42" t="n">
        <x:v>-0.0053370935027725296</x:v>
      </x:c>
      <x:c r="F494" s="42" t="n">
        <x:v>-0.0042916179370431195</x:v>
      </x:c>
      <x:c r="G494" s="43" t="n">
        <x:v>1.0348742140308962</x:v>
      </x:c>
      <x:c r="H494" s="32" t="n">
        <x:v>702811.2081504792</x:v>
      </x:c>
      <x:c r="I494" s="50" t="b">
        <x:v>1</x:v>
      </x:c>
      <x:c r="J494" s="50" t="b">
        <x:v>0</x:v>
      </x:c>
      <x:c r="K494" s="31"/>
      <x:c r="L494" s="31"/>
    </x:row>
    <x:row r="495">
      <x:c r="A495" s="31"/>
      <x:c r="B495" s="31"/>
      <x:c r="C495" s="31"/>
      <x:c r="D495" s="31" t="n">
        <x:v>491</x:v>
      </x:c>
      <x:c r="E495" s="42" t="n">
        <x:v>0.001345482017916095</x:v>
      </x:c>
      <x:c r="F495" s="42" t="n">
        <x:v>-0.004915478431503338</x:v>
      </x:c>
      <x:c r="G495" s="43" t="n">
        <x:v>0.9800038293737131</x:v>
      </x:c>
      <x:c r="H495" s="32" t="n">
        <x:v>1071614.6380978676</x:v>
      </x:c>
      <x:c r="I495" s="50" t="b">
        <x:v>0</x:v>
      </x:c>
      <x:c r="J495" s="50" t="b">
        <x:v>0</x:v>
      </x:c>
      <x:c r="K495" s="31"/>
      <x:c r="L495" s="31"/>
    </x:row>
    <x:row r="496">
      <x:c r="A496" s="31"/>
      <x:c r="B496" s="31"/>
      <x:c r="C496" s="31"/>
      <x:c r="D496" s="31" t="n">
        <x:v>492</x:v>
      </x:c>
      <x:c r="E496" s="42" t="n">
        <x:v>0.012822675531123616</x:v>
      </x:c>
      <x:c r="F496" s="42" t="n">
        <x:v>0.010809630306095257</x:v>
      </x:c>
      <x:c r="G496" s="43" t="n">
        <x:v>0.9595246898122525</x:v>
      </x:c>
      <x:c r="H496" s="32" t="n">
        <x:v>1189847.5120351817</x:v>
      </x:c>
      <x:c r="I496" s="50" t="b">
        <x:v>0</x:v>
      </x:c>
      <x:c r="J496" s="50" t="b">
        <x:v>0</x:v>
      </x:c>
      <x:c r="K496" s="31"/>
      <x:c r="L496" s="31"/>
    </x:row>
    <x:row r="497">
      <x:c r="A497" s="31"/>
      <x:c r="B497" s="31"/>
      <x:c r="C497" s="31"/>
      <x:c r="D497" s="31" t="n">
        <x:v>493</x:v>
      </x:c>
      <x:c r="E497" s="42" t="n">
        <x:v>-0.00316431801621728</x:v>
      </x:c>
      <x:c r="F497" s="42" t="n">
        <x:v>0.003844254226452636</x:v>
      </x:c>
      <x:c r="G497" s="43" t="n">
        <x:v>0.9678040076237915</x:v>
      </x:c>
      <x:c r="H497" s="32" t="n">
        <x:v>1112156.1080856165</x:v>
      </x:c>
      <x:c r="I497" s="50" t="b">
        <x:v>0</x:v>
      </x:c>
      <x:c r="J497" s="50" t="b">
        <x:v>0</x:v>
      </x:c>
      <x:c r="K497" s="31"/>
      <x:c r="L497" s="31"/>
    </x:row>
    <x:row r="498">
      <x:c r="A498" s="31"/>
      <x:c r="B498" s="31"/>
      <x:c r="C498" s="31"/>
      <x:c r="D498" s="31" t="n">
        <x:v>494</x:v>
      </x:c>
      <x:c r="E498" s="42" t="n">
        <x:v>-0.0028935870415975574</x:v>
      </x:c>
      <x:c r="F498" s="42" t="n">
        <x:v>-0.0020646529900806647</x:v>
      </x:c>
      <x:c r="G498" s="43" t="n">
        <x:v>0.9963517153787722</x:v>
      </x:c>
      <x:c r="H498" s="32" t="n">
        <x:v>948059.1054268801</x:v>
      </x:c>
      <x:c r="I498" s="50" t="b">
        <x:v>1</x:v>
      </x:c>
      <x:c r="J498" s="50" t="b">
        <x:v>0</x:v>
      </x:c>
      <x:c r="K498" s="31"/>
      <x:c r="L498" s="31"/>
    </x:row>
    <x:row r="499">
      <x:c r="A499" s="31"/>
      <x:c r="B499" s="31"/>
      <x:c r="C499" s="31"/>
      <x:c r="D499" s="31" t="n">
        <x:v>495</x:v>
      </x:c>
      <x:c r="E499" s="42" t="n">
        <x:v>0.000443292537894051</x:v>
      </x:c>
      <x:c r="F499" s="42" t="n">
        <x:v>0.01021956013006545</x:v>
      </x:c>
      <x:c r="G499" s="43" t="n">
        <x:v>0.988152009391219</x:v>
      </x:c>
      <x:c r="H499" s="32" t="n">
        <x:v>975227.9444730601</x:v>
      </x:c>
      <x:c r="I499" s="50" t="b">
        <x:v>1</x:v>
      </x:c>
      <x:c r="J499" s="50" t="b">
        <x:v>0</x:v>
      </x:c>
      <x:c r="K499" s="31"/>
      <x:c r="L499" s="31"/>
    </x:row>
    <x:row r="500">
      <x:c r="A500" s="31"/>
      <x:c r="B500" s="31"/>
      <x:c r="C500" s="31"/>
      <x:c r="D500" s="31" t="n">
        <x:v>496</x:v>
      </x:c>
      <x:c r="E500" s="42" t="n">
        <x:v>-0.002886959112305471</x:v>
      </x:c>
      <x:c r="F500" s="42" t="n">
        <x:v>-0.010927428882783585</x:v>
      </x:c>
      <x:c r="G500" s="43" t="n">
        <x:v>0.9625154590816606</x:v>
      </x:c>
      <x:c r="H500" s="32" t="n">
        <x:v>1187631.4788546963</x:v>
      </x:c>
      <x:c r="I500" s="50" t="b">
        <x:v>0</x:v>
      </x:c>
      <x:c r="J500" s="50" t="b">
        <x:v>0</x:v>
      </x:c>
      <x:c r="K500" s="31"/>
      <x:c r="L500" s="31"/>
    </x:row>
    <x:row r="501">
      <x:c r="A501" s="31"/>
      <x:c r="B501" s="31"/>
      <x:c r="C501" s="31"/>
      <x:c r="D501" s="31" t="n">
        <x:v>497</x:v>
      </x:c>
      <x:c r="E501" s="42" t="n">
        <x:v>-0.01853760549717073</x:v>
      </x:c>
      <x:c r="F501" s="42" t="n">
        <x:v>-0.0031348787468677176</x:v>
      </x:c>
      <x:c r="G501" s="43" t="n">
        <x:v>1.0160075157940116</x:v>
      </x:c>
      <x:c r="H501" s="32" t="n">
        <x:v>782664.3769676711</x:v>
      </x:c>
      <x:c r="I501" s="50" t="b">
        <x:v>1</x:v>
      </x:c>
      <x:c r="J501" s="50" t="b">
        <x:v>0</x:v>
      </x:c>
      <x:c r="K501" s="31"/>
      <x:c r="L501" s="31"/>
    </x:row>
    <x:row r="502">
      <x:c r="A502" s="31"/>
      <x:c r="B502" s="31"/>
      <x:c r="C502" s="31"/>
      <x:c r="D502" s="31" t="n">
        <x:v>498</x:v>
      </x:c>
      <x:c r="E502" s="42" t="n">
        <x:v>-0.002118687969074377</x:v>
      </x:c>
      <x:c r="F502" s="42" t="n">
        <x:v>-0.013788723376869072</x:v>
      </x:c>
      <x:c r="G502" s="43" t="n">
        <x:v>1.0245214229571644</x:v>
      </x:c>
      <x:c r="H502" s="32" t="n">
        <x:v>803952.6702613686</x:v>
      </x:c>
      <x:c r="I502" s="50" t="b">
        <x:v>1</x:v>
      </x:c>
      <x:c r="J502" s="50" t="b">
        <x:v>0</x:v>
      </x:c>
      <x:c r="K502" s="31"/>
      <x:c r="L502" s="31"/>
    </x:row>
    <x:row r="503">
      <x:c r="A503" s="31"/>
      <x:c r="B503" s="31"/>
      <x:c r="C503" s="31"/>
      <x:c r="D503" s="31" t="n">
        <x:v>499</x:v>
      </x:c>
      <x:c r="E503" s="42" t="n">
        <x:v>-0.012863860268375594</x:v>
      </x:c>
      <x:c r="F503" s="42" t="n">
        <x:v>-0.005337582088866015</x:v>
      </x:c>
      <x:c r="G503" s="43" t="n">
        <x:v>0.9968534696907289</x:v>
      </x:c>
      <x:c r="H503" s="32" t="n">
        <x:v>926230.4043533553</x:v>
      </x:c>
      <x:c r="I503" s="50" t="b">
        <x:v>1</x:v>
      </x:c>
      <x:c r="J503" s="50" t="b">
        <x:v>0</x:v>
      </x:c>
      <x:c r="K503" s="31"/>
      <x:c r="L503" s="31"/>
    </x:row>
    <x:row r="504">
      <x:c r="A504" s="31"/>
      <x:c r="B504" s="31"/>
      <x:c r="C504" s="31"/>
      <x:c r="D504" s="31" t="n">
        <x:v>500</x:v>
      </x:c>
      <x:c r="E504" s="42" t="n">
        <x:v>-0.01298961402783136</x:v>
      </x:c>
      <x:c r="F504" s="42" t="n">
        <x:v>0.0034453985999600132</x:v>
      </x:c>
      <x:c r="G504" s="43" t="n">
        <x:v>1.0135791865340453</x:v>
      </x:c>
      <x:c r="H504" s="32" t="n">
        <x:v>795212.5969584044</x:v>
      </x:c>
      <x:c r="I504" s="50" t="b">
        <x:v>1</x:v>
      </x:c>
      <x:c r="J504" s="50" t="b">
        <x:v>0</x:v>
      </x:c>
      <x:c r="K504" s="31"/>
      <x:c r="L504" s="31"/>
    </x:row>
    <x:row r="505">
      <x:c r="A505" s="31"/>
      <x:c r="B505" s="31"/>
      <x:c r="C505" s="31"/>
      <x:c r="D505" s="31" t="n">
        <x:v>501</x:v>
      </x:c>
      <x:c r="E505" s="42" t="n">
        <x:v>0.0009942401781094378</x:v>
      </x:c>
      <x:c r="F505" s="42" t="n">
        <x:v>-0.0001888682191974255</x:v>
      </x:c>
      <x:c r="G505" s="43" t="n">
        <x:v>0.9829446484838973</x:v>
      </x:c>
      <x:c r="H505" s="32" t="n">
        <x:v>1038804.0402318742</x:v>
      </x:c>
      <x:c r="I505" s="50" t="b">
        <x:v>0</x:v>
      </x:c>
      <x:c r="J505" s="50" t="b">
        <x:v>0</x:v>
      </x:c>
      <x:c r="K505" s="31"/>
      <x:c r="L505" s="31"/>
    </x:row>
    <x:row r="506">
      <x:c r="A506" s="31"/>
      <x:c r="B506" s="31"/>
      <x:c r="C506" s="31"/>
      <x:c r="D506" s="31" t="n">
        <x:v>502</x:v>
      </x:c>
      <x:c r="E506" s="42" t="n">
        <x:v>0.007657818599593023</x:v>
      </x:c>
      <x:c r="F506" s="42" t="n">
        <x:v>-0.01215794207506714</x:v>
      </x:c>
      <x:c r="G506" s="43" t="n">
        <x:v>0.9943926309905714</x:v>
      </x:c>
      <x:c r="H506" s="32" t="n">
        <x:v>1017965.6441590514</x:v>
      </x:c>
      <x:c r="I506" s="50" t="b">
        <x:v>0</x:v>
      </x:c>
      <x:c r="J506" s="50" t="b">
        <x:v>0</x:v>
      </x:c>
      <x:c r="K506" s="31"/>
      <x:c r="L506" s="31"/>
    </x:row>
    <x:row r="507">
      <x:c r="A507" s="31"/>
      <x:c r="B507" s="31"/>
      <x:c r="C507" s="31"/>
      <x:c r="D507" s="31" t="n">
        <x:v>503</x:v>
      </x:c>
      <x:c r="E507" s="42" t="n">
        <x:v>-0.00931232883243785</x:v>
      </x:c>
      <x:c r="F507" s="42" t="n">
        <x:v>0.00704924792475593</x:v>
      </x:c>
      <x:c r="G507" s="43" t="n">
        <x:v>1.0322199283685893</x:v>
      </x:c>
      <x:c r="H507" s="32" t="n">
        <x:v>677035.094778406</x:v>
      </x:c>
      <x:c r="I507" s="50" t="b">
        <x:v>1</x:v>
      </x:c>
      <x:c r="J507" s="50" t="b">
        <x:v>0</x:v>
      </x:c>
      <x:c r="K507" s="31"/>
      <x:c r="L507" s="31"/>
    </x:row>
    <x:row r="508">
      <x:c r="A508" s="31"/>
      <x:c r="B508" s="31"/>
      <x:c r="C508" s="31"/>
      <x:c r="D508" s="31" t="n">
        <x:v>504</x:v>
      </x:c>
      <x:c r="E508" s="42" t="n">
        <x:v>0.015213376237573597</x:v>
      </x:c>
      <x:c r="F508" s="42" t="n">
        <x:v>0.0008797281152627415</x:v>
      </x:c>
      <x:c r="G508" s="43" t="n">
        <x:v>1.09962639778366</x:v>
      </x:c>
      <x:c r="H508" s="32" t="n">
        <x:v>334397.1136643661</x:v>
      </x:c>
      <x:c r="I508" s="50" t="b">
        <x:v>1</x:v>
      </x:c>
      <x:c r="J508" s="50" t="b">
        <x:v>0</x:v>
      </x:c>
      <x:c r="K508" s="31"/>
      <x:c r="L508" s="31"/>
    </x:row>
    <x:row r="509">
      <x:c r="A509" s="31"/>
      <x:c r="B509" s="31"/>
      <x:c r="C509" s="31"/>
      <x:c r="D509" s="31" t="n">
        <x:v>505</x:v>
      </x:c>
      <x:c r="E509" s="42" t="n">
        <x:v>0.010228271900689102</x:v>
      </x:c>
      <x:c r="F509" s="42" t="n">
        <x:v>0.008616264522192147</x:v>
      </x:c>
      <x:c r="G509" s="43" t="n">
        <x:v>1.020293403143903</x:v>
      </x:c>
      <x:c r="H509" s="32" t="n">
        <x:v>802806.8465103569</x:v>
      </x:c>
      <x:c r="I509" s="50" t="b">
        <x:v>1</x:v>
      </x:c>
      <x:c r="J509" s="50" t="b">
        <x:v>0</x:v>
      </x:c>
      <x:c r="K509" s="31"/>
      <x:c r="L509" s="31"/>
    </x:row>
    <x:row r="510">
      <x:c r="A510" s="31"/>
      <x:c r="B510" s="31"/>
      <x:c r="C510" s="31"/>
      <x:c r="D510" s="31" t="n">
        <x:v>506</x:v>
      </x:c>
      <x:c r="E510" s="42" t="n">
        <x:v>0.02251660829571173</x:v>
      </x:c>
      <x:c r="F510" s="42" t="n">
        <x:v>0.0007132094726162975</x:v>
      </x:c>
      <x:c r="G510" s="43" t="n">
        <x:v>1.0410472500033285</x:v>
      </x:c>
      <x:c r="H510" s="32" t="n">
        <x:v>727208.4061429733</x:v>
      </x:c>
      <x:c r="I510" s="50" t="b">
        <x:v>1</x:v>
      </x:c>
      <x:c r="J510" s="50" t="b">
        <x:v>0</x:v>
      </x:c>
      <x:c r="K510" s="31"/>
      <x:c r="L510" s="31"/>
    </x:row>
    <x:row r="511">
      <x:c r="A511" s="31"/>
      <x:c r="B511" s="31"/>
      <x:c r="C511" s="31"/>
      <x:c r="D511" s="31" t="n">
        <x:v>507</x:v>
      </x:c>
      <x:c r="E511" s="42" t="n">
        <x:v>0.00304292431594772</x:v>
      </x:c>
      <x:c r="F511" s="42" t="n">
        <x:v>0.004497657688406645</x:v>
      </x:c>
      <x:c r="G511" s="43" t="n">
        <x:v>1.0227010625605508</x:v>
      </x:c>
      <x:c r="H511" s="32" t="n">
        <x:v>778980.1631829555</x:v>
      </x:c>
      <x:c r="I511" s="50" t="b">
        <x:v>1</x:v>
      </x:c>
      <x:c r="J511" s="50" t="b">
        <x:v>0</x:v>
      </x:c>
      <x:c r="K511" s="31"/>
      <x:c r="L511" s="31"/>
    </x:row>
    <x:row r="512">
      <x:c r="A512" s="31"/>
      <x:c r="B512" s="31"/>
      <x:c r="C512" s="31"/>
      <x:c r="D512" s="31" t="n">
        <x:v>508</x:v>
      </x:c>
      <x:c r="E512" s="42" t="n">
        <x:v>0.0005950956233661257</x:v>
      </x:c>
      <x:c r="F512" s="42" t="n">
        <x:v>0.0036843163226880963</x:v>
      </x:c>
      <x:c r="G512" s="43" t="n">
        <x:v>1.0325232756384333</x:v>
      </x:c>
      <x:c r="H512" s="32" t="n">
        <x:v>712052.5220624289</x:v>
      </x:c>
      <x:c r="I512" s="50" t="b">
        <x:v>1</x:v>
      </x:c>
      <x:c r="J512" s="50" t="b">
        <x:v>0</x:v>
      </x:c>
      <x:c r="K512" s="31"/>
      <x:c r="L512" s="31"/>
    </x:row>
    <x:row r="513">
      <x:c r="A513" s="31"/>
      <x:c r="B513" s="31"/>
      <x:c r="C513" s="31"/>
      <x:c r="D513" s="31" t="n">
        <x:v>509</x:v>
      </x:c>
      <x:c r="E513" s="42" t="n">
        <x:v>0.0030703521359028737</x:v>
      </x:c>
      <x:c r="F513" s="42" t="n">
        <x:v>0.007728709653720768</x:v>
      </x:c>
      <x:c r="G513" s="43" t="n">
        <x:v>1.0187237265989084</x:v>
      </x:c>
      <x:c r="H513" s="32" t="n">
        <x:v>795321.7045807426</x:v>
      </x:c>
      <x:c r="I513" s="50" t="b">
        <x:v>1</x:v>
      </x:c>
      <x:c r="J513" s="50" t="b">
        <x:v>0</x:v>
      </x:c>
      <x:c r="K513" s="31"/>
      <x:c r="L513" s="31"/>
    </x:row>
    <x:row r="514">
      <x:c r="A514" s="31"/>
      <x:c r="B514" s="31"/>
      <x:c r="C514" s="31"/>
      <x:c r="D514" s="31" t="n">
        <x:v>510</x:v>
      </x:c>
      <x:c r="E514" s="42" t="n">
        <x:v>-0.008181708473724972</x:v>
      </x:c>
      <x:c r="F514" s="42" t="n">
        <x:v>-0.0009647181995832595</x:v>
      </x:c>
      <x:c r="G514" s="43" t="n">
        <x:v>1.0524337787041151</x:v>
      </x:c>
      <x:c r="H514" s="32" t="n">
        <x:v>574116.9883009493</x:v>
      </x:c>
      <x:c r="I514" s="50" t="b">
        <x:v>1</x:v>
      </x:c>
      <x:c r="J514" s="50" t="b">
        <x:v>0</x:v>
      </x:c>
      <x:c r="K514" s="31"/>
      <x:c r="L514" s="31"/>
    </x:row>
    <x:row r="515">
      <x:c r="A515" s="31"/>
      <x:c r="B515" s="31"/>
      <x:c r="C515" s="31"/>
      <x:c r="D515" s="31" t="n">
        <x:v>511</x:v>
      </x:c>
      <x:c r="E515" s="42" t="n">
        <x:v>0.013320978351378724</x:v>
      </x:c>
      <x:c r="F515" s="42" t="n">
        <x:v>0.0010227583767790163</x:v>
      </x:c>
      <x:c r="G515" s="43" t="n">
        <x:v>0.9910322041205422</x:v>
      </x:c>
      <x:c r="H515" s="32" t="n">
        <x:v>1018381.4935587335</x:v>
      </x:c>
      <x:c r="I515" s="50" t="b">
        <x:v>0</x:v>
      </x:c>
      <x:c r="J515" s="50" t="b">
        <x:v>0</x:v>
      </x:c>
      <x:c r="K515" s="31"/>
      <x:c r="L515" s="31"/>
    </x:row>
    <x:row r="516">
      <x:c r="A516" s="31"/>
      <x:c r="B516" s="31"/>
      <x:c r="C516" s="31"/>
      <x:c r="D516" s="31" t="n">
        <x:v>512</x:v>
      </x:c>
      <x:c r="E516" s="42" t="n">
        <x:v>0.004768604617476076</x:v>
      </x:c>
      <x:c r="F516" s="42" t="n">
        <x:v>0.0014712833181475915</x:v>
      </x:c>
      <x:c r="G516" s="43" t="n">
        <x:v>1.0726889211072381</x:v>
      </x:c>
      <x:c r="H516" s="32" t="n">
        <x:v>474749.308101011</x:v>
      </x:c>
      <x:c r="I516" s="50" t="b">
        <x:v>1</x:v>
      </x:c>
      <x:c r="J516" s="50" t="b">
        <x:v>0</x:v>
      </x:c>
      <x:c r="K516" s="31"/>
      <x:c r="L516" s="31"/>
    </x:row>
    <x:row r="517">
      <x:c r="A517" s="31"/>
      <x:c r="B517" s="31"/>
      <x:c r="C517" s="31"/>
      <x:c r="D517" s="31" t="n">
        <x:v>513</x:v>
      </x:c>
      <x:c r="E517" s="42" t="n">
        <x:v>0.006460236760049801</x:v>
      </x:c>
      <x:c r="F517" s="42" t="n">
        <x:v>-0.0028658497601222513</x:v>
      </x:c>
      <x:c r="G517" s="43" t="n">
        <x:v>0.9753446733703319</x:v>
      </x:c>
      <x:c r="H517" s="32" t="n">
        <x:v>1109735.424826893</x:v>
      </x:c>
      <x:c r="I517" s="50" t="b">
        <x:v>0</x:v>
      </x:c>
      <x:c r="J517" s="50" t="b">
        <x:v>0</x:v>
      </x:c>
      <x:c r="K517" s="31"/>
      <x:c r="L517" s="31"/>
    </x:row>
    <x:row r="518">
      <x:c r="A518" s="31"/>
      <x:c r="B518" s="31"/>
      <x:c r="C518" s="31"/>
      <x:c r="D518" s="31" t="n">
        <x:v>514</x:v>
      </x:c>
      <x:c r="E518" s="42" t="n">
        <x:v>0.0016233798247528336</x:v>
      </x:c>
      <x:c r="F518" s="42" t="n">
        <x:v>-0.010367547523056263</x:v>
      </x:c>
      <x:c r="G518" s="43" t="n">
        <x:v>1.0054931162196368</x:v>
      </x:c>
      <x:c r="H518" s="32" t="n">
        <x:v>925689.1042614605</x:v>
      </x:c>
      <x:c r="I518" s="50" t="b">
        <x:v>1</x:v>
      </x:c>
      <x:c r="J518" s="50" t="b">
        <x:v>0</x:v>
      </x:c>
      <x:c r="K518" s="31"/>
      <x:c r="L518" s="31"/>
    </x:row>
    <x:row r="519">
      <x:c r="A519" s="31"/>
      <x:c r="B519" s="31"/>
      <x:c r="C519" s="31"/>
      <x:c r="D519" s="31" t="n">
        <x:v>515</x:v>
      </x:c>
      <x:c r="E519" s="42" t="n">
        <x:v>0.0015468313067543307</x:v>
      </x:c>
      <x:c r="F519" s="42" t="n">
        <x:v>0.00017854618855565782</x:v>
      </x:c>
      <x:c r="G519" s="43" t="n">
        <x:v>0.9742798349446832</x:v>
      </x:c>
      <x:c r="H519" s="32" t="n">
        <x:v>1094347.1863808995</x:v>
      </x:c>
      <x:c r="I519" s="50" t="b">
        <x:v>0</x:v>
      </x:c>
      <x:c r="J519" s="50" t="b">
        <x:v>0</x:v>
      </x:c>
      <x:c r="K519" s="31"/>
      <x:c r="L519" s="31"/>
    </x:row>
    <x:row r="520">
      <x:c r="A520" s="31"/>
      <x:c r="B520" s="31"/>
      <x:c r="C520" s="31"/>
      <x:c r="D520" s="31" t="n">
        <x:v>516</x:v>
      </x:c>
      <x:c r="E520" s="42" t="n">
        <x:v>0.028407340415120146</x:v>
      </x:c>
      <x:c r="F520" s="42" t="n">
        <x:v>-0.0015487909220283183</x:v>
      </x:c>
      <x:c r="G520" s="43" t="n">
        <x:v>0.9758796868102932</x:v>
      </x:c>
      <x:c r="H520" s="32" t="n">
        <x:v>1163761.8976121263</x:v>
      </x:c>
      <x:c r="I520" s="50" t="b">
        <x:v>0</x:v>
      </x:c>
      <x:c r="J520" s="50" t="b">
        <x:v>0</x:v>
      </x:c>
      <x:c r="K520" s="31"/>
      <x:c r="L520" s="31"/>
    </x:row>
    <x:row r="521">
      <x:c r="A521" s="31"/>
      <x:c r="B521" s="31"/>
      <x:c r="C521" s="31"/>
      <x:c r="D521" s="31" t="n">
        <x:v>517</x:v>
      </x:c>
      <x:c r="E521" s="42" t="n">
        <x:v>-0.0009711722950340247</x:v>
      </x:c>
      <x:c r="F521" s="42" t="n">
        <x:v>0.004701590509120017</x:v>
      </x:c>
      <x:c r="G521" s="43" t="n">
        <x:v>0.989547143776143</x:v>
      </x:c>
      <x:c r="H521" s="32" t="n">
        <x:v>977790.0495920357</x:v>
      </x:c>
      <x:c r="I521" s="50" t="b">
        <x:v>1</x:v>
      </x:c>
      <x:c r="J521" s="50" t="b">
        <x:v>0</x:v>
      </x:c>
      <x:c r="K521" s="31"/>
      <x:c r="L521" s="31"/>
    </x:row>
    <x:row r="522">
      <x:c r="A522" s="31"/>
      <x:c r="B522" s="31"/>
      <x:c r="C522" s="31"/>
      <x:c r="D522" s="31" t="n">
        <x:v>518</x:v>
      </x:c>
      <x:c r="E522" s="42" t="n">
        <x:v>-0.030948129369403072</x:v>
      </x:c>
      <x:c r="F522" s="42" t="n">
        <x:v>-0.008795743140501147</x:v>
      </x:c>
      <x:c r="G522" s="43" t="n">
        <x:v>1.0634338997288717</x:v>
      </x:c>
      <x:c r="H522" s="32" t="n">
        <x:v>462685.42349153943</x:v>
      </x:c>
      <x:c r="I522" s="50" t="b">
        <x:v>1</x:v>
      </x:c>
      <x:c r="J522" s="50" t="b">
        <x:v>0</x:v>
      </x:c>
      <x:c r="K522" s="31"/>
      <x:c r="L522" s="31"/>
    </x:row>
    <x:row r="523">
      <x:c r="A523" s="31"/>
      <x:c r="B523" s="31"/>
      <x:c r="C523" s="31"/>
      <x:c r="D523" s="31" t="n">
        <x:v>519</x:v>
      </x:c>
      <x:c r="E523" s="42" t="n">
        <x:v>-0.006975630571510266</x:v>
      </x:c>
      <x:c r="F523" s="42" t="n">
        <x:v>-0.013390871579147248</x:v>
      </x:c>
      <x:c r="G523" s="43" t="n">
        <x:v>1.0388083770942427</x:v>
      </x:c>
      <x:c r="H523" s="32" t="n">
        <x:v>698593.5563706841</x:v>
      </x:c>
      <x:c r="I523" s="50" t="b">
        <x:v>1</x:v>
      </x:c>
      <x:c r="J523" s="50" t="b">
        <x:v>0</x:v>
      </x:c>
      <x:c r="K523" s="31"/>
      <x:c r="L523" s="31"/>
    </x:row>
    <x:row r="524">
      <x:c r="A524" s="31"/>
      <x:c r="B524" s="31"/>
      <x:c r="C524" s="31"/>
      <x:c r="D524" s="31" t="n">
        <x:v>520</x:v>
      </x:c>
      <x:c r="E524" s="42" t="n">
        <x:v>-0.002995678151640863</x:v>
      </x:c>
      <x:c r="F524" s="42" t="n">
        <x:v>-0.005344838639333652</x:v>
      </x:c>
      <x:c r="G524" s="43" t="n">
        <x:v>1.007356479530812</x:v>
      </x:c>
      <x:c r="H524" s="32" t="n">
        <x:v>887017.3557706678</x:v>
      </x:c>
      <x:c r="I524" s="50" t="b">
        <x:v>1</x:v>
      </x:c>
      <x:c r="J524" s="50" t="b">
        <x:v>0</x:v>
      </x:c>
      <x:c r="K524" s="31"/>
      <x:c r="L524" s="31"/>
    </x:row>
    <x:row r="525">
      <x:c r="A525" s="31"/>
      <x:c r="B525" s="31"/>
      <x:c r="C525" s="31"/>
      <x:c r="D525" s="31" t="n">
        <x:v>521</x:v>
      </x:c>
      <x:c r="E525" s="42" t="n">
        <x:v>-0.015425616635960376</x:v>
      </x:c>
      <x:c r="F525" s="42" t="n">
        <x:v>-0.005868743486515608</x:v>
      </x:c>
      <x:c r="G525" s="43" t="n">
        <x:v>1.0265172257244797</x:v>
      </x:c>
      <x:c r="H525" s="32" t="n">
        <x:v>732192.3387125046</x:v>
      </x:c>
      <x:c r="I525" s="50" t="b">
        <x:v>1</x:v>
      </x:c>
      <x:c r="J525" s="50" t="b">
        <x:v>0</x:v>
      </x:c>
      <x:c r="K525" s="31"/>
      <x:c r="L525" s="31"/>
    </x:row>
    <x:row r="526">
      <x:c r="A526" s="31"/>
      <x:c r="B526" s="31"/>
      <x:c r="C526" s="31"/>
      <x:c r="D526" s="31" t="n">
        <x:v>522</x:v>
      </x:c>
      <x:c r="E526" s="42" t="n">
        <x:v>0.028358582895163947</x:v>
      </x:c>
      <x:c r="F526" s="42" t="n">
        <x:v>-0.0007659326933343612</x:v>
      </x:c>
      <x:c r="G526" s="43" t="n">
        <x:v>0.9902531707168667</x:v>
      </x:c>
      <x:c r="H526" s="32" t="n">
        <x:v>1070165.274224475</x:v>
      </x:c>
      <x:c r="I526" s="50" t="b">
        <x:v>0</x:v>
      </x:c>
      <x:c r="J526" s="50" t="b">
        <x:v>0</x:v>
      </x:c>
      <x:c r="K526" s="31"/>
      <x:c r="L526" s="31"/>
    </x:row>
    <x:row r="527">
      <x:c r="A527" s="31"/>
      <x:c r="B527" s="31"/>
      <x:c r="C527" s="31"/>
      <x:c r="D527" s="31" t="n">
        <x:v>523</x:v>
      </x:c>
      <x:c r="E527" s="42" t="n">
        <x:v>-0.015867263340310807</x:v>
      </x:c>
      <x:c r="F527" s="42" t="n">
        <x:v>-0.00985224368805759</x:v>
      </x:c>
      <x:c r="G527" s="43" t="n">
        <x:v>1.0148685954936094</x:v>
      </x:c>
      <x:c r="H527" s="32" t="n">
        <x:v>816028.2182895929</x:v>
      </x:c>
      <x:c r="I527" s="50" t="b">
        <x:v>1</x:v>
      </x:c>
      <x:c r="J527" s="50" t="b">
        <x:v>0</x:v>
      </x:c>
      <x:c r="K527" s="31"/>
      <x:c r="L527" s="31"/>
    </x:row>
    <x:row r="528">
      <x:c r="A528" s="31"/>
      <x:c r="B528" s="31"/>
      <x:c r="C528" s="31"/>
      <x:c r="D528" s="31" t="n">
        <x:v>524</x:v>
      </x:c>
      <x:c r="E528" s="42" t="n">
        <x:v>-0.006158265677652803</x:v>
      </x:c>
      <x:c r="F528" s="42" t="n">
        <x:v>0.010172966475242306</x:v>
      </x:c>
      <x:c r="G528" s="43" t="n">
        <x:v>1.0274017938469313</x:v>
      </x:c>
      <x:c r="H528" s="32" t="n">
        <x:v>707718.1262097177</x:v>
      </x:c>
      <x:c r="I528" s="50" t="b">
        <x:v>1</x:v>
      </x:c>
      <x:c r="J528" s="50" t="b">
        <x:v>0</x:v>
      </x:c>
      <x:c r="K528" s="31"/>
      <x:c r="L528" s="31"/>
    </x:row>
    <x:row r="529">
      <x:c r="A529" s="31"/>
      <x:c r="B529" s="31"/>
      <x:c r="C529" s="31"/>
      <x:c r="D529" s="31" t="n">
        <x:v>525</x:v>
      </x:c>
      <x:c r="E529" s="42" t="n">
        <x:v>-0.017116538525249674</x:v>
      </x:c>
      <x:c r="F529" s="42" t="n">
        <x:v>-0.00559430001749644</x:v>
      </x:c>
      <x:c r="G529" s="43" t="n">
        <x:v>1.0163875518508734</x:v>
      </x:c>
      <x:c r="H529" s="32" t="n">
        <x:v>791052.3038936186</x:v>
      </x:c>
      <x:c r="I529" s="50" t="b">
        <x:v>1</x:v>
      </x:c>
      <x:c r="J529" s="50" t="b">
        <x:v>0</x:v>
      </x:c>
      <x:c r="K529" s="31"/>
      <x:c r="L529" s="31"/>
    </x:row>
    <x:row r="530">
      <x:c r="A530" s="31"/>
      <x:c r="B530" s="31"/>
      <x:c r="C530" s="31"/>
      <x:c r="D530" s="31" t="n">
        <x:v>526</x:v>
      </x:c>
      <x:c r="E530" s="42" t="n">
        <x:v>-0.01892403927231393</x:v>
      </x:c>
      <x:c r="F530" s="42" t="n">
        <x:v>-0.004423618762892401</x:v>
      </x:c>
      <x:c r="G530" s="43" t="n">
        <x:v>0.9995301078550644</x:v>
      </x:c>
      <x:c r="H530" s="32" t="n">
        <x:v>889819.1765718919</x:v>
      </x:c>
      <x:c r="I530" s="50" t="b">
        <x:v>1</x:v>
      </x:c>
      <x:c r="J530" s="50" t="b">
        <x:v>0</x:v>
      </x:c>
      <x:c r="K530" s="31"/>
      <x:c r="L530" s="31"/>
    </x:row>
    <x:row r="531">
      <x:c r="A531" s="31"/>
      <x:c r="B531" s="31"/>
      <x:c r="C531" s="31"/>
      <x:c r="D531" s="31" t="n">
        <x:v>527</x:v>
      </x:c>
      <x:c r="E531" s="42" t="n">
        <x:v>0.006081053773013172</x:v>
      </x:c>
      <x:c r="F531" s="42" t="n">
        <x:v>0.006605911598660489</x:v>
      </x:c>
      <x:c r="G531" s="43" t="n">
        <x:v>1.0453167016621434</x:v>
      </x:c>
      <x:c r="H531" s="32" t="n">
        <x:v>637943.1670446269</x:v>
      </x:c>
      <x:c r="I531" s="50" t="b">
        <x:v>1</x:v>
      </x:c>
      <x:c r="J531" s="50" t="b">
        <x:v>0</x:v>
      </x:c>
      <x:c r="K531" s="31"/>
      <x:c r="L531" s="31"/>
    </x:row>
    <x:row r="532">
      <x:c r="A532" s="31"/>
      <x:c r="B532" s="31"/>
      <x:c r="C532" s="31"/>
      <x:c r="D532" s="31" t="n">
        <x:v>528</x:v>
      </x:c>
      <x:c r="E532" s="42" t="n">
        <x:v>0.0006472526313442274</x:v>
      </x:c>
      <x:c r="F532" s="42" t="n">
        <x:v>0.002618656040943749</x:v>
      </x:c>
      <x:c r="G532" s="43" t="n">
        <x:v>0.9595661800765554</x:v>
      </x:c>
      <x:c r="H532" s="32" t="n">
        <x:v>1178493.2183771213</x:v>
      </x:c>
      <x:c r="I532" s="50" t="b">
        <x:v>0</x:v>
      </x:c>
      <x:c r="J532" s="50" t="b">
        <x:v>0</x:v>
      </x:c>
      <x:c r="K532" s="31"/>
      <x:c r="L532" s="31"/>
    </x:row>
    <x:row r="533">
      <x:c r="A533" s="31"/>
      <x:c r="B533" s="31"/>
      <x:c r="C533" s="31"/>
      <x:c r="D533" s="31" t="n">
        <x:v>529</x:v>
      </x:c>
      <x:c r="E533" s="42" t="n">
        <x:v>-0.0030699935695653467</x:v>
      </x:c>
      <x:c r="F533" s="42" t="n">
        <x:v>0.0072946143191628</x:v>
      </x:c>
      <x:c r="G533" s="43" t="n">
        <x:v>1.015644326935095</x:v>
      </x:c>
      <x:c r="H533" s="32" t="n">
        <x:v>798994.5989703597</x:v>
      </x:c>
      <x:c r="I533" s="50" t="b">
        <x:v>1</x:v>
      </x:c>
      <x:c r="J533" s="50" t="b">
        <x:v>0</x:v>
      </x:c>
      <x:c r="K533" s="31"/>
      <x:c r="L533" s="31"/>
    </x:row>
    <x:row r="534">
      <x:c r="A534" s="31"/>
      <x:c r="B534" s="31"/>
      <x:c r="C534" s="31"/>
      <x:c r="D534" s="31" t="n">
        <x:v>530</x:v>
      </x:c>
      <x:c r="E534" s="42" t="n">
        <x:v>-0.007259263270646179</x:v>
      </x:c>
      <x:c r="F534" s="42" t="n">
        <x:v>0.0043375279678753926</x:v>
      </x:c>
      <x:c r="G534" s="43" t="n">
        <x:v>1.0023965455125332</x:v>
      </x:c>
      <x:c r="H534" s="32" t="n">
        <x:v>879697.583792578</x:v>
      </x:c>
      <x:c r="I534" s="50" t="b">
        <x:v>1</x:v>
      </x:c>
      <x:c r="J534" s="50" t="b">
        <x:v>0</x:v>
      </x:c>
      <x:c r="K534" s="31"/>
      <x:c r="L534" s="31"/>
    </x:row>
    <x:row r="535">
      <x:c r="A535" s="31"/>
      <x:c r="B535" s="31"/>
      <x:c r="C535" s="31"/>
      <x:c r="D535" s="31" t="n">
        <x:v>531</x:v>
      </x:c>
      <x:c r="E535" s="42" t="n">
        <x:v>-0.015881402114353713</x:v>
      </x:c>
      <x:c r="F535" s="42" t="n">
        <x:v>-0.004678629258474111</x:v>
      </x:c>
      <x:c r="G535" s="43" t="n">
        <x:v>1.062441876082422</x:v>
      </x:c>
      <x:c r="H535" s="32" t="n">
        <x:v>499463.96776260866</x:v>
      </x:c>
      <x:c r="I535" s="50" t="b">
        <x:v>1</x:v>
      </x:c>
      <x:c r="J535" s="50" t="b">
        <x:v>0</x:v>
      </x:c>
      <x:c r="K535" s="31"/>
      <x:c r="L535" s="31"/>
    </x:row>
    <x:row r="536">
      <x:c r="A536" s="31"/>
      <x:c r="B536" s="31"/>
      <x:c r="C536" s="31"/>
      <x:c r="D536" s="31" t="n">
        <x:v>532</x:v>
      </x:c>
      <x:c r="E536" s="42" t="n">
        <x:v>-0.009552724896999872</x:v>
      </x:c>
      <x:c r="F536" s="42" t="n">
        <x:v>0.0049265051631508135</x:v>
      </x:c>
      <x:c r="G536" s="43" t="n">
        <x:v>0.9554334702446572</x:v>
      </x:c>
      <x:c r="H536" s="32" t="n">
        <x:v>1169923.0399778706</x:v>
      </x:c>
      <x:c r="I536" s="50" t="b">
        <x:v>0</x:v>
      </x:c>
      <x:c r="J536" s="50" t="b">
        <x:v>0</x:v>
      </x:c>
      <x:c r="K536" s="31"/>
      <x:c r="L536" s="31"/>
    </x:row>
    <x:row r="537">
      <x:c r="A537" s="31"/>
      <x:c r="B537" s="31"/>
      <x:c r="C537" s="31"/>
      <x:c r="D537" s="31" t="n">
        <x:v>533</x:v>
      </x:c>
      <x:c r="E537" s="42" t="n">
        <x:v>-0.004598265649964888</x:v>
      </x:c>
      <x:c r="F537" s="42" t="n">
        <x:v>0.010802034595649669</x:v>
      </x:c>
      <x:c r="G537" s="43" t="n">
        <x:v>0.9231737994724114</x:v>
      </x:c>
      <x:c r="H537" s="32" t="n">
        <x:v>1372230.9773212317</x:v>
      </x:c>
      <x:c r="I537" s="50" t="b">
        <x:v>0</x:v>
      </x:c>
      <x:c r="J537" s="50" t="b">
        <x:v>0</x:v>
      </x:c>
      <x:c r="K537" s="31"/>
      <x:c r="L537" s="31"/>
    </x:row>
    <x:row r="538">
      <x:c r="A538" s="31"/>
      <x:c r="B538" s="31"/>
      <x:c r="C538" s="31"/>
      <x:c r="D538" s="31" t="n">
        <x:v>534</x:v>
      </x:c>
      <x:c r="E538" s="42" t="n">
        <x:v>-0.008732454134738856</x:v>
      </x:c>
      <x:c r="F538" s="42" t="n">
        <x:v>0.0037103511218140053</x:v>
      </x:c>
      <x:c r="G538" s="43" t="n">
        <x:v>1.1186356532613324</x:v>
      </x:c>
      <x:c r="H538" s="32" t="n">
        <x:v>139142.0269688645</x:v>
      </x:c>
      <x:c r="I538" s="50" t="b">
        <x:v>1</x:v>
      </x:c>
      <x:c r="J538" s="50" t="b">
        <x:v>0</x:v>
      </x:c>
      <x:c r="K538" s="31"/>
      <x:c r="L538" s="31"/>
    </x:row>
    <x:row r="539">
      <x:c r="A539" s="31"/>
      <x:c r="B539" s="31"/>
      <x:c r="C539" s="31"/>
      <x:c r="D539" s="31" t="n">
        <x:v>535</x:v>
      </x:c>
      <x:c r="E539" s="42" t="n">
        <x:v>-0.0012624682521274542</x:v>
      </x:c>
      <x:c r="F539" s="42" t="n">
        <x:v>0.005442625587039749</x:v>
      </x:c>
      <x:c r="G539" s="43" t="n">
        <x:v>1.0373698573770493</x:v>
      </x:c>
      <x:c r="H539" s="32" t="n">
        <x:v>671208.4324995478</x:v>
      </x:c>
      <x:c r="I539" s="50" t="b">
        <x:v>1</x:v>
      </x:c>
      <x:c r="J539" s="50" t="b">
        <x:v>0</x:v>
      </x:c>
      <x:c r="K539" s="31"/>
      <x:c r="L539" s="31"/>
    </x:row>
    <x:row r="540">
      <x:c r="A540" s="31"/>
      <x:c r="B540" s="31"/>
      <x:c r="C540" s="31"/>
      <x:c r="D540" s="31" t="n">
        <x:v>536</x:v>
      </x:c>
      <x:c r="E540" s="42" t="n">
        <x:v>0.005566792460610717</x:v>
      </x:c>
      <x:c r="F540" s="42" t="n">
        <x:v>0.009106294594270708</x:v>
      </x:c>
      <x:c r="G540" s="43" t="n">
        <x:v>1.0863701507949464</x:v>
      </x:c>
      <x:c r="H540" s="32" t="n">
        <x:v>368833.36057444767</x:v>
      </x:c>
      <x:c r="I540" s="50" t="b">
        <x:v>1</x:v>
      </x:c>
      <x:c r="J540" s="50" t="b">
        <x:v>0</x:v>
      </x:c>
      <x:c r="K540" s="31"/>
      <x:c r="L540" s="31"/>
    </x:row>
    <x:row r="541">
      <x:c r="A541" s="31"/>
      <x:c r="B541" s="31"/>
      <x:c r="C541" s="31"/>
      <x:c r="D541" s="31" t="n">
        <x:v>537</x:v>
      </x:c>
      <x:c r="E541" s="42" t="n">
        <x:v>0.0017781135202660588</x:v>
      </x:c>
      <x:c r="F541" s="42" t="n">
        <x:v>-0.00975917611174879</x:v>
      </x:c>
      <x:c r="G541" s="43" t="n">
        <x:v>0.9742737511118235</x:v>
      </x:c>
      <x:c r="H541" s="32" t="n">
        <x:v>1122691.4725021713</x:v>
      </x:c>
      <x:c r="I541" s="50" t="b">
        <x:v>0</x:v>
      </x:c>
      <x:c r="J541" s="50" t="b">
        <x:v>0</x:v>
      </x:c>
      <x:c r="K541" s="31"/>
      <x:c r="L541" s="31"/>
    </x:row>
    <x:row r="542">
      <x:c r="A542" s="31"/>
      <x:c r="B542" s="31"/>
      <x:c r="C542" s="31"/>
      <x:c r="D542" s="31" t="n">
        <x:v>538</x:v>
      </x:c>
      <x:c r="E542" s="42" t="n">
        <x:v>-0.0049689173653632195</x:v>
      </x:c>
      <x:c r="F542" s="42" t="n">
        <x:v>0.00035705629614802274</x:v>
      </x:c>
      <x:c r="G542" s="43" t="n">
        <x:v>0.9349101613550513</x:v>
      </x:c>
      <x:c r="H542" s="32" t="n">
        <x:v>1325738.8786985804</x:v>
      </x:c>
      <x:c r="I542" s="50" t="b">
        <x:v>0</x:v>
      </x:c>
      <x:c r="J542" s="50" t="b">
        <x:v>0</x:v>
      </x:c>
      <x:c r="K542" s="31"/>
      <x:c r="L542" s="31"/>
    </x:row>
    <x:row r="543">
      <x:c r="A543" s="31"/>
      <x:c r="B543" s="31"/>
      <x:c r="C543" s="31"/>
      <x:c r="D543" s="31" t="n">
        <x:v>539</x:v>
      </x:c>
      <x:c r="E543" s="42" t="n">
        <x:v>-0.0008251210724974021</x:v>
      </x:c>
      <x:c r="F543" s="42" t="n">
        <x:v>-0.001188707836531356</x:v>
      </x:c>
      <x:c r="G543" s="43" t="n">
        <x:v>1.0399392526653037</x:v>
      </x:c>
      <x:c r="H543" s="32" t="n">
        <x:v>674566.7818460353</x:v>
      </x:c>
      <x:c r="I543" s="50" t="b">
        <x:v>1</x:v>
      </x:c>
      <x:c r="J543" s="50" t="b">
        <x:v>0</x:v>
      </x:c>
      <x:c r="K543" s="31"/>
      <x:c r="L543" s="31"/>
    </x:row>
    <x:row r="544">
      <x:c r="A544" s="31"/>
      <x:c r="B544" s="31"/>
      <x:c r="C544" s="31"/>
      <x:c r="D544" s="31" t="n">
        <x:v>540</x:v>
      </x:c>
      <x:c r="E544" s="42" t="n">
        <x:v>0.020795969040599438</x:v>
      </x:c>
      <x:c r="F544" s="42" t="n">
        <x:v>-0.005835596819953922</x:v>
      </x:c>
      <x:c r="G544" s="43" t="n">
        <x:v>1.0297183608728264</x:v>
      </x:c>
      <x:c r="H544" s="32" t="n">
        <x:v>812594.1855351715</x:v>
      </x:c>
      <x:c r="I544" s="50" t="b">
        <x:v>1</x:v>
      </x:c>
      <x:c r="J544" s="50" t="b">
        <x:v>0</x:v>
      </x:c>
      <x:c r="K544" s="31"/>
      <x:c r="L544" s="31"/>
    </x:row>
    <x:row r="545">
      <x:c r="A545" s="31"/>
      <x:c r="B545" s="31"/>
      <x:c r="C545" s="31"/>
      <x:c r="D545" s="31" t="n">
        <x:v>541</x:v>
      </x:c>
      <x:c r="E545" s="42" t="n">
        <x:v>-0.004978675568568528</x:v>
      </x:c>
      <x:c r="F545" s="42" t="n">
        <x:v>-0.006389010454684292</x:v>
      </x:c>
      <x:c r="G545" s="43" t="n">
        <x:v>0.9945190201323927</x:v>
      </x:c>
      <x:c r="H545" s="32" t="n">
        <x:v>965931.072932668</x:v>
      </x:c>
      <x:c r="I545" s="50" t="b">
        <x:v>1</x:v>
      </x:c>
      <x:c r="J545" s="50" t="b">
        <x:v>0</x:v>
      </x:c>
      <x:c r="K545" s="31"/>
      <x:c r="L545" s="31"/>
    </x:row>
    <x:row r="546">
      <x:c r="A546" s="31"/>
      <x:c r="B546" s="31"/>
      <x:c r="C546" s="31"/>
      <x:c r="D546" s="31" t="n">
        <x:v>542</x:v>
      </x:c>
      <x:c r="E546" s="42" t="n">
        <x:v>-0.0026731065533936644</x:v>
      </x:c>
      <x:c r="F546" s="42" t="n">
        <x:v>-0.011809891398900372</x:v>
      </x:c>
      <x:c r="G546" s="43" t="n">
        <x:v>1.0211305195988483</x:v>
      </x:c>
      <x:c r="H546" s="32" t="n">
        <x:v>818435.9490279735</x:v>
      </x:c>
      <x:c r="I546" s="50" t="b">
        <x:v>1</x:v>
      </x:c>
      <x:c r="J546" s="50" t="b">
        <x:v>0</x:v>
      </x:c>
      <x:c r="K546" s="31"/>
      <x:c r="L546" s="31"/>
    </x:row>
    <x:row r="547">
      <x:c r="A547" s="31"/>
      <x:c r="B547" s="31"/>
      <x:c r="C547" s="31"/>
      <x:c r="D547" s="31" t="n">
        <x:v>543</x:v>
      </x:c>
      <x:c r="E547" s="42" t="n">
        <x:v>-0.013530679510262317</x:v>
      </x:c>
      <x:c r="F547" s="42" t="n">
        <x:v>-0.008277076703105247</x:v>
      </x:c>
      <x:c r="G547" s="43" t="n">
        <x:v>0.9694917508096874</x:v>
      </x:c>
      <x:c r="H547" s="32" t="n">
        <x:v>1106322.7398723932</x:v>
      </x:c>
      <x:c r="I547" s="50" t="b">
        <x:v>0</x:v>
      </x:c>
      <x:c r="J547" s="50" t="b">
        <x:v>0</x:v>
      </x:c>
      <x:c r="K547" s="31"/>
      <x:c r="L547" s="31"/>
    </x:row>
    <x:row r="548">
      <x:c r="A548" s="31"/>
      <x:c r="B548" s="31"/>
      <x:c r="C548" s="31"/>
      <x:c r="D548" s="31" t="n">
        <x:v>544</x:v>
      </x:c>
      <x:c r="E548" s="42" t="n">
        <x:v>0.009322826256500305</x:v>
      </x:c>
      <x:c r="F548" s="42" t="n">
        <x:v>0.001598170520760785</x:v>
      </x:c>
      <x:c r="G548" s="43" t="n">
        <x:v>1.026019211650287</x:v>
      </x:c>
      <x:c r="H548" s="32" t="n">
        <x:v>783458.599511618</x:v>
      </x:c>
      <x:c r="I548" s="50" t="b">
        <x:v>1</x:v>
      </x:c>
      <x:c r="J548" s="50" t="b">
        <x:v>0</x:v>
      </x:c>
      <x:c r="K548" s="31"/>
      <x:c r="L548" s="31"/>
    </x:row>
    <x:row r="549">
      <x:c r="A549" s="31"/>
      <x:c r="B549" s="31"/>
      <x:c r="C549" s="31"/>
      <x:c r="D549" s="31" t="n">
        <x:v>545</x:v>
      </x:c>
      <x:c r="E549" s="42" t="n">
        <x:v>-0.011404028450165391</x:v>
      </x:c>
      <x:c r="F549" s="42" t="n">
        <x:v>-0.011862446587914138</x:v>
      </x:c>
      <x:c r="G549" s="43" t="n">
        <x:v>1.0354305898522527</x:v>
      </x:c>
      <x:c r="H549" s="32" t="n">
        <x:v>703463.9491031216</x:v>
      </x:c>
      <x:c r="I549" s="50" t="b">
        <x:v>1</x:v>
      </x:c>
      <x:c r="J549" s="50" t="b">
        <x:v>0</x:v>
      </x:c>
      <x:c r="K549" s="31"/>
      <x:c r="L549" s="31"/>
    </x:row>
    <x:row r="550">
      <x:c r="A550" s="31"/>
      <x:c r="B550" s="31"/>
      <x:c r="C550" s="31"/>
      <x:c r="D550" s="31" t="n">
        <x:v>546</x:v>
      </x:c>
      <x:c r="E550" s="42" t="n">
        <x:v>0.016132495202743593</x:v>
      </x:c>
      <x:c r="F550" s="42" t="n">
        <x:v>0.004888282443888531</x:v>
      </x:c>
      <x:c r="G550" s="43" t="n">
        <x:v>1.0008570858224708</x:v>
      </x:c>
      <x:c r="H550" s="32" t="n">
        <x:v>953052.684041939</x:v>
      </x:c>
      <x:c r="I550" s="50" t="b">
        <x:v>1</x:v>
      </x:c>
      <x:c r="J550" s="50" t="b">
        <x:v>0</x:v>
      </x:c>
      <x:c r="K550" s="31"/>
      <x:c r="L550" s="31"/>
    </x:row>
    <x:row r="551">
      <x:c r="A551" s="31"/>
      <x:c r="B551" s="31"/>
      <x:c r="C551" s="31"/>
      <x:c r="D551" s="31" t="n">
        <x:v>547</x:v>
      </x:c>
      <x:c r="E551" s="42" t="n">
        <x:v>0.012817574187986413</x:v>
      </x:c>
      <x:c r="F551" s="42" t="n">
        <x:v>-0.0029392427412526447</x:v>
      </x:c>
      <x:c r="G551" s="43" t="n">
        <x:v>0.9471018473539344</x:v>
      </x:c>
      <x:c r="H551" s="32" t="n">
        <x:v>1306997.4530441875</x:v>
      </x:c>
      <x:c r="I551" s="50" t="b">
        <x:v>0</x:v>
      </x:c>
      <x:c r="J551" s="50" t="b">
        <x:v>0</x:v>
      </x:c>
      <x:c r="K551" s="31"/>
      <x:c r="L551" s="31"/>
    </x:row>
    <x:row r="552">
      <x:c r="A552" s="31"/>
      <x:c r="B552" s="31"/>
      <x:c r="C552" s="31"/>
      <x:c r="D552" s="31" t="n">
        <x:v>548</x:v>
      </x:c>
      <x:c r="E552" s="42" t="n">
        <x:v>-0.00902351209120066</x:v>
      </x:c>
      <x:c r="F552" s="42" t="n">
        <x:v>-0.005373316182259174</x:v>
      </x:c>
      <x:c r="G552" s="43" t="n">
        <x:v>0.9752166373881933</x:v>
      </x:c>
      <x:c r="H552" s="32" t="n">
        <x:v>1074428.7742140149</x:v>
      </x:c>
      <x:c r="I552" s="50" t="b">
        <x:v>0</x:v>
      </x:c>
      <x:c r="J552" s="50" t="b">
        <x:v>0</x:v>
      </x:c>
      <x:c r="K552" s="31"/>
      <x:c r="L552" s="31"/>
    </x:row>
    <x:row r="553">
      <x:c r="A553" s="31"/>
      <x:c r="B553" s="31"/>
      <x:c r="C553" s="31"/>
      <x:c r="D553" s="31" t="n">
        <x:v>549</x:v>
      </x:c>
      <x:c r="E553" s="42" t="n">
        <x:v>-0.013412359565058665</x:v>
      </x:c>
      <x:c r="F553" s="42" t="n">
        <x:v>0.008330187370131139</x:v>
      </x:c>
      <x:c r="G553" s="43" t="n">
        <x:v>1.009902092960287</x:v>
      </x:c>
      <x:c r="H553" s="32" t="n">
        <x:v>803791.1059808831</x:v>
      </x:c>
      <x:c r="I553" s="50" t="b">
        <x:v>1</x:v>
      </x:c>
      <x:c r="J553" s="50" t="b">
        <x:v>0</x:v>
      </x:c>
      <x:c r="K553" s="31"/>
      <x:c r="L553" s="31"/>
    </x:row>
    <x:row r="554">
      <x:c r="A554" s="31"/>
      <x:c r="B554" s="31"/>
      <x:c r="C554" s="31"/>
      <x:c r="D554" s="31" t="n">
        <x:v>550</x:v>
      </x:c>
      <x:c r="E554" s="42" t="n">
        <x:v>0.008423237507665106</x:v>
      </x:c>
      <x:c r="F554" s="42" t="n">
        <x:v>-0.008475281111247223</x:v>
      </x:c>
      <x:c r="G554" s="43" t="n">
        <x:v>0.9530228695994136</x:v>
      </x:c>
      <x:c r="H554" s="32" t="n">
        <x:v>1272572.720309368</x:v>
      </x:c>
      <x:c r="I554" s="50" t="b">
        <x:v>0</x:v>
      </x:c>
      <x:c r="J554" s="50" t="b">
        <x:v>0</x:v>
      </x:c>
      <x:c r="K554" s="31"/>
      <x:c r="L554" s="31"/>
    </x:row>
    <x:row r="555">
      <x:c r="A555" s="31"/>
      <x:c r="B555" s="31"/>
      <x:c r="C555" s="31"/>
      <x:c r="D555" s="31" t="n">
        <x:v>551</x:v>
      </x:c>
      <x:c r="E555" s="42" t="n">
        <x:v>-0.0030283617416268015</x:v>
      </x:c>
      <x:c r="F555" s="42" t="n">
        <x:v>0.002996359424961581</x:v>
      </x:c>
      <x:c r="G555" s="43" t="n">
        <x:v>1.0377237401252781</x:v>
      </x:c>
      <x:c r="H555" s="32" t="n">
        <x:v>670854.8588339527</x:v>
      </x:c>
      <x:c r="I555" s="50" t="b">
        <x:v>1</x:v>
      </x:c>
      <x:c r="J555" s="50" t="b">
        <x:v>0</x:v>
      </x:c>
      <x:c r="K555" s="31"/>
      <x:c r="L555" s="31"/>
    </x:row>
    <x:row r="556">
      <x:c r="A556" s="31"/>
      <x:c r="B556" s="31"/>
      <x:c r="C556" s="31"/>
      <x:c r="D556" s="31" t="n">
        <x:v>552</x:v>
      </x:c>
      <x:c r="E556" s="42" t="n">
        <x:v>-0.026790651284308898</x:v>
      </x:c>
      <x:c r="F556" s="42" t="n">
        <x:v>0.0024001204221249487</x:v>
      </x:c>
      <x:c r="G556" s="43" t="n">
        <x:v>1.0075520832586384</x:v>
      </x:c>
      <x:c r="H556" s="32" t="n">
        <x:v>797983.0331794751</x:v>
      </x:c>
      <x:c r="I556" s="50" t="b">
        <x:v>1</x:v>
      </x:c>
      <x:c r="J556" s="50" t="b">
        <x:v>0</x:v>
      </x:c>
      <x:c r="K556" s="31"/>
      <x:c r="L556" s="31"/>
    </x:row>
    <x:row r="557">
      <x:c r="A557" s="31"/>
      <x:c r="B557" s="31"/>
      <x:c r="C557" s="31"/>
      <x:c r="D557" s="31" t="n">
        <x:v>553</x:v>
      </x:c>
      <x:c r="E557" s="42" t="n">
        <x:v>-0.00013896712585002684</x:v>
      </x:c>
      <x:c r="F557" s="42" t="n">
        <x:v>0.006753374367617251</x:v>
      </x:c>
      <x:c r="G557" s="43" t="n">
        <x:v>1.0249243378743595</x:v>
      </x:c>
      <x:c r="H557" s="32" t="n">
        <x:v>749725.0876166492</x:v>
      </x:c>
      <x:c r="I557" s="50" t="b">
        <x:v>1</x:v>
      </x:c>
      <x:c r="J557" s="50" t="b">
        <x:v>0</x:v>
      </x:c>
      <x:c r="K557" s="31"/>
      <x:c r="L557" s="31"/>
    </x:row>
    <x:row r="558">
      <x:c r="A558" s="31"/>
      <x:c r="B558" s="31"/>
      <x:c r="C558" s="31"/>
      <x:c r="D558" s="31" t="n">
        <x:v>554</x:v>
      </x:c>
      <x:c r="E558" s="42" t="n">
        <x:v>-0.005573878632092555</x:v>
      </x:c>
      <x:c r="F558" s="42" t="n">
        <x:v>0.0008148904968987898</x:v>
      </x:c>
      <x:c r="G558" s="43" t="n">
        <x:v>0.9644054290971811</x:v>
      </x:c>
      <x:c r="H558" s="32" t="n">
        <x:v>1135464.7244053907</x:v>
      </x:c>
      <x:c r="I558" s="50" t="b">
        <x:v>0</x:v>
      </x:c>
      <x:c r="J558" s="50" t="b">
        <x:v>0</x:v>
      </x:c>
      <x:c r="K558" s="31"/>
      <x:c r="L558" s="31"/>
    </x:row>
    <x:row r="559">
      <x:c r="A559" s="31"/>
      <x:c r="B559" s="31"/>
      <x:c r="C559" s="31"/>
      <x:c r="D559" s="31" t="n">
        <x:v>555</x:v>
      </x:c>
      <x:c r="E559" s="42" t="n">
        <x:v>-0.0034424125493728802</x:v>
      </x:c>
      <x:c r="F559" s="42" t="n">
        <x:v>-0.0006227304504551674</x:v>
      </x:c>
      <x:c r="G559" s="43" t="n">
        <x:v>0.9499952314069634</x:v>
      </x:c>
      <x:c r="H559" s="32" t="n">
        <x:v>1236914.3183125048</x:v>
      </x:c>
      <x:c r="I559" s="50" t="b">
        <x:v>0</x:v>
      </x:c>
      <x:c r="J559" s="50" t="b">
        <x:v>0</x:v>
      </x:c>
      <x:c r="K559" s="31"/>
      <x:c r="L559" s="31"/>
    </x:row>
    <x:row r="560">
      <x:c r="A560" s="31"/>
      <x:c r="B560" s="31"/>
      <x:c r="C560" s="31"/>
      <x:c r="D560" s="31" t="n">
        <x:v>556</x:v>
      </x:c>
      <x:c r="E560" s="42" t="n">
        <x:v>-0.007176947683095765</x:v>
      </x:c>
      <x:c r="F560" s="42" t="n">
        <x:v>-0.007153055461826498</x:v>
      </x:c>
      <x:c r="G560" s="43" t="n">
        <x:v>1.045303218225024</x:v>
      </x:c>
      <x:c r="H560" s="32" t="n">
        <x:v>639423.2452840523</x:v>
      </x:c>
      <x:c r="I560" s="50" t="b">
        <x:v>1</x:v>
      </x:c>
      <x:c r="J560" s="50" t="b">
        <x:v>0</x:v>
      </x:c>
      <x:c r="K560" s="31"/>
      <x:c r="L560" s="31"/>
    </x:row>
    <x:row r="561">
      <x:c r="A561" s="31"/>
      <x:c r="B561" s="31"/>
      <x:c r="C561" s="31"/>
      <x:c r="D561" s="31" t="n">
        <x:v>557</x:v>
      </x:c>
      <x:c r="E561" s="42" t="n">
        <x:v>-0.011336177487304934</x:v>
      </x:c>
      <x:c r="F561" s="42" t="n">
        <x:v>-0.006258118213872006</x:v>
      </x:c>
      <x:c r="G561" s="43" t="n">
        <x:v>0.9688301771475103</x:v>
      </x:c>
      <x:c r="H561" s="32" t="n">
        <x:v>1111012.8304898075</x:v>
      </x:c>
      <x:c r="I561" s="50" t="b">
        <x:v>0</x:v>
      </x:c>
      <x:c r="J561" s="50" t="b">
        <x:v>0</x:v>
      </x:c>
      <x:c r="K561" s="31"/>
      <x:c r="L561" s="31"/>
    </x:row>
    <x:row r="562">
      <x:c r="A562" s="31"/>
      <x:c r="B562" s="31"/>
      <x:c r="C562" s="31"/>
      <x:c r="D562" s="31" t="n">
        <x:v>558</x:v>
      </x:c>
      <x:c r="E562" s="42" t="n">
        <x:v>-0.02336881196796191</x:v>
      </x:c>
      <x:c r="F562" s="42" t="n">
        <x:v>0.000818529011848695</x:v>
      </x:c>
      <x:c r="G562" s="43" t="n">
        <x:v>0.9592371151737056</x:v>
      </x:c>
      <x:c r="H562" s="32" t="n">
        <x:v>1118744.4588905382</x:v>
      </x:c>
      <x:c r="I562" s="50" t="b">
        <x:v>0</x:v>
      </x:c>
      <x:c r="J562" s="50" t="b">
        <x:v>0</x:v>
      </x:c>
      <x:c r="K562" s="31"/>
      <x:c r="L562" s="31"/>
    </x:row>
    <x:row r="563">
      <x:c r="A563" s="31"/>
      <x:c r="B563" s="31"/>
      <x:c r="C563" s="31"/>
      <x:c r="D563" s="31" t="n">
        <x:v>559</x:v>
      </x:c>
      <x:c r="E563" s="42" t="n">
        <x:v>-0.009599218496932712</x:v>
      </x:c>
      <x:c r="F563" s="42" t="n">
        <x:v>-0.007932223141964154</x:v>
      </x:c>
      <x:c r="G563" s="43" t="n">
        <x:v>0.9641049980067343</x:v>
      </x:c>
      <x:c r="H563" s="32" t="n">
        <x:v>1150515.8365680408</x:v>
      </x:c>
      <x:c r="I563" s="50" t="b">
        <x:v>0</x:v>
      </x:c>
      <x:c r="J563" s="50" t="b">
        <x:v>0</x:v>
      </x:c>
      <x:c r="K563" s="31"/>
      <x:c r="L563" s="31"/>
    </x:row>
    <x:row r="564">
      <x:c r="A564" s="31"/>
      <x:c r="B564" s="31"/>
      <x:c r="C564" s="31"/>
      <x:c r="D564" s="31" t="n">
        <x:v>560</x:v>
      </x:c>
      <x:c r="E564" s="42" t="n">
        <x:v>0.0167765037593614</x:v>
      </x:c>
      <x:c r="F564" s="42" t="n">
        <x:v>-0.010301317674099097</x:v>
      </x:c>
      <x:c r="G564" s="43" t="n">
        <x:v>1.1008878044199966</x:v>
      </x:c>
      <x:c r="H564" s="32" t="n">
        <x:v>361859.97706285</x:v>
      </x:c>
      <x:c r="I564" s="50" t="b">
        <x:v>1</x:v>
      </x:c>
      <x:c r="J564" s="50" t="b">
        <x:v>0</x:v>
      </x:c>
      <x:c r="K564" s="31"/>
      <x:c r="L564" s="31"/>
    </x:row>
    <x:row r="565">
      <x:c r="A565" s="31"/>
      <x:c r="B565" s="31"/>
      <x:c r="C565" s="31"/>
      <x:c r="D565" s="31" t="n">
        <x:v>561</x:v>
      </x:c>
      <x:c r="E565" s="42" t="n">
        <x:v>0.004851732021824853</x:v>
      </x:c>
      <x:c r="F565" s="42" t="n">
        <x:v>-0.0015727805858677974</x:v>
      </x:c>
      <x:c r="G565" s="43" t="n">
        <x:v>1.0406929705123116</x:v>
      </x:c>
      <x:c r="H565" s="32" t="n">
        <x:v>686650.8611474868</x:v>
      </x:c>
      <x:c r="I565" s="50" t="b">
        <x:v>1</x:v>
      </x:c>
      <x:c r="J565" s="50" t="b">
        <x:v>0</x:v>
      </x:c>
      <x:c r="K565" s="31"/>
      <x:c r="L565" s="31"/>
    </x:row>
    <x:row r="566">
      <x:c r="A566" s="31"/>
      <x:c r="B566" s="31"/>
      <x:c r="C566" s="31"/>
      <x:c r="D566" s="31" t="n">
        <x:v>562</x:v>
      </x:c>
      <x:c r="E566" s="42" t="n">
        <x:v>-0.010687172086993515</x:v>
      </x:c>
      <x:c r="F566" s="42" t="n">
        <x:v>0.006433689233727843</x:v>
      </x:c>
      <x:c r="G566" s="43" t="n">
        <x:v>0.9699713211467959</x:v>
      </x:c>
      <x:c r="H566" s="32" t="n">
        <x:v>1070244.351460133</x:v>
      </x:c>
      <x:c r="I566" s="50" t="b">
        <x:v>0</x:v>
      </x:c>
      <x:c r="J566" s="50" t="b">
        <x:v>0</x:v>
      </x:c>
      <x:c r="K566" s="31"/>
      <x:c r="L566" s="31"/>
    </x:row>
    <x:row r="567">
      <x:c r="A567" s="31"/>
      <x:c r="B567" s="31"/>
      <x:c r="C567" s="31"/>
      <x:c r="D567" s="31" t="n">
        <x:v>563</x:v>
      </x:c>
      <x:c r="E567" s="42" t="n">
        <x:v>-0.003761968303495649</x:v>
      </x:c>
      <x:c r="F567" s="42" t="n">
        <x:v>-0.0032683027146373496</x:v>
      </x:c>
      <x:c r="G567" s="43" t="n">
        <x:v>1.0272569829945917</x:v>
      </x:c>
      <x:c r="H567" s="32" t="n">
        <x:v>752721.9952732031</x:v>
      </x:c>
      <x:c r="I567" s="50" t="b">
        <x:v>1</x:v>
      </x:c>
      <x:c r="J567" s="50" t="b">
        <x:v>0</x:v>
      </x:c>
      <x:c r="K567" s="31"/>
      <x:c r="L567" s="31"/>
    </x:row>
    <x:row r="568">
      <x:c r="A568" s="31"/>
      <x:c r="B568" s="31"/>
      <x:c r="C568" s="31"/>
      <x:c r="D568" s="31" t="n">
        <x:v>564</x:v>
      </x:c>
      <x:c r="E568" s="42" t="n">
        <x:v>0.004746834892742998</x:v>
      </x:c>
      <x:c r="F568" s="42" t="n">
        <x:v>0.0019728306351933537</x:v>
      </x:c>
      <x:c r="G568" s="43" t="n">
        <x:v>1.0713254541407293</x:v>
      </x:c>
      <x:c r="H568" s="32" t="n">
        <x:v>481951.62439866224</x:v>
      </x:c>
      <x:c r="I568" s="50" t="b">
        <x:v>1</x:v>
      </x:c>
      <x:c r="J568" s="50" t="b">
        <x:v>0</x:v>
      </x:c>
      <x:c r="K568" s="31"/>
      <x:c r="L568" s="31"/>
    </x:row>
    <x:row r="569">
      <x:c r="A569" s="31"/>
      <x:c r="B569" s="31"/>
      <x:c r="C569" s="31"/>
      <x:c r="D569" s="31" t="n">
        <x:v>565</x:v>
      </x:c>
      <x:c r="E569" s="42" t="n">
        <x:v>0.0022550107181455764</x:v>
      </x:c>
      <x:c r="F569" s="42" t="n">
        <x:v>-0.009136377337485737</x:v>
      </x:c>
      <x:c r="G569" s="43" t="n">
        <x:v>0.9960462923707905</x:v>
      </x:c>
      <x:c r="H569" s="32" t="n">
        <x:v>984014.2953019594</x:v>
      </x:c>
      <x:c r="I569" s="50" t="b">
        <x:v>1</x:v>
      </x:c>
      <x:c r="J569" s="50" t="b">
        <x:v>0</x:v>
      </x:c>
      <x:c r="K569" s="31"/>
      <x:c r="L569" s="31"/>
    </x:row>
    <x:row r="570">
      <x:c r="A570" s="31"/>
      <x:c r="B570" s="31"/>
      <x:c r="C570" s="31"/>
      <x:c r="D570" s="31" t="n">
        <x:v>566</x:v>
      </x:c>
      <x:c r="E570" s="42" t="n">
        <x:v>0.02534848999194694</x:v>
      </x:c>
      <x:c r="F570" s="42" t="n">
        <x:v>-0.007289790232806706</x:v>
      </x:c>
      <x:c r="G570" s="43" t="n">
        <x:v>1.0093190174298206</x:v>
      </x:c>
      <x:c r="H570" s="32" t="n">
        <x:v>958864.2863739136</x:v>
      </x:c>
      <x:c r="I570" s="50" t="b">
        <x:v>1</x:v>
      </x:c>
      <x:c r="J570" s="50" t="b">
        <x:v>0</x:v>
      </x:c>
      <x:c r="K570" s="31"/>
      <x:c r="L570" s="31"/>
    </x:row>
    <x:row r="571">
      <x:c r="A571" s="31"/>
      <x:c r="B571" s="31"/>
      <x:c r="C571" s="31"/>
      <x:c r="D571" s="31" t="n">
        <x:v>567</x:v>
      </x:c>
      <x:c r="E571" s="42" t="n">
        <x:v>0.004174145442822977</x:v>
      </x:c>
      <x:c r="F571" s="42" t="n">
        <x:v>0.006291159356417171</x:v>
      </x:c>
      <x:c r="G571" s="43" t="n">
        <x:v>0.9449364065295672</x:v>
      </x:c>
      <x:c r="H571" s="32" t="n">
        <x:v>1270997.331557258</x:v>
      </x:c>
      <x:c r="I571" s="50" t="b">
        <x:v>0</x:v>
      </x:c>
      <x:c r="J571" s="50" t="b">
        <x:v>0</x:v>
      </x:c>
      <x:c r="K571" s="31"/>
      <x:c r="L571" s="31"/>
    </x:row>
    <x:row r="572">
      <x:c r="A572" s="31"/>
      <x:c r="B572" s="31"/>
      <x:c r="C572" s="31"/>
      <x:c r="D572" s="31" t="n">
        <x:v>568</x:v>
      </x:c>
      <x:c r="E572" s="42" t="n">
        <x:v>-0.008779104418723017</x:v>
      </x:c>
      <x:c r="F572" s="42" t="n">
        <x:v>0.006238022701342136</x:v>
      </x:c>
      <x:c r="G572" s="43" t="n">
        <x:v>1.0466428653502864</x:v>
      </x:c>
      <x:c r="H572" s="32" t="n">
        <x:v>589181.5355763744</x:v>
      </x:c>
      <x:c r="I572" s="50" t="b">
        <x:v>1</x:v>
      </x:c>
      <x:c r="J572" s="50" t="b">
        <x:v>0</x:v>
      </x:c>
      <x:c r="K572" s="31"/>
      <x:c r="L572" s="31"/>
    </x:row>
    <x:row r="573">
      <x:c r="A573" s="31"/>
      <x:c r="B573" s="31"/>
      <x:c r="C573" s="31"/>
      <x:c r="D573" s="31" t="n">
        <x:v>569</x:v>
      </x:c>
      <x:c r="E573" s="42" t="n">
        <x:v>0.0022159579408353586</x:v>
      </x:c>
      <x:c r="F573" s="42" t="n">
        <x:v>-0.012210399698878924</x:v>
      </x:c>
      <x:c r="G573" s="43" t="n">
        <x:v>0.9050093477398586</x:v>
      </x:c>
      <x:c r="H573" s="32" t="n">
        <x:v>1570611.2737767827</x:v>
      </x:c>
      <x:c r="I573" s="50" t="b">
        <x:v>0</x:v>
      </x:c>
      <x:c r="J573" s="50" t="b">
        <x:v>0</x:v>
      </x:c>
      <x:c r="K573" s="31"/>
      <x:c r="L573" s="31"/>
    </x:row>
    <x:row r="574">
      <x:c r="A574" s="31"/>
      <x:c r="B574" s="31"/>
      <x:c r="C574" s="31"/>
      <x:c r="D574" s="31" t="n">
        <x:v>570</x:v>
      </x:c>
      <x:c r="E574" s="42" t="n">
        <x:v>0.0016114637947196027</x:v>
      </x:c>
      <x:c r="F574" s="42" t="n">
        <x:v>-0.004928438881677281</x:v>
      </x:c>
      <x:c r="G574" s="43" t="n">
        <x:v>0.8840146622205327</x:v>
      </x:c>
      <x:c r="H574" s="32" t="n">
        <x:v>1681990.2736544434</x:v>
      </x:c>
      <x:c r="I574" s="50" t="b">
        <x:v>0</x:v>
      </x:c>
      <x:c r="J574" s="50" t="b">
        <x:v>0</x:v>
      </x:c>
      <x:c r="K574" s="31"/>
      <x:c r="L574" s="31"/>
    </x:row>
    <x:row r="575">
      <x:c r="A575" s="31"/>
      <x:c r="B575" s="31"/>
      <x:c r="C575" s="31"/>
      <x:c r="D575" s="31" t="n">
        <x:v>571</x:v>
      </x:c>
      <x:c r="E575" s="42" t="n">
        <x:v>-0.03881857188330704</x:v>
      </x:c>
      <x:c r="F575" s="42" t="n">
        <x:v>0.011160670357039165</x:v>
      </x:c>
      <x:c r="G575" s="43" t="n">
        <x:v>1.0101143881413752</x:v>
      </x:c>
      <x:c r="H575" s="32" t="n">
        <x:v>723845.4139412511</x:v>
      </x:c>
      <x:c r="I575" s="50" t="b">
        <x:v>1</x:v>
      </x:c>
      <x:c r="J575" s="50" t="b">
        <x:v>0</x:v>
      </x:c>
      <x:c r="K575" s="31"/>
      <x:c r="L575" s="31"/>
    </x:row>
    <x:row r="576">
      <x:c r="A576" s="31"/>
      <x:c r="B576" s="31"/>
      <x:c r="C576" s="31"/>
      <x:c r="D576" s="31" t="n">
        <x:v>572</x:v>
      </x:c>
      <x:c r="E576" s="42" t="n">
        <x:v>-0.01001796730147826</x:v>
      </x:c>
      <x:c r="F576" s="42" t="n">
        <x:v>-0.0026258941691934645</x:v>
      </x:c>
      <x:c r="G576" s="43" t="n">
        <x:v>1.1017389547397032</x:v>
      </x:c>
      <x:c r="H576" s="32" t="n">
        <x:v>260506.85412849265</x:v>
      </x:c>
      <x:c r="I576" s="50" t="b">
        <x:v>1</x:v>
      </x:c>
      <x:c r="J576" s="50" t="b">
        <x:v>0</x:v>
      </x:c>
      <x:c r="K576" s="31"/>
      <x:c r="L576" s="31"/>
    </x:row>
    <x:row r="577">
      <x:c r="A577" s="31"/>
      <x:c r="B577" s="31"/>
      <x:c r="C577" s="31"/>
      <x:c r="D577" s="31" t="n">
        <x:v>573</x:v>
      </x:c>
      <x:c r="E577" s="42" t="n">
        <x:v>0.009952038966078474</x:v>
      </x:c>
      <x:c r="F577" s="42" t="n">
        <x:v>0.002276794879534325</x:v>
      </x:c>
      <x:c r="G577" s="43" t="n">
        <x:v>1.0089459165153467</x:v>
      </x:c>
      <x:c r="H577" s="32" t="n">
        <x:v>891748.5769915427</x:v>
      </x:c>
      <x:c r="I577" s="50" t="b">
        <x:v>1</x:v>
      </x:c>
      <x:c r="J577" s="50" t="b">
        <x:v>0</x:v>
      </x:c>
      <x:c r="K577" s="31"/>
      <x:c r="L577" s="31"/>
    </x:row>
    <x:row r="578">
      <x:c r="A578" s="31"/>
      <x:c r="B578" s="31"/>
      <x:c r="C578" s="31"/>
      <x:c r="D578" s="31" t="n">
        <x:v>574</x:v>
      </x:c>
      <x:c r="E578" s="42" t="n">
        <x:v>-0.01218691357310679</x:v>
      </x:c>
      <x:c r="F578" s="42" t="n">
        <x:v>0.0036491259192800427</x:v>
      </x:c>
      <x:c r="G578" s="43" t="n">
        <x:v>0.9555088380392024</x:v>
      </x:c>
      <x:c r="H578" s="32" t="n">
        <x:v>1165667.6919747547</x:v>
      </x:c>
      <x:c r="I578" s="50" t="b">
        <x:v>0</x:v>
      </x:c>
      <x:c r="J578" s="50" t="b">
        <x:v>0</x:v>
      </x:c>
      <x:c r="K578" s="31"/>
      <x:c r="L578" s="31"/>
    </x:row>
    <x:row r="579">
      <x:c r="A579" s="31"/>
      <x:c r="B579" s="31"/>
      <x:c r="C579" s="31"/>
      <x:c r="D579" s="31" t="n">
        <x:v>575</x:v>
      </x:c>
      <x:c r="E579" s="42" t="n">
        <x:v>-0.013471036135723913</x:v>
      </x:c>
      <x:c r="F579" s="42" t="n">
        <x:v>0.001527763204915417</x:v>
      </x:c>
      <x:c r="G579" s="43" t="n">
        <x:v>0.9449432426492917</x:v>
      </x:c>
      <x:c r="H579" s="32" t="n">
        <x:v>1235097.182077194</x:v>
      </x:c>
      <x:c r="I579" s="50" t="b">
        <x:v>0</x:v>
      </x:c>
      <x:c r="J579" s="50" t="b">
        <x:v>0</x:v>
      </x:c>
      <x:c r="K579" s="31"/>
      <x:c r="L579" s="31"/>
    </x:row>
    <x:row r="580">
      <x:c r="A580" s="31"/>
      <x:c r="B580" s="31"/>
      <x:c r="C580" s="31"/>
      <x:c r="D580" s="31" t="n">
        <x:v>576</x:v>
      </x:c>
      <x:c r="E580" s="42" t="n">
        <x:v>0.0002560061583326386</x:v>
      </x:c>
      <x:c r="F580" s="42" t="n">
        <x:v>-0.0049913466908617825</x:v>
      </x:c>
      <x:c r="G580" s="43" t="n">
        <x:v>1.0136974676737978</x:v>
      </x:c>
      <x:c r="H580" s="32" t="n">
        <x:v>854814.7728748849</x:v>
      </x:c>
      <x:c r="I580" s="50" t="b">
        <x:v>1</x:v>
      </x:c>
      <x:c r="J580" s="50" t="b">
        <x:v>0</x:v>
      </x:c>
      <x:c r="K580" s="31"/>
      <x:c r="L580" s="31"/>
    </x:row>
    <x:row r="581">
      <x:c r="A581" s="31"/>
      <x:c r="B581" s="31"/>
      <x:c r="C581" s="31"/>
      <x:c r="D581" s="31" t="n">
        <x:v>577</x:v>
      </x:c>
      <x:c r="E581" s="42" t="n">
        <x:v>0.004016588029357335</x:v>
      </x:c>
      <x:c r="F581" s="42" t="n">
        <x:v>-0.002366037233839366</x:v>
      </x:c>
      <x:c r="G581" s="43" t="n">
        <x:v>0.899943757989724</x:v>
      </x:c>
      <x:c r="H581" s="32" t="n">
        <x:v>1580391.4489148846</x:v>
      </x:c>
      <x:c r="I581" s="50" t="b">
        <x:v>0</x:v>
      </x:c>
      <x:c r="J581" s="50" t="b">
        <x:v>0</x:v>
      </x:c>
      <x:c r="K581" s="31"/>
      <x:c r="L581" s="31"/>
    </x:row>
    <x:row r="582">
      <x:c r="A582" s="31"/>
      <x:c r="B582" s="31"/>
      <x:c r="C582" s="31"/>
      <x:c r="D582" s="31" t="n">
        <x:v>578</x:v>
      </x:c>
      <x:c r="E582" s="42" t="n">
        <x:v>0.012604036829562022</x:v>
      </x:c>
      <x:c r="F582" s="42" t="n">
        <x:v>-0.0013119028546663945</x:v>
      </x:c>
      <x:c r="G582" s="43" t="n">
        <x:v>0.9739959459801297</x:v>
      </x:c>
      <x:c r="H582" s="32" t="n">
        <x:v>1131076.7569842471</x:v>
      </x:c>
      <x:c r="I582" s="50" t="b">
        <x:v>0</x:v>
      </x:c>
      <x:c r="J582" s="50" t="b">
        <x:v>0</x:v>
      </x:c>
      <x:c r="K582" s="31"/>
      <x:c r="L582" s="31"/>
    </x:row>
    <x:row r="583">
      <x:c r="A583" s="31"/>
      <x:c r="B583" s="31"/>
      <x:c r="C583" s="31"/>
      <x:c r="D583" s="31" t="n">
        <x:v>579</x:v>
      </x:c>
      <x:c r="E583" s="42" t="n">
        <x:v>-0.01585199912493497</x:v>
      </x:c>
      <x:c r="F583" s="42" t="n">
        <x:v>0.004097380975375064</x:v>
      </x:c>
      <x:c r="G583" s="43" t="n">
        <x:v>0.9952177376740804</x:v>
      </x:c>
      <x:c r="H583" s="32" t="n">
        <x:v>902038.481559763</x:v>
      </x:c>
      <x:c r="I583" s="50" t="b">
        <x:v>1</x:v>
      </x:c>
      <x:c r="J583" s="50" t="b">
        <x:v>0</x:v>
      </x:c>
      <x:c r="K583" s="31"/>
      <x:c r="L583" s="31"/>
    </x:row>
    <x:row r="584">
      <x:c r="A584" s="31"/>
      <x:c r="B584" s="31"/>
      <x:c r="C584" s="31"/>
      <x:c r="D584" s="31" t="n">
        <x:v>580</x:v>
      </x:c>
      <x:c r="E584" s="42" t="n">
        <x:v>0.004877503740182859</x:v>
      </x:c>
      <x:c r="F584" s="42" t="n">
        <x:v>0.009536247296786524</x:v>
      </x:c>
      <x:c r="G584" s="43" t="n">
        <x:v>0.9967123329744757</x:v>
      </x:c>
      <x:c r="H584" s="32" t="n">
        <x:v>935108.5686442251</x:v>
      </x:c>
      <x:c r="I584" s="50" t="b">
        <x:v>1</x:v>
      </x:c>
      <x:c r="J584" s="50" t="b">
        <x:v>0</x:v>
      </x:c>
      <x:c r="K584" s="31"/>
      <x:c r="L584" s="31"/>
    </x:row>
    <x:row r="585">
      <x:c r="A585" s="31"/>
      <x:c r="B585" s="31"/>
      <x:c r="C585" s="31"/>
      <x:c r="D585" s="31" t="n">
        <x:v>581</x:v>
      </x:c>
      <x:c r="E585" s="42" t="n">
        <x:v>0.006947969242014768</x:v>
      </x:c>
      <x:c r="F585" s="42" t="n">
        <x:v>0.00167760403761517</x:v>
      </x:c>
      <x:c r="G585" s="43" t="n">
        <x:v>1.036411386941609</x:v>
      </x:c>
      <x:c r="H585" s="32" t="n">
        <x:v>710629.3542805776</x:v>
      </x:c>
      <x:c r="I585" s="50" t="b">
        <x:v>1</x:v>
      </x:c>
      <x:c r="J585" s="50" t="b">
        <x:v>0</x:v>
      </x:c>
      <x:c r="K585" s="31"/>
      <x:c r="L585" s="31"/>
    </x:row>
    <x:row r="586">
      <x:c r="A586" s="31"/>
      <x:c r="B586" s="31"/>
      <x:c r="C586" s="31"/>
      <x:c r="D586" s="31" t="n">
        <x:v>582</x:v>
      </x:c>
      <x:c r="E586" s="42" t="n">
        <x:v>0.0275681631529329</x:v>
      </x:c>
      <x:c r="F586" s="42" t="n">
        <x:v>0.0007251420110404228</x:v>
      </x:c>
      <x:c r="G586" s="43" t="n">
        <x:v>1.0235936981384486</x:v>
      </x:c>
      <x:c r="H586" s="32" t="n">
        <x:v>852078.7220218484</x:v>
      </x:c>
      <x:c r="I586" s="50" t="b">
        <x:v>1</x:v>
      </x:c>
      <x:c r="J586" s="50" t="b">
        <x:v>0</x:v>
      </x:c>
      <x:c r="K586" s="31"/>
      <x:c r="L586" s="31"/>
    </x:row>
    <x:row r="587">
      <x:c r="A587" s="31"/>
      <x:c r="B587" s="31"/>
      <x:c r="C587" s="31"/>
      <x:c r="D587" s="31" t="n">
        <x:v>583</x:v>
      </x:c>
      <x:c r="E587" s="42" t="n">
        <x:v>0.003283886751820612</x:v>
      </x:c>
      <x:c r="F587" s="42" t="n">
        <x:v>0.005840449024253437</x:v>
      </x:c>
      <x:c r="G587" s="43" t="n">
        <x:v>1.0224910805907663</x:v>
      </x:c>
      <x:c r="H587" s="32" t="n">
        <x:v>777246.7322397009</x:v>
      </x:c>
      <x:c r="I587" s="50" t="b">
        <x:v>1</x:v>
      </x:c>
      <x:c r="J587" s="50" t="b">
        <x:v>0</x:v>
      </x:c>
      <x:c r="K587" s="31"/>
      <x:c r="L587" s="31"/>
    </x:row>
    <x:row r="588">
      <x:c r="A588" s="31"/>
      <x:c r="B588" s="31"/>
      <x:c r="C588" s="31"/>
      <x:c r="D588" s="31" t="n">
        <x:v>584</x:v>
      </x:c>
      <x:c r="E588" s="42" t="n">
        <x:v>-0.007634163108064535</x:v>
      </x:c>
      <x:c r="F588" s="42" t="n">
        <x:v>0.0006926563208292933</x:v>
      </x:c>
      <x:c r="G588" s="43" t="n">
        <x:v>0.9287763212065909</x:v>
      </x:c>
      <x:c r="H588" s="32" t="n">
        <x:v>1356340.1870902968</x:v>
      </x:c>
      <x:c r="I588" s="50" t="b">
        <x:v>0</x:v>
      </x:c>
      <x:c r="J588" s="50" t="b">
        <x:v>0</x:v>
      </x:c>
      <x:c r="K588" s="31"/>
      <x:c r="L588" s="31"/>
    </x:row>
    <x:row r="589">
      <x:c r="A589" s="31"/>
      <x:c r="B589" s="31"/>
      <x:c r="C589" s="31"/>
      <x:c r="D589" s="31" t="n">
        <x:v>585</x:v>
      </x:c>
      <x:c r="E589" s="42" t="n">
        <x:v>0.017496651393034388</x:v>
      </x:c>
      <x:c r="F589" s="42" t="n">
        <x:v>-0.006979130050329274</x:v>
      </x:c>
      <x:c r="G589" s="43" t="n">
        <x:v>1.00935081523076</x:v>
      </x:c>
      <x:c r="H589" s="32" t="n">
        <x:v>935941.8515270778</x:v>
      </x:c>
      <x:c r="I589" s="50" t="b">
        <x:v>1</x:v>
      </x:c>
      <x:c r="J589" s="50" t="b">
        <x:v>0</x:v>
      </x:c>
      <x:c r="K589" s="31"/>
      <x:c r="L589" s="31"/>
    </x:row>
    <x:row r="590">
      <x:c r="A590" s="31"/>
      <x:c r="B590" s="31"/>
      <x:c r="C590" s="31"/>
      <x:c r="D590" s="31" t="n">
        <x:v>586</x:v>
      </x:c>
      <x:c r="E590" s="42" t="n">
        <x:v>-0.0028342469661505605</x:v>
      </x:c>
      <x:c r="F590" s="42" t="n">
        <x:v>0.0006196955607495513</x:v>
      </x:c>
      <x:c r="G590" s="43" t="n">
        <x:v>0.9757708799666468</x:v>
      </x:c>
      <x:c r="H590" s="32" t="n">
        <x:v>1071455.2169495877</x:v>
      </x:c>
      <x:c r="I590" s="50" t="b">
        <x:v>0</x:v>
      </x:c>
      <x:c r="J590" s="50" t="b">
        <x:v>0</x:v>
      </x:c>
      <x:c r="K590" s="31"/>
      <x:c r="L590" s="31"/>
    </x:row>
    <x:row r="591">
      <x:c r="A591" s="31"/>
      <x:c r="B591" s="31"/>
      <x:c r="C591" s="31"/>
      <x:c r="D591" s="31" t="n">
        <x:v>587</x:v>
      </x:c>
      <x:c r="E591" s="42" t="n">
        <x:v>-0.004785893004406742</x:v>
      </x:c>
      <x:c r="F591" s="42" t="n">
        <x:v>0.0010015222520146857</x:v>
      </x:c>
      <x:c r="G591" s="43" t="n">
        <x:v>1.0464436745922285</x:v>
      </x:c>
      <x:c r="H591" s="32" t="n">
        <x:v>616137.6455240385</x:v>
      </x:c>
      <x:c r="I591" s="50" t="b">
        <x:v>1</x:v>
      </x:c>
      <x:c r="J591" s="50" t="b">
        <x:v>0</x:v>
      </x:c>
      <x:c r="K591" s="31"/>
      <x:c r="L591" s="31"/>
    </x:row>
    <x:row r="592">
      <x:c r="A592" s="31"/>
      <x:c r="B592" s="31"/>
      <x:c r="C592" s="31"/>
      <x:c r="D592" s="31" t="n">
        <x:v>588</x:v>
      </x:c>
      <x:c r="E592" s="42" t="n">
        <x:v>0.010613845206281433</x:v>
      </x:c>
      <x:c r="F592" s="42" t="n">
        <x:v>0.0006795632084693348</x:v>
      </x:c>
      <x:c r="G592" s="43" t="n">
        <x:v>1.0468820648817152</x:v>
      </x:c>
      <x:c r="H592" s="32" t="n">
        <x:v>657115.2495050319</x:v>
      </x:c>
      <x:c r="I592" s="50" t="b">
        <x:v>1</x:v>
      </x:c>
      <x:c r="J592" s="50" t="b">
        <x:v>0</x:v>
      </x:c>
      <x:c r="K592" s="31"/>
      <x:c r="L592" s="31"/>
    </x:row>
    <x:row r="593">
      <x:c r="A593" s="31"/>
      <x:c r="B593" s="31"/>
      <x:c r="C593" s="31"/>
      <x:c r="D593" s="31" t="n">
        <x:v>589</x:v>
      </x:c>
      <x:c r="E593" s="42" t="n">
        <x:v>0.0047687279443357055</x:v>
      </x:c>
      <x:c r="F593" s="42" t="n">
        <x:v>-0.009123551091254149</x:v>
      </x:c>
      <x:c r="G593" s="43" t="n">
        <x:v>0.9156029044234263</x:v>
      </x:c>
      <x:c r="H593" s="32" t="n">
        <x:v>1501848.0665444285</x:v>
      </x:c>
      <x:c r="I593" s="50" t="b">
        <x:v>0</x:v>
      </x:c>
      <x:c r="J593" s="50" t="b">
        <x:v>0</x:v>
      </x:c>
      <x:c r="K593" s="31"/>
      <x:c r="L593" s="31"/>
    </x:row>
    <x:row r="594">
      <x:c r="A594" s="31"/>
      <x:c r="B594" s="31"/>
      <x:c r="C594" s="31"/>
      <x:c r="D594" s="31" t="n">
        <x:v>590</x:v>
      </x:c>
      <x:c r="E594" s="42" t="n">
        <x:v>-0.005281735797769898</x:v>
      </x:c>
      <x:c r="F594" s="42" t="n">
        <x:v>0.003873820115013434</x:v>
      </x:c>
      <x:c r="G594" s="43" t="n">
        <x:v>0.9973233084098868</x:v>
      </x:c>
      <x:c r="H594" s="32" t="n">
        <x:v>918711.4650478408</x:v>
      </x:c>
      <x:c r="I594" s="50" t="b">
        <x:v>1</x:v>
      </x:c>
      <x:c r="J594" s="50" t="b">
        <x:v>0</x:v>
      </x:c>
      <x:c r="K594" s="31"/>
      <x:c r="L594" s="31"/>
    </x:row>
    <x:row r="595">
      <x:c r="A595" s="31"/>
      <x:c r="B595" s="31"/>
      <x:c r="C595" s="31"/>
      <x:c r="D595" s="31" t="n">
        <x:v>591</x:v>
      </x:c>
      <x:c r="E595" s="42" t="n">
        <x:v>-0.014493814459408238</x:v>
      </x:c>
      <x:c r="F595" s="42" t="n">
        <x:v>-0.001618975199725126</x:v>
      </x:c>
      <x:c r="G595" s="43" t="n">
        <x:v>1.0194839865188585</x:v>
      </x:c>
      <x:c r="H595" s="32" t="n">
        <x:v>767622.7565934822</x:v>
      </x:c>
      <x:c r="I595" s="50" t="b">
        <x:v>1</x:v>
      </x:c>
      <x:c r="J595" s="50" t="b">
        <x:v>0</x:v>
      </x:c>
      <x:c r="K595" s="31"/>
      <x:c r="L595" s="31"/>
    </x:row>
    <x:row r="596">
      <x:c r="A596" s="31"/>
      <x:c r="B596" s="31"/>
      <x:c r="C596" s="31"/>
      <x:c r="D596" s="31" t="n">
        <x:v>592</x:v>
      </x:c>
      <x:c r="E596" s="42" t="n">
        <x:v>0.010671916871876427</x:v>
      </x:c>
      <x:c r="F596" s="42" t="n">
        <x:v>-0.005082108447991333</x:v>
      </x:c>
      <x:c r="G596" s="43" t="n">
        <x:v>1.031815515463037</x:v>
      </x:c>
      <x:c r="H596" s="32" t="n">
        <x:v>768997.8934124127</x:v>
      </x:c>
      <x:c r="I596" s="50" t="b">
        <x:v>1</x:v>
      </x:c>
      <x:c r="J596" s="50" t="b">
        <x:v>0</x:v>
      </x:c>
      <x:c r="K596" s="31"/>
      <x:c r="L596" s="31"/>
    </x:row>
    <x:row r="597">
      <x:c r="A597" s="31"/>
      <x:c r="B597" s="31"/>
      <x:c r="C597" s="31"/>
      <x:c r="D597" s="31" t="n">
        <x:v>593</x:v>
      </x:c>
      <x:c r="E597" s="42" t="n">
        <x:v>0.007586988909735929</x:v>
      </x:c>
      <x:c r="F597" s="42" t="n">
        <x:v>0.010381670912588103</x:v>
      </x:c>
      <x:c r="G597" s="43" t="n">
        <x:v>1.0090354857918287</x:v>
      </x:c>
      <x:c r="H597" s="32" t="n">
        <x:v>862036.4773005419</x:v>
      </x:c>
      <x:c r="I597" s="50" t="b">
        <x:v>1</x:v>
      </x:c>
      <x:c r="J597" s="50" t="b">
        <x:v>0</x:v>
      </x:c>
      <x:c r="K597" s="31"/>
      <x:c r="L597" s="31"/>
    </x:row>
    <x:row r="598">
      <x:c r="A598" s="31"/>
      <x:c r="B598" s="31"/>
      <x:c r="C598" s="31"/>
      <x:c r="D598" s="31" t="n">
        <x:v>594</x:v>
      </x:c>
      <x:c r="E598" s="42" t="n">
        <x:v>0.01180881038743526</x:v>
      </x:c>
      <x:c r="F598" s="42" t="n">
        <x:v>0.001517334418444537</x:v>
      </x:c>
      <x:c r="G598" s="43" t="n">
        <x:v>0.959397161787515</x:v>
      </x:c>
      <x:c r="H598" s="32" t="n">
        <x:v>1213700.6007896133</x:v>
      </x:c>
      <x:c r="I598" s="50" t="b">
        <x:v>0</x:v>
      </x:c>
      <x:c r="J598" s="50" t="b">
        <x:v>0</x:v>
      </x:c>
      <x:c r="K598" s="31"/>
      <x:c r="L598" s="31"/>
    </x:row>
    <x:row r="599">
      <x:c r="A599" s="31"/>
      <x:c r="B599" s="31"/>
      <x:c r="C599" s="31"/>
      <x:c r="D599" s="31" t="n">
        <x:v>595</x:v>
      </x:c>
      <x:c r="E599" s="42" t="n">
        <x:v>0.009918501812630225</x:v>
      </x:c>
      <x:c r="F599" s="42" t="n">
        <x:v>-0.0058689554891216385</x:v>
      </x:c>
      <x:c r="G599" s="43" t="n">
        <x:v>1.0639475640942506</x:v>
      </x:c>
      <x:c r="H599" s="32" t="n">
        <x:v>565029.6864348811</x:v>
      </x:c>
      <x:c r="I599" s="50" t="b">
        <x:v>1</x:v>
      </x:c>
      <x:c r="J599" s="50" t="b">
        <x:v>0</x:v>
      </x:c>
      <x:c r="K599" s="31"/>
      <x:c r="L599" s="31"/>
    </x:row>
    <x:row r="600">
      <x:c r="A600" s="31"/>
      <x:c r="B600" s="31"/>
      <x:c r="C600" s="31"/>
      <x:c r="D600" s="31" t="n">
        <x:v>596</x:v>
      </x:c>
      <x:c r="E600" s="42" t="n">
        <x:v>0.007868751192927272</x:v>
      </x:c>
      <x:c r="F600" s="42" t="n">
        <x:v>0.005578390770776767</x:v>
      </x:c>
      <x:c r="G600" s="43" t="n">
        <x:v>0.9311035335375877</x:v>
      </x:c>
      <x:c r="H600" s="32" t="n">
        <x:v>1371113.8960498674</x:v>
      </x:c>
      <x:c r="I600" s="50" t="b">
        <x:v>0</x:v>
      </x:c>
      <x:c r="J600" s="50" t="b">
        <x:v>0</x:v>
      </x:c>
      <x:c r="K600" s="31"/>
      <x:c r="L600" s="31"/>
    </x:row>
    <x:row r="601">
      <x:c r="A601" s="31"/>
      <x:c r="B601" s="31"/>
      <x:c r="C601" s="31"/>
      <x:c r="D601" s="31" t="n">
        <x:v>597</x:v>
      </x:c>
      <x:c r="E601" s="42" t="n">
        <x:v>0.0036457362983007913</x:v>
      </x:c>
      <x:c r="F601" s="42" t="n">
        <x:v>0.0015457548975729265</x:v>
      </x:c>
      <x:c r="G601" s="43" t="n">
        <x:v>1.0251871686255327</x:v>
      </x:c>
      <x:c r="H601" s="32" t="n">
        <x:v>773086.2563053989</x:v>
      </x:c>
      <x:c r="I601" s="50" t="b">
        <x:v>1</x:v>
      </x:c>
      <x:c r="J601" s="50" t="b">
        <x:v>0</x:v>
      </x:c>
      <x:c r="K601" s="31"/>
      <x:c r="L601" s="31"/>
    </x:row>
    <x:row r="602">
      <x:c r="A602" s="31"/>
      <x:c r="B602" s="31"/>
      <x:c r="C602" s="31"/>
      <x:c r="D602" s="31" t="n">
        <x:v>598</x:v>
      </x:c>
      <x:c r="E602" s="42" t="n">
        <x:v>-0.007723322423001459</x:v>
      </x:c>
      <x:c r="F602" s="42" t="n">
        <x:v>0.005365564576593557</x:v>
      </x:c>
      <x:c r="G602" s="43" t="n">
        <x:v>0.9796235730054601</x:v>
      </x:c>
      <x:c r="H602" s="32" t="n">
        <x:v>1020168.8060549407</x:v>
      </x:c>
      <x:c r="I602" s="50" t="b">
        <x:v>0</x:v>
      </x:c>
      <x:c r="J602" s="50" t="b">
        <x:v>0</x:v>
      </x:c>
      <x:c r="K602" s="31"/>
      <x:c r="L602" s="31"/>
    </x:row>
    <x:row r="603">
      <x:c r="A603" s="31"/>
      <x:c r="B603" s="31"/>
      <x:c r="C603" s="31"/>
      <x:c r="D603" s="31" t="n">
        <x:v>599</x:v>
      </x:c>
      <x:c r="E603" s="42" t="n">
        <x:v>0.01963188443847493</x:v>
      </x:c>
      <x:c r="F603" s="42" t="n">
        <x:v>-0.001825396158090233</x:v>
      </x:c>
      <x:c r="G603" s="43" t="n">
        <x:v>1.037817177859548</x:v>
      </x:c>
      <x:c r="H603" s="32" t="n">
        <x:v>746758.2241293411</x:v>
      </x:c>
      <x:c r="I603" s="50" t="b">
        <x:v>1</x:v>
      </x:c>
      <x:c r="J603" s="50" t="b">
        <x:v>0</x:v>
      </x:c>
      <x:c r="K603" s="31"/>
      <x:c r="L603" s="31"/>
    </x:row>
    <x:row r="604">
      <x:c r="A604" s="31"/>
      <x:c r="B604" s="31"/>
      <x:c r="C604" s="31"/>
      <x:c r="D604" s="31" t="n">
        <x:v>600</x:v>
      </x:c>
      <x:c r="E604" s="42" t="n">
        <x:v>-0.003683054377907141</x:v>
      </x:c>
      <x:c r="F604" s="42" t="n">
        <x:v>0.0031437851720972445</x:v>
      </x:c>
      <x:c r="G604" s="43" t="n">
        <x:v>1.0784079386114622</x:v>
      </x:c>
      <x:c r="H604" s="32" t="n">
        <x:v>410248.67043835483</x:v>
      </x:c>
      <x:c r="I604" s="50" t="b">
        <x:v>1</x:v>
      </x:c>
      <x:c r="J604" s="50" t="b">
        <x:v>0</x:v>
      </x:c>
      <x:c r="K604" s="31"/>
      <x:c r="L604" s="31"/>
    </x:row>
    <x:row r="605">
      <x:c r="A605" s="31"/>
      <x:c r="B605" s="31"/>
      <x:c r="C605" s="31"/>
      <x:c r="D605" s="31" t="n">
        <x:v>601</x:v>
      </x:c>
      <x:c r="E605" s="42" t="n">
        <x:v>0.021502681112110615</x:v>
      </x:c>
      <x:c r="F605" s="42" t="n">
        <x:v>-0.0034582723539794092</x:v>
      </x:c>
      <x:c r="G605" s="43" t="n">
        <x:v>0.9581486563946053</x:v>
      </x:c>
      <x:c r="H605" s="32" t="n">
        <x:v>1262462.3100435396</x:v>
      </x:c>
      <x:c r="I605" s="50" t="b">
        <x:v>0</x:v>
      </x:c>
      <x:c r="J605" s="50" t="b">
        <x:v>0</x:v>
      </x:c>
      <x:c r="K605" s="31"/>
      <x:c r="L605" s="31"/>
    </x:row>
    <x:row r="606">
      <x:c r="A606" s="31"/>
      <x:c r="B606" s="31"/>
      <x:c r="C606" s="31"/>
      <x:c r="D606" s="31" t="n">
        <x:v>602</x:v>
      </x:c>
      <x:c r="E606" s="42" t="n">
        <x:v>-0.02143994275788759</x:v>
      </x:c>
      <x:c r="F606" s="42" t="n">
        <x:v>0.009451455695696004</x:v>
      </x:c>
      <x:c r="G606" s="43" t="n">
        <x:v>0.9986777118283264</x:v>
      </x:c>
      <x:c r="H606" s="32" t="n">
        <x:v>849607.8445971755</x:v>
      </x:c>
      <x:c r="I606" s="50" t="b">
        <x:v>1</x:v>
      </x:c>
      <x:c r="J606" s="50" t="b">
        <x:v>0</x:v>
      </x:c>
      <x:c r="K606" s="31"/>
      <x:c r="L606" s="31"/>
    </x:row>
    <x:row r="607">
      <x:c r="A607" s="31"/>
      <x:c r="B607" s="31"/>
      <x:c r="C607" s="31"/>
      <x:c r="D607" s="31" t="n">
        <x:v>603</x:v>
      </x:c>
      <x:c r="E607" s="42" t="n">
        <x:v>-0.01576143191555983</x:v>
      </x:c>
      <x:c r="F607" s="42" t="n">
        <x:v>0.0023750204037736966</x:v>
      </x:c>
      <x:c r="G607" s="43" t="n">
        <x:v>1.0396663321655613</x:v>
      </x:c>
      <x:c r="H607" s="32" t="n">
        <x:v>624804.7514426715</x:v>
      </x:c>
      <x:c r="I607" s="50" t="b">
        <x:v>1</x:v>
      </x:c>
      <x:c r="J607" s="50" t="b">
        <x:v>0</x:v>
      </x:c>
      <x:c r="K607" s="31"/>
      <x:c r="L607" s="31"/>
    </x:row>
    <x:row r="608">
      <x:c r="A608" s="31"/>
      <x:c r="B608" s="31"/>
      <x:c r="C608" s="31"/>
      <x:c r="D608" s="31" t="n">
        <x:v>604</x:v>
      </x:c>
      <x:c r="E608" s="42" t="n">
        <x:v>0.0074491226057705195</x:v>
      </x:c>
      <x:c r="F608" s="42" t="n">
        <x:v>0.0026300170526225328</x:v>
      </x:c>
      <x:c r="G608" s="43" t="n">
        <x:v>0.9695732428411382</x:v>
      </x:c>
      <x:c r="H608" s="32" t="n">
        <x:v>1133842.8147537406</x:v>
      </x:c>
      <x:c r="I608" s="50" t="b">
        <x:v>0</x:v>
      </x:c>
      <x:c r="J608" s="50" t="b">
        <x:v>0</x:v>
      </x:c>
      <x:c r="K608" s="31"/>
      <x:c r="L608" s="31"/>
    </x:row>
    <x:row r="609">
      <x:c r="A609" s="31"/>
      <x:c r="B609" s="31"/>
      <x:c r="C609" s="31"/>
      <x:c r="D609" s="31" t="n">
        <x:v>605</x:v>
      </x:c>
      <x:c r="E609" s="42" t="n">
        <x:v>-0.001272555493613998</x:v>
      </x:c>
      <x:c r="F609" s="42" t="n">
        <x:v>0.010426964590944185</x:v>
      </x:c>
      <x:c r="G609" s="43" t="n">
        <x:v>0.9979961596467609</x:v>
      </x:c>
      <x:c r="H609" s="32" t="n">
        <x:v>907357.2024987584</x:v>
      </x:c>
      <x:c r="I609" s="50" t="b">
        <x:v>1</x:v>
      </x:c>
      <x:c r="J609" s="50" t="b">
        <x:v>0</x:v>
      </x:c>
      <x:c r="K609" s="31"/>
      <x:c r="L609" s="31"/>
    </x:row>
    <x:row r="610">
      <x:c r="A610" s="31"/>
      <x:c r="B610" s="31"/>
      <x:c r="C610" s="31"/>
      <x:c r="D610" s="31" t="n">
        <x:v>606</x:v>
      </x:c>
      <x:c r="E610" s="42" t="n">
        <x:v>0.0036854608483061755</x:v>
      </x:c>
      <x:c r="F610" s="42" t="n">
        <x:v>-0.004215600652186343</x:v>
      </x:c>
      <x:c r="G610" s="43" t="n">
        <x:v>0.9848699378501689</x:v>
      </x:c>
      <x:c r="H610" s="32" t="n">
        <x:v>1045276.66058647</x:v>
      </x:c>
      <x:c r="I610" s="50" t="b">
        <x:v>0</x:v>
      </x:c>
      <x:c r="J610" s="50" t="b">
        <x:v>0</x:v>
      </x:c>
      <x:c r="K610" s="31"/>
      <x:c r="L610" s="31"/>
    </x:row>
    <x:row r="611">
      <x:c r="A611" s="31"/>
      <x:c r="B611" s="31"/>
      <x:c r="C611" s="31"/>
      <x:c r="D611" s="31" t="n">
        <x:v>607</x:v>
      </x:c>
      <x:c r="E611" s="42" t="n">
        <x:v>0.005650262214350848</x:v>
      </x:c>
      <x:c r="F611" s="42" t="n">
        <x:v>-0.008967023835947899</x:v>
      </x:c>
      <x:c r="G611" s="43" t="n">
        <x:v>1.0272145536335855</x:v>
      </x:c>
      <x:c r="H611" s="32" t="n">
        <x:v>795053.1206074322</x:v>
      </x:c>
      <x:c r="I611" s="50" t="b">
        <x:v>1</x:v>
      </x:c>
      <x:c r="J611" s="50" t="b">
        <x:v>0</x:v>
      </x:c>
      <x:c r="K611" s="31"/>
      <x:c r="L611" s="31"/>
    </x:row>
    <x:row r="612">
      <x:c r="A612" s="31"/>
      <x:c r="B612" s="31"/>
      <x:c r="C612" s="31"/>
      <x:c r="D612" s="31" t="n">
        <x:v>608</x:v>
      </x:c>
      <x:c r="E612" s="42" t="n">
        <x:v>-0.02398204422625188</x:v>
      </x:c>
      <x:c r="F612" s="42" t="n">
        <x:v>0.001593269395231908</x:v>
      </x:c>
      <x:c r="G612" s="43" t="n">
        <x:v>0.9741485316523133</x:v>
      </x:c>
      <x:c r="H612" s="32" t="n">
        <x:v>1020182.9509471732</x:v>
      </x:c>
      <x:c r="I612" s="50" t="b">
        <x:v>0</x:v>
      </x:c>
      <x:c r="J612" s="50" t="b">
        <x:v>0</x:v>
      </x:c>
      <x:c r="K612" s="31"/>
      <x:c r="L612" s="31"/>
    </x:row>
    <x:row r="613">
      <x:c r="A613" s="31"/>
      <x:c r="B613" s="31"/>
      <x:c r="C613" s="31"/>
      <x:c r="D613" s="31" t="n">
        <x:v>609</x:v>
      </x:c>
      <x:c r="E613" s="42" t="n">
        <x:v>0.0009234581063107184</x:v>
      </x:c>
      <x:c r="F613" s="42" t="n">
        <x:v>0.0027043271691259223</x:v>
      </x:c>
      <x:c r="G613" s="43" t="n">
        <x:v>1.0447491277521228</x:v>
      </x:c>
      <x:c r="H613" s="32" t="n">
        <x:v>638051.5282254297</x:v>
      </x:c>
      <x:c r="I613" s="50" t="b">
        <x:v>1</x:v>
      </x:c>
      <x:c r="J613" s="50" t="b">
        <x:v>0</x:v>
      </x:c>
      <x:c r="K613" s="31"/>
      <x:c r="L613" s="31"/>
    </x:row>
    <x:row r="614">
      <x:c r="A614" s="31"/>
      <x:c r="B614" s="31"/>
      <x:c r="C614" s="31"/>
      <x:c r="D614" s="31" t="n">
        <x:v>610</x:v>
      </x:c>
      <x:c r="E614" s="42" t="n">
        <x:v>0.005586684777214359</x:v>
      </x:c>
      <x:c r="F614" s="42" t="n">
        <x:v>-0.0012403100924877745</x:v>
      </x:c>
      <x:c r="G614" s="43" t="n">
        <x:v>0.9687980107852104</x:v>
      </x:c>
      <x:c r="H614" s="32" t="n">
        <x:v>1144355.0917704976</x:v>
      </x:c>
      <x:c r="I614" s="50" t="b">
        <x:v>0</x:v>
      </x:c>
      <x:c r="J614" s="50" t="b">
        <x:v>0</x:v>
      </x:c>
      <x:c r="K614" s="31"/>
      <x:c r="L614" s="31"/>
    </x:row>
    <x:row r="615">
      <x:c r="A615" s="31"/>
      <x:c r="B615" s="31"/>
      <x:c r="C615" s="31"/>
      <x:c r="D615" s="31" t="n">
        <x:v>611</x:v>
      </x:c>
      <x:c r="E615" s="42" t="n">
        <x:v>-0.007728318819425534</x:v>
      </x:c>
      <x:c r="F615" s="42" t="n">
        <x:v>0.0009711530022528163</x:v>
      </x:c>
      <x:c r="G615" s="43" t="n">
        <x:v>0.9419618640566397</x:v>
      </x:c>
      <x:c r="H615" s="32" t="n">
        <x:v>1271565.365419858</x:v>
      </x:c>
      <x:c r="I615" s="50" t="b">
        <x:v>0</x:v>
      </x:c>
      <x:c r="J615" s="50" t="b">
        <x:v>0</x:v>
      </x:c>
      <x:c r="K615" s="31"/>
      <x:c r="L615" s="31"/>
    </x:row>
    <x:row r="616">
      <x:c r="A616" s="31"/>
      <x:c r="B616" s="31"/>
      <x:c r="C616" s="31"/>
      <x:c r="D616" s="31" t="n">
        <x:v>612</x:v>
      </x:c>
      <x:c r="E616" s="42" t="n">
        <x:v>0.022576126297776403</x:v>
      </x:c>
      <x:c r="F616" s="42" t="n">
        <x:v>0.00832433044232217</x:v>
      </x:c>
      <x:c r="G616" s="43" t="n">
        <x:v>1.042274261890223</x:v>
      </x:c>
      <x:c r="H616" s="32" t="n">
        <x:v>698395.9574045645</x:v>
      </x:c>
      <x:c r="I616" s="50" t="b">
        <x:v>1</x:v>
      </x:c>
      <x:c r="J616" s="50" t="b">
        <x:v>0</x:v>
      </x:c>
      <x:c r="K616" s="31"/>
      <x:c r="L616" s="31"/>
    </x:row>
    <x:row r="617">
      <x:c r="A617" s="31"/>
      <x:c r="B617" s="31"/>
      <x:c r="C617" s="31"/>
      <x:c r="D617" s="31" t="n">
        <x:v>613</x:v>
      </x:c>
      <x:c r="E617" s="42" t="n">
        <x:v>0.002370326879832678</x:v>
      </x:c>
      <x:c r="F617" s="42" t="n">
        <x:v>-0.0008640029878873342</x:v>
      </x:c>
      <x:c r="G617" s="43" t="n">
        <x:v>0.9610729939012818</x:v>
      </x:c>
      <x:c r="H617" s="32" t="n">
        <x:v>1183414.1573911423</x:v>
      </x:c>
      <x:c r="I617" s="50" t="b">
        <x:v>0</x:v>
      </x:c>
      <x:c r="J617" s="50" t="b">
        <x:v>0</x:v>
      </x:c>
      <x:c r="K617" s="31"/>
      <x:c r="L617" s="31"/>
    </x:row>
    <x:row r="618">
      <x:c r="A618" s="31"/>
      <x:c r="B618" s="31"/>
      <x:c r="C618" s="31"/>
      <x:c r="D618" s="31" t="n">
        <x:v>614</x:v>
      </x:c>
      <x:c r="E618" s="42" t="n">
        <x:v>0.007895625493915476</x:v>
      </x:c>
      <x:c r="F618" s="42" t="n">
        <x:v>0.006793495086529844</x:v>
      </x:c>
      <x:c r="G618" s="43" t="n">
        <x:v>1.0568524204170402</x:v>
      </x:c>
      <x:c r="H618" s="32" t="n">
        <x:v>569211.9408375012</x:v>
      </x:c>
      <x:c r="I618" s="50" t="b">
        <x:v>1</x:v>
      </x:c>
      <x:c r="J618" s="50" t="b">
        <x:v>0</x:v>
      </x:c>
      <x:c r="K618" s="31"/>
      <x:c r="L618" s="31"/>
    </x:row>
    <x:row r="619">
      <x:c r="A619" s="31"/>
      <x:c r="B619" s="31"/>
      <x:c r="C619" s="31"/>
      <x:c r="D619" s="31" t="n">
        <x:v>615</x:v>
      </x:c>
      <x:c r="E619" s="42" t="n">
        <x:v>-0.02043404632884182</x:v>
      </x:c>
      <x:c r="F619" s="42" t="n">
        <x:v>0.003681542608581717</x:v>
      </x:c>
      <x:c r="G619" s="43" t="n">
        <x:v>0.987004316094473</x:v>
      </x:c>
      <x:c r="H619" s="32" t="n">
        <x:v>942602.7909216251</x:v>
      </x:c>
      <x:c r="I619" s="50" t="b">
        <x:v>1</x:v>
      </x:c>
      <x:c r="J619" s="50" t="b">
        <x:v>0</x:v>
      </x:c>
      <x:c r="K619" s="31"/>
      <x:c r="L619" s="31"/>
    </x:row>
    <x:row r="620">
      <x:c r="A620" s="31"/>
      <x:c r="B620" s="31"/>
      <x:c r="C620" s="31"/>
      <x:c r="D620" s="31" t="n">
        <x:v>616</x:v>
      </x:c>
      <x:c r="E620" s="42" t="n">
        <x:v>0.005996484506885029</x:v>
      </x:c>
      <x:c r="F620" s="42" t="n">
        <x:v>-0.0021792939825499577</x:v>
      </x:c>
      <x:c r="G620" s="43" t="n">
        <x:v>0.9674334065002523</x:v>
      </x:c>
      <x:c r="H620" s="32" t="n">
        <x:v>1156775.6645347287</x:v>
      </x:c>
      <x:c r="I620" s="50" t="b">
        <x:v>0</x:v>
      </x:c>
      <x:c r="J620" s="50" t="b">
        <x:v>0</x:v>
      </x:c>
      <x:c r="K620" s="31"/>
      <x:c r="L620" s="31"/>
    </x:row>
    <x:row r="621">
      <x:c r="A621" s="31"/>
      <x:c r="B621" s="31"/>
      <x:c r="C621" s="31"/>
      <x:c r="D621" s="31" t="n">
        <x:v>617</x:v>
      </x:c>
      <x:c r="E621" s="42" t="n">
        <x:v>0.006086505808504044</x:v>
      </x:c>
      <x:c r="F621" s="42" t="n">
        <x:v>0.004790223046451425</x:v>
      </x:c>
      <x:c r="G621" s="43" t="n">
        <x:v>1.010312818175169</x:v>
      </x:c>
      <x:c r="H621" s="32" t="n">
        <x:v>865311.8031280069</x:v>
      </x:c>
      <x:c r="I621" s="50" t="b">
        <x:v>1</x:v>
      </x:c>
      <x:c r="J621" s="50" t="b">
        <x:v>0</x:v>
      </x:c>
      <x:c r="K621" s="31"/>
      <x:c r="L621" s="31"/>
    </x:row>
    <x:row r="622">
      <x:c r="A622" s="31"/>
      <x:c r="B622" s="31"/>
      <x:c r="C622" s="31"/>
      <x:c r="D622" s="31" t="n">
        <x:v>618</x:v>
      </x:c>
      <x:c r="E622" s="42" t="n">
        <x:v>-0.0001277704821070885</x:v>
      </x:c>
      <x:c r="F622" s="42" t="n">
        <x:v>0.004751372209846778</x:v>
      </x:c>
      <x:c r="G622" s="43" t="n">
        <x:v>0.9353949301621652</x:v>
      </x:c>
      <x:c r="H622" s="32" t="n">
        <x:v>1323904.0173547035</x:v>
      </x:c>
      <x:c r="I622" s="50" t="b">
        <x:v>0</x:v>
      </x:c>
      <x:c r="J622" s="50" t="b">
        <x:v>0</x:v>
      </x:c>
      <x:c r="K622" s="31"/>
      <x:c r="L622" s="31"/>
    </x:row>
    <x:row r="623">
      <x:c r="A623" s="31"/>
      <x:c r="B623" s="31"/>
      <x:c r="C623" s="31"/>
      <x:c r="D623" s="31" t="n">
        <x:v>619</x:v>
      </x:c>
      <x:c r="E623" s="42" t="n">
        <x:v>-0.00738423267473618</x:v>
      </x:c>
      <x:c r="F623" s="42" t="n">
        <x:v>0.0026586741381092217</x:v>
      </x:c>
      <x:c r="G623" s="43" t="n">
        <x:v>1.0544806336860373</x:v>
      </x:c>
      <x:c r="H623" s="32" t="n">
        <x:v>553252.0081990293</x:v>
      </x:c>
      <x:c r="I623" s="50" t="b">
        <x:v>1</x:v>
      </x:c>
      <x:c r="J623" s="50" t="b">
        <x:v>0</x:v>
      </x:c>
      <x:c r="K623" s="31"/>
      <x:c r="L623" s="31"/>
    </x:row>
    <x:row r="624">
      <x:c r="A624" s="31"/>
      <x:c r="B624" s="31"/>
      <x:c r="C624" s="31"/>
      <x:c r="D624" s="31" t="n">
        <x:v>620</x:v>
      </x:c>
      <x:c r="E624" s="42" t="n">
        <x:v>-0.0105855411810021</x:v>
      </x:c>
      <x:c r="F624" s="42" t="n">
        <x:v>0.004703667891624599</x:v>
      </x:c>
      <x:c r="G624" s="43" t="n">
        <x:v>0.9312552576023003</x:v>
      </x:c>
      <x:c r="H624" s="32" t="n">
        <x:v>1321217.2194201269</x:v>
      </x:c>
      <x:c r="I624" s="50" t="b">
        <x:v>0</x:v>
      </x:c>
      <x:c r="J624" s="50" t="b">
        <x:v>0</x:v>
      </x:c>
      <x:c r="K624" s="31"/>
      <x:c r="L624" s="31"/>
    </x:row>
    <x:row r="625">
      <x:c r="A625" s="31"/>
      <x:c r="B625" s="31"/>
      <x:c r="C625" s="31"/>
      <x:c r="D625" s="31" t="n">
        <x:v>621</x:v>
      </x:c>
      <x:c r="E625" s="42" t="n">
        <x:v>-0.008835971702482447</x:v>
      </x:c>
      <x:c r="F625" s="42" t="n">
        <x:v>-0.007923921145538446</x:v>
      </x:c>
      <x:c r="G625" s="43" t="n">
        <x:v>0.9952641587923072</x:v>
      </x:c>
      <x:c r="H625" s="32" t="n">
        <x:v>954734.503354237</x:v>
      </x:c>
      <x:c r="I625" s="50" t="b">
        <x:v>1</x:v>
      </x:c>
      <x:c r="J625" s="50" t="b">
        <x:v>0</x:v>
      </x:c>
      <x:c r="K625" s="31"/>
      <x:c r="L625" s="31"/>
    </x:row>
    <x:row r="626">
      <x:c r="A626" s="31"/>
      <x:c r="B626" s="31"/>
      <x:c r="C626" s="31"/>
      <x:c r="D626" s="31" t="n">
        <x:v>622</x:v>
      </x:c>
      <x:c r="E626" s="42" t="n">
        <x:v>0.010524713427232357</x:v>
      </x:c>
      <x:c r="F626" s="42" t="n">
        <x:v>-0.006527192916683571</x:v>
      </x:c>
      <x:c r="G626" s="43" t="n">
        <x:v>1.0156215526385932</x:v>
      </x:c>
      <x:c r="H626" s="32" t="n">
        <x:v>875453.7069730251</x:v>
      </x:c>
      <x:c r="I626" s="50" t="b">
        <x:v>1</x:v>
      </x:c>
      <x:c r="J626" s="50" t="b">
        <x:v>0</x:v>
      </x:c>
      <x:c r="K626" s="31"/>
      <x:c r="L626" s="31"/>
    </x:row>
    <x:row r="627">
      <x:c r="A627" s="31"/>
      <x:c r="B627" s="31"/>
      <x:c r="C627" s="31"/>
      <x:c r="D627" s="31" t="n">
        <x:v>623</x:v>
      </x:c>
      <x:c r="E627" s="42" t="n">
        <x:v>0.0021449719274454237</x:v>
      </x:c>
      <x:c r="F627" s="42" t="n">
        <x:v>0.0037183495043814625</x:v>
      </x:c>
      <x:c r="G627" s="43" t="n">
        <x:v>0.9626944221033975</x:v>
      </x:c>
      <x:c r="H627" s="32" t="n">
        <x:v>1159734.579724575</x:v>
      </x:c>
      <x:c r="I627" s="50" t="b">
        <x:v>0</x:v>
      </x:c>
      <x:c r="J627" s="50" t="b">
        <x:v>0</x:v>
      </x:c>
      <x:c r="K627" s="31"/>
      <x:c r="L627" s="31"/>
    </x:row>
    <x:row r="628">
      <x:c r="A628" s="31"/>
      <x:c r="B628" s="31"/>
      <x:c r="C628" s="31"/>
      <x:c r="D628" s="31" t="n">
        <x:v>624</x:v>
      </x:c>
      <x:c r="E628" s="42" t="n">
        <x:v>-0.011019354010923759</x:v>
      </x:c>
      <x:c r="F628" s="42" t="n">
        <x:v>-0.005421153255198822</x:v>
      </x:c>
      <x:c r="G628" s="43" t="n">
        <x:v>1.009532106686103</x:v>
      </x:c>
      <x:c r="H628" s="32" t="n">
        <x:v>851078.9263084548</x:v>
      </x:c>
      <x:c r="I628" s="50" t="b">
        <x:v>1</x:v>
      </x:c>
      <x:c r="J628" s="50" t="b">
        <x:v>0</x:v>
      </x:c>
      <x:c r="K628" s="31"/>
      <x:c r="L628" s="31"/>
    </x:row>
    <x:row r="629">
      <x:c r="A629" s="31"/>
      <x:c r="B629" s="31"/>
      <x:c r="C629" s="31"/>
      <x:c r="D629" s="31" t="n">
        <x:v>625</x:v>
      </x:c>
      <x:c r="E629" s="42" t="n">
        <x:v>0.005538641579529891</x:v>
      </x:c>
      <x:c r="F629" s="42" t="n">
        <x:v>0.0028840723524775225</x:v>
      </x:c>
      <x:c r="G629" s="43" t="n">
        <x:v>1.0869907624184245</x:v>
      </x:c>
      <x:c r="H629" s="32" t="n">
        <x:v>382133.37216299877</x:v>
      </x:c>
      <x:c r="I629" s="50" t="b">
        <x:v>1</x:v>
      </x:c>
      <x:c r="J629" s="50" t="b">
        <x:v>0</x:v>
      </x:c>
      <x:c r="K629" s="31"/>
      <x:c r="L629" s="31"/>
    </x:row>
    <x:row r="630">
      <x:c r="A630" s="31"/>
      <x:c r="B630" s="31"/>
      <x:c r="C630" s="31"/>
      <x:c r="D630" s="31" t="n">
        <x:v>626</x:v>
      </x:c>
      <x:c r="E630" s="42" t="n">
        <x:v>0.002139555959800602</x:v>
      </x:c>
      <x:c r="F630" s="42" t="n">
        <x:v>0.006226208378373778</x:v>
      </x:c>
      <x:c r="G630" s="43" t="n">
        <x:v>1.016071308907664</x:v>
      </x:c>
      <x:c r="H630" s="32" t="n">
        <x:v>813757.7892542548</x:v>
      </x:c>
      <x:c r="I630" s="50" t="b">
        <x:v>1</x:v>
      </x:c>
      <x:c r="J630" s="50" t="b">
        <x:v>0</x:v>
      </x:c>
      <x:c r="K630" s="31"/>
      <x:c r="L630" s="31"/>
    </x:row>
    <x:row r="631">
      <x:c r="A631" s="31"/>
      <x:c r="B631" s="31"/>
      <x:c r="C631" s="31"/>
      <x:c r="D631" s="31" t="n">
        <x:v>627</x:v>
      </x:c>
      <x:c r="E631" s="42" t="n">
        <x:v>-0.013109775082055214</x:v>
      </x:c>
      <x:c r="F631" s="42" t="n">
        <x:v>-0.0026542688101996925</x:v>
      </x:c>
      <x:c r="G631" s="43" t="n">
        <x:v>0.9488627707325225</x:v>
      </x:c>
      <x:c r="H631" s="32" t="n">
        <x:v>1222851.7597924224</x:v>
      </x:c>
      <x:c r="I631" s="50" t="b">
        <x:v>0</x:v>
      </x:c>
      <x:c r="J631" s="50" t="b">
        <x:v>0</x:v>
      </x:c>
      <x:c r="K631" s="31"/>
      <x:c r="L631" s="31"/>
    </x:row>
    <x:row r="632">
      <x:c r="A632" s="31"/>
      <x:c r="B632" s="31"/>
      <x:c r="C632" s="31"/>
      <x:c r="D632" s="31" t="n">
        <x:v>628</x:v>
      </x:c>
      <x:c r="E632" s="42" t="n">
        <x:v>0.009971059877753886</x:v>
      </x:c>
      <x:c r="F632" s="42" t="n">
        <x:v>-0.0001961129132324431</x:v>
      </x:c>
      <x:c r="G632" s="43" t="n">
        <x:v>1.0001566446990495</x:v>
      </x:c>
      <x:c r="H632" s="32" t="n">
        <x:v>954503.0166234141</x:v>
      </x:c>
      <x:c r="I632" s="50" t="b">
        <x:v>1</x:v>
      </x:c>
      <x:c r="J632" s="50" t="b">
        <x:v>0</x:v>
      </x:c>
      <x:c r="K632" s="31"/>
      <x:c r="L632" s="31"/>
    </x:row>
    <x:row r="633">
      <x:c r="A633" s="31"/>
      <x:c r="B633" s="31"/>
      <x:c r="C633" s="31"/>
      <x:c r="D633" s="31" t="n">
        <x:v>629</x:v>
      </x:c>
      <x:c r="E633" s="42" t="n">
        <x:v>-0.019653059137920512</x:v>
      </x:c>
      <x:c r="F633" s="42" t="n">
        <x:v>-0.008058829930639937</x:v>
      </x:c>
      <x:c r="G633" s="43" t="n">
        <x:v>1.0725067984479342</x:v>
      </x:c>
      <x:c r="H633" s="32" t="n">
        <x:v>434454.9550456557</x:v>
      </x:c>
      <x:c r="I633" s="50" t="b">
        <x:v>1</x:v>
      </x:c>
      <x:c r="J633" s="50" t="b">
        <x:v>0</x:v>
      </x:c>
      <x:c r="K633" s="31"/>
      <x:c r="L633" s="31"/>
    </x:row>
    <x:row r="634">
      <x:c r="A634" s="31"/>
      <x:c r="B634" s="31"/>
      <x:c r="C634" s="31"/>
      <x:c r="D634" s="31" t="n">
        <x:v>630</x:v>
      </x:c>
      <x:c r="E634" s="42" t="n">
        <x:v>-0.009042957355619984</x:v>
      </x:c>
      <x:c r="F634" s="42" t="n">
        <x:v>0.016315141909171448</x:v>
      </x:c>
      <x:c r="G634" s="43" t="n">
        <x:v>0.9735421192199848</x:v>
      </x:c>
      <x:c r="H634" s="32" t="n">
        <x:v>1024638.7203477151</x:v>
      </x:c>
      <x:c r="I634" s="50" t="b">
        <x:v>0</x:v>
      </x:c>
      <x:c r="J634" s="50" t="b">
        <x:v>0</x:v>
      </x:c>
      <x:c r="K634" s="31"/>
      <x:c r="L634" s="31"/>
    </x:row>
    <x:row r="635">
      <x:c r="A635" s="31"/>
      <x:c r="B635" s="31"/>
      <x:c r="C635" s="31"/>
      <x:c r="D635" s="31" t="n">
        <x:v>631</x:v>
      </x:c>
      <x:c r="E635" s="42" t="n">
        <x:v>0.002038740560706936</x:v>
      </x:c>
      <x:c r="F635" s="42" t="n">
        <x:v>0.0055153672311202525</x:v>
      </x:c>
      <x:c r="G635" s="43" t="n">
        <x:v>1.0495981339348532</x:v>
      </x:c>
      <x:c r="H635" s="32" t="n">
        <x:v>602536.7258713163</x:v>
      </x:c>
      <x:c r="I635" s="50" t="b">
        <x:v>1</x:v>
      </x:c>
      <x:c r="J635" s="50" t="b">
        <x:v>0</x:v>
      </x:c>
      <x:c r="K635" s="31"/>
      <x:c r="L635" s="31"/>
    </x:row>
    <x:row r="636">
      <x:c r="A636" s="31"/>
      <x:c r="B636" s="31"/>
      <x:c r="C636" s="31"/>
      <x:c r="D636" s="31" t="n">
        <x:v>632</x:v>
      </x:c>
      <x:c r="E636" s="42" t="n">
        <x:v>-0.014464824579859384</x:v>
      </x:c>
      <x:c r="F636" s="42" t="n">
        <x:v>-0.0025083089253262135</x:v>
      </x:c>
      <x:c r="G636" s="43" t="n">
        <x:v>0.9696747384518424</x:v>
      </x:c>
      <x:c r="H636" s="32" t="n">
        <x:v>1086502.9322579012</x:v>
      </x:c>
      <x:c r="I636" s="50" t="b">
        <x:v>0</x:v>
      </x:c>
      <x:c r="J636" s="50" t="b">
        <x:v>0</x:v>
      </x:c>
      <x:c r="K636" s="31"/>
      <x:c r="L636" s="31"/>
    </x:row>
    <x:row r="637">
      <x:c r="A637" s="31"/>
      <x:c r="B637" s="31"/>
      <x:c r="C637" s="31"/>
      <x:c r="D637" s="31" t="n">
        <x:v>633</x:v>
      </x:c>
      <x:c r="E637" s="42" t="n">
        <x:v>-0.012875594246195401</x:v>
      </x:c>
      <x:c r="F637" s="42" t="n">
        <x:v>-0.0007635507173488445</x:v>
      </x:c>
      <x:c r="G637" s="43" t="n">
        <x:v>0.9747499840659659</x:v>
      </x:c>
      <x:c r="H637" s="32" t="n">
        <x:v>1053838.6128890933</x:v>
      </x:c>
      <x:c r="I637" s="50" t="b">
        <x:v>0</x:v>
      </x:c>
      <x:c r="J637" s="50" t="b">
        <x:v>0</x:v>
      </x:c>
      <x:c r="K637" s="31"/>
      <x:c r="L637" s="31"/>
    </x:row>
    <x:row r="638">
      <x:c r="A638" s="31"/>
      <x:c r="B638" s="31"/>
      <x:c r="C638" s="31"/>
      <x:c r="D638" s="31" t="n">
        <x:v>634</x:v>
      </x:c>
      <x:c r="E638" s="42" t="n">
        <x:v>-0.00041922556011791045</x:v>
      </x:c>
      <x:c r="F638" s="42" t="n">
        <x:v>-0.0021606918980012005</x:v>
      </x:c>
      <x:c r="G638" s="43" t="n">
        <x:v>0.9852203961508492</x:v>
      </x:c>
      <x:c r="H638" s="32" t="n">
        <x:v>1025905.6325017675</x:v>
      </x:c>
      <x:c r="I638" s="50" t="b">
        <x:v>0</x:v>
      </x:c>
      <x:c r="J638" s="50" t="b">
        <x:v>0</x:v>
      </x:c>
      <x:c r="K638" s="31"/>
      <x:c r="L638" s="31"/>
    </x:row>
    <x:row r="639">
      <x:c r="A639" s="31"/>
      <x:c r="B639" s="31"/>
      <x:c r="C639" s="31"/>
      <x:c r="D639" s="31" t="n">
        <x:v>635</x:v>
      </x:c>
      <x:c r="E639" s="42" t="n">
        <x:v>-0.003585163170901237</x:v>
      </x:c>
      <x:c r="F639" s="42" t="n">
        <x:v>0.0035897857861455023</x:v>
      </x:c>
      <x:c r="G639" s="43" t="n">
        <x:v>0.9657617334465123</x:v>
      </x:c>
      <x:c r="H639" s="32" t="n">
        <x:v>1124662.8822356444</x:v>
      </x:c>
      <x:c r="I639" s="50" t="b">
        <x:v>0</x:v>
      </x:c>
      <x:c r="J639" s="50" t="b">
        <x:v>0</x:v>
      </x:c>
      <x:c r="K639" s="31"/>
      <x:c r="L639" s="31"/>
    </x:row>
    <x:row r="640">
      <x:c r="A640" s="31"/>
      <x:c r="B640" s="31"/>
      <x:c r="C640" s="31"/>
      <x:c r="D640" s="31" t="n">
        <x:v>636</x:v>
      </x:c>
      <x:c r="E640" s="42" t="n">
        <x:v>0.018969087678584535</x:v>
      </x:c>
      <x:c r="F640" s="42" t="n">
        <x:v>0.005380181512433037</x:v>
      </x:c>
      <x:c r="G640" s="43" t="n">
        <x:v>1.042840478600924</x:v>
      </x:c>
      <x:c r="H640" s="32" t="n">
        <x:v>692954.9121367971</x:v>
      </x:c>
      <x:c r="I640" s="50" t="b">
        <x:v>1</x:v>
      </x:c>
      <x:c r="J640" s="50" t="b">
        <x:v>0</x:v>
      </x:c>
      <x:c r="K640" s="31"/>
      <x:c r="L640" s="31"/>
    </x:row>
    <x:row r="641">
      <x:c r="A641" s="31"/>
      <x:c r="B641" s="31"/>
      <x:c r="C641" s="31"/>
      <x:c r="D641" s="31" t="n">
        <x:v>637</x:v>
      </x:c>
      <x:c r="E641" s="42" t="n">
        <x:v>-0.0035681678755624642</x:v>
      </x:c>
      <x:c r="F641" s="42" t="n">
        <x:v>0.0016319690554503171</x:v>
      </x:c>
      <x:c r="G641" s="43" t="n">
        <x:v>1.0370016043577652</x:v>
      </x:c>
      <x:c r="H641" s="32" t="n">
        <x:v>677736.1808925197</x:v>
      </x:c>
      <x:c r="I641" s="50" t="b">
        <x:v>1</x:v>
      </x:c>
      <x:c r="J641" s="50" t="b">
        <x:v>0</x:v>
      </x:c>
      <x:c r="K641" s="31"/>
      <x:c r="L641" s="31"/>
    </x:row>
    <x:row r="642">
      <x:c r="A642" s="31"/>
      <x:c r="B642" s="31"/>
      <x:c r="C642" s="31"/>
      <x:c r="D642" s="31" t="n">
        <x:v>638</x:v>
      </x:c>
      <x:c r="E642" s="42" t="n">
        <x:v>-0.0012335971557672289</x:v>
      </x:c>
      <x:c r="F642" s="42" t="n">
        <x:v>0.0016745055301684466</x:v>
      </x:c>
      <x:c r="G642" s="43" t="n">
        <x:v>1.036735026448989</x:v>
      </x:c>
      <x:c r="H642" s="32" t="n">
        <x:v>685809.0675385102</x:v>
      </x:c>
      <x:c r="I642" s="50" t="b">
        <x:v>1</x:v>
      </x:c>
      <x:c r="J642" s="50" t="b">
        <x:v>0</x:v>
      </x:c>
      <x:c r="K642" s="31"/>
      <x:c r="L642" s="31"/>
    </x:row>
    <x:row r="643">
      <x:c r="A643" s="31"/>
      <x:c r="B643" s="31"/>
      <x:c r="C643" s="31"/>
      <x:c r="D643" s="31" t="n">
        <x:v>639</x:v>
      </x:c>
      <x:c r="E643" s="42" t="n">
        <x:v>-0.010285781931076599</x:v>
      </x:c>
      <x:c r="F643" s="42" t="n">
        <x:v>-0.0031317522974807577</x:v>
      </x:c>
      <x:c r="G643" s="43" t="n">
        <x:v>0.9957675514172409</x:v>
      </x:c>
      <x:c r="H643" s="32" t="n">
        <x:v>934162.9165471918</x:v>
      </x:c>
      <x:c r="I643" s="50" t="b">
        <x:v>1</x:v>
      </x:c>
      <x:c r="J643" s="50" t="b">
        <x:v>0</x:v>
      </x:c>
      <x:c r="K643" s="31"/>
      <x:c r="L643" s="31"/>
    </x:row>
    <x:row r="644">
      <x:c r="A644" s="31"/>
      <x:c r="B644" s="31"/>
      <x:c r="C644" s="31"/>
      <x:c r="D644" s="31" t="n">
        <x:v>640</x:v>
      </x:c>
      <x:c r="E644" s="42" t="n">
        <x:v>-0.014378378119769367</x:v>
      </x:c>
      <x:c r="F644" s="42" t="n">
        <x:v>-0.003823155233279605</x:v>
      </x:c>
      <x:c r="G644" s="43" t="n">
        <x:v>0.9893640248074458</x:v>
      </x:c>
      <x:c r="H644" s="32" t="n">
        <x:v>965362.5488678565</x:v>
      </x:c>
      <x:c r="I644" s="50" t="b">
        <x:v>1</x:v>
      </x:c>
      <x:c r="J644" s="50" t="b">
        <x:v>0</x:v>
      </x:c>
      <x:c r="K644" s="31"/>
      <x:c r="L644" s="31"/>
    </x:row>
    <x:row r="645">
      <x:c r="A645" s="31"/>
      <x:c r="B645" s="31"/>
      <x:c r="C645" s="31"/>
      <x:c r="D645" s="31" t="n">
        <x:v>641</x:v>
      </x:c>
      <x:c r="E645" s="42" t="n">
        <x:v>-0.01717535776549143</x:v>
      </x:c>
      <x:c r="F645" s="42" t="n">
        <x:v>-0.00782291594300216</x:v>
      </x:c>
      <x:c r="G645" s="43" t="n">
        <x:v>1.06523246029138</x:v>
      </x:c>
      <x:c r="H645" s="32" t="n">
        <x:v>486892.21911102894</x:v>
      </x:c>
      <x:c r="I645" s="50" t="b">
        <x:v>1</x:v>
      </x:c>
      <x:c r="J645" s="50" t="b">
        <x:v>0</x:v>
      </x:c>
      <x:c r="K645" s="31"/>
      <x:c r="L645" s="31"/>
    </x:row>
    <x:row r="646">
      <x:c r="A646" s="31"/>
      <x:c r="B646" s="31"/>
      <x:c r="C646" s="31"/>
      <x:c r="D646" s="31" t="n">
        <x:v>642</x:v>
      </x:c>
      <x:c r="E646" s="42" t="n">
        <x:v>0.007909354720295013</x:v>
      </x:c>
      <x:c r="F646" s="42" t="n">
        <x:v>-0.006378743953493016</x:v>
      </x:c>
      <x:c r="G646" s="43" t="n">
        <x:v>0.9098510583963424</x:v>
      </x:c>
      <x:c r="H646" s="32" t="n">
        <x:v>1539478.13517438</x:v>
      </x:c>
      <x:c r="I646" s="50" t="b">
        <x:v>0</x:v>
      </x:c>
      <x:c r="J646" s="50" t="b">
        <x:v>0</x:v>
      </x:c>
      <x:c r="K646" s="31"/>
      <x:c r="L646" s="31"/>
    </x:row>
    <x:row r="647">
      <x:c r="A647" s="31"/>
      <x:c r="B647" s="31"/>
      <x:c r="C647" s="31"/>
      <x:c r="D647" s="31" t="n">
        <x:v>643</x:v>
      </x:c>
      <x:c r="E647" s="42" t="n">
        <x:v>-0.002441663751651921</x:v>
      </x:c>
      <x:c r="F647" s="42" t="n">
        <x:v>0.0116832687209184</x:v>
      </x:c>
      <x:c r="G647" s="43" t="n">
        <x:v>1.0108568703327967</x:v>
      </x:c>
      <x:c r="H647" s="32" t="n">
        <x:v>818931.3921762905</x:v>
      </x:c>
      <x:c r="I647" s="50" t="b">
        <x:v>1</x:v>
      </x:c>
      <x:c r="J647" s="50" t="b">
        <x:v>0</x:v>
      </x:c>
      <x:c r="K647" s="31"/>
      <x:c r="L647" s="31"/>
    </x:row>
    <x:row r="648">
      <x:c r="A648" s="31"/>
      <x:c r="B648" s="31"/>
      <x:c r="C648" s="31"/>
      <x:c r="D648" s="31" t="n">
        <x:v>644</x:v>
      </x:c>
      <x:c r="E648" s="42" t="n">
        <x:v>0.006978403894064596</x:v>
      </x:c>
      <x:c r="F648" s="42" t="n">
        <x:v>0.006492941705480272</x:v>
      </x:c>
      <x:c r="G648" s="43" t="n">
        <x:v>0.9771535874947435</x:v>
      </x:c>
      <x:c r="H648" s="32" t="n">
        <x:v>1073639.4652210777</x:v>
      </x:c>
      <x:c r="I648" s="50" t="b">
        <x:v>0</x:v>
      </x:c>
      <x:c r="J648" s="50" t="b">
        <x:v>0</x:v>
      </x:c>
      <x:c r="K648" s="31"/>
      <x:c r="L648" s="31"/>
    </x:row>
    <x:row r="649">
      <x:c r="A649" s="31"/>
      <x:c r="B649" s="31"/>
      <x:c r="C649" s="31"/>
      <x:c r="D649" s="31" t="n">
        <x:v>645</x:v>
      </x:c>
      <x:c r="E649" s="42" t="n">
        <x:v>0.02258993271011589</x:v>
      </x:c>
      <x:c r="F649" s="42" t="n">
        <x:v>-0.0015023036317226748</x:v>
      </x:c>
      <x:c r="G649" s="43" t="n">
        <x:v>1.0921714582663715</x:v>
      </x:c>
      <x:c r="H649" s="32" t="n">
        <x:v>408904.5060209186</x:v>
      </x:c>
      <x:c r="I649" s="50" t="b">
        <x:v>1</x:v>
      </x:c>
      <x:c r="J649" s="50" t="b">
        <x:v>0</x:v>
      </x:c>
      <x:c r="K649" s="31"/>
      <x:c r="L649" s="31"/>
    </x:row>
    <x:row r="650">
      <x:c r="A650" s="31"/>
      <x:c r="B650" s="31"/>
      <x:c r="C650" s="31"/>
      <x:c r="D650" s="31" t="n">
        <x:v>646</x:v>
      </x:c>
      <x:c r="E650" s="42" t="n">
        <x:v>-0.013903253361473078</x:v>
      </x:c>
      <x:c r="F650" s="42" t="n">
        <x:v>-0.01270262339472474</x:v>
      </x:c>
      <x:c r="G650" s="43" t="n">
        <x:v>1.0436422117261146</x:v>
      </x:c>
      <x:c r="H650" s="32" t="n">
        <x:v>646696.3373257191</x:v>
      </x:c>
      <x:c r="I650" s="50" t="b">
        <x:v>1</x:v>
      </x:c>
      <x:c r="J650" s="50" t="b">
        <x:v>0</x:v>
      </x:c>
      <x:c r="K650" s="31"/>
      <x:c r="L650" s="31"/>
    </x:row>
    <x:row r="651">
      <x:c r="A651" s="31"/>
      <x:c r="B651" s="31"/>
      <x:c r="C651" s="31"/>
      <x:c r="D651" s="31" t="n">
        <x:v>647</x:v>
      </x:c>
      <x:c r="E651" s="42" t="n">
        <x:v>-0.00047730794410817234</x:v>
      </x:c>
      <x:c r="F651" s="42" t="n">
        <x:v>-0.005164590206173343</x:v>
      </x:c>
      <x:c r="G651" s="43" t="n">
        <x:v>1.0099709056166877</x:v>
      </x:c>
      <x:c r="H651" s="32" t="n">
        <x:v>876922.1123009238</x:v>
      </x:c>
      <x:c r="I651" s="50" t="b">
        <x:v>1</x:v>
      </x:c>
      <x:c r="J651" s="50" t="b">
        <x:v>0</x:v>
      </x:c>
      <x:c r="K651" s="31"/>
      <x:c r="L651" s="31"/>
    </x:row>
    <x:row r="652">
      <x:c r="A652" s="31"/>
      <x:c r="B652" s="31"/>
      <x:c r="C652" s="31"/>
      <x:c r="D652" s="31" t="n">
        <x:v>648</x:v>
      </x:c>
      <x:c r="E652" s="42" t="n">
        <x:v>-0.014625933816221575</x:v>
      </x:c>
      <x:c r="F652" s="42" t="n">
        <x:v>-0.004794131633853633</x:v>
      </x:c>
      <x:c r="G652" s="43" t="n">
        <x:v>0.996646925181181</x:v>
      </x:c>
      <x:c r="H652" s="32" t="n">
        <x:v>921124.6311026919</x:v>
      </x:c>
      <x:c r="I652" s="50" t="b">
        <x:v>1</x:v>
      </x:c>
      <x:c r="J652" s="50" t="b">
        <x:v>0</x:v>
      </x:c>
      <x:c r="K652" s="31"/>
      <x:c r="L652" s="31"/>
    </x:row>
    <x:row r="653">
      <x:c r="A653" s="31"/>
      <x:c r="B653" s="31"/>
      <x:c r="C653" s="31"/>
      <x:c r="D653" s="31" t="n">
        <x:v>649</x:v>
      </x:c>
      <x:c r="E653" s="42" t="n">
        <x:v>-0.003028981393483832</x:v>
      </x:c>
      <x:c r="F653" s="42" t="n">
        <x:v>-0.0011395382469992243</x:v>
      </x:c>
      <x:c r="G653" s="43" t="n">
        <x:v>0.9815023842779075</x:v>
      </x:c>
      <x:c r="H653" s="32" t="n">
        <x:v>1039410.9240631151</x:v>
      </x:c>
      <x:c r="I653" s="50" t="b">
        <x:v>0</x:v>
      </x:c>
      <x:c r="J653" s="50" t="b">
        <x:v>0</x:v>
      </x:c>
      <x:c r="K653" s="31"/>
      <x:c r="L653" s="31"/>
    </x:row>
    <x:row r="654">
      <x:c r="A654" s="31"/>
      <x:c r="B654" s="31"/>
      <x:c r="C654" s="31"/>
      <x:c r="D654" s="31" t="n">
        <x:v>650</x:v>
      </x:c>
      <x:c r="E654" s="42" t="n">
        <x:v>-0.010790495029467885</x:v>
      </x:c>
      <x:c r="F654" s="42" t="n">
        <x:v>-0.00007001292525251361</x:v>
      </x:c>
      <x:c r="G654" s="43" t="n">
        <x:v>0.9335679503366403</x:v>
      </x:c>
      <x:c r="H654" s="32" t="n">
        <x:v>1319247.135430758</x:v>
      </x:c>
      <x:c r="I654" s="50" t="b">
        <x:v>0</x:v>
      </x:c>
      <x:c r="J654" s="50" t="b">
        <x:v>0</x:v>
      </x:c>
      <x:c r="K654" s="31"/>
      <x:c r="L654" s="31"/>
    </x:row>
    <x:row r="655">
      <x:c r="A655" s="31"/>
      <x:c r="B655" s="31"/>
      <x:c r="C655" s="31"/>
      <x:c r="D655" s="31" t="n">
        <x:v>651</x:v>
      </x:c>
      <x:c r="E655" s="42" t="n">
        <x:v>0.010214427711130847</x:v>
      </x:c>
      <x:c r="F655" s="42" t="n">
        <x:v>-0.000829566736012425</x:v>
      </x:c>
      <x:c r="G655" s="43" t="n">
        <x:v>0.9501475215923791</x:v>
      </x:c>
      <x:c r="H655" s="32" t="n">
        <x:v>1274537.0187518657</x:v>
      </x:c>
      <x:c r="I655" s="50" t="b">
        <x:v>0</x:v>
      </x:c>
      <x:c r="J655" s="50" t="b">
        <x:v>0</x:v>
      </x:c>
      <x:c r="K655" s="31"/>
      <x:c r="L655" s="31"/>
    </x:row>
    <x:row r="656">
      <x:c r="A656" s="31"/>
      <x:c r="B656" s="31"/>
      <x:c r="C656" s="31"/>
      <x:c r="D656" s="31" t="n">
        <x:v>652</x:v>
      </x:c>
      <x:c r="E656" s="42" t="n">
        <x:v>0.006874441248722363</x:v>
      </x:c>
      <x:c r="F656" s="42" t="n">
        <x:v>0.004164905983430794</x:v>
      </x:c>
      <x:c r="G656" s="43" t="n">
        <x:v>1.0386331536457472</x:v>
      </x:c>
      <x:c r="H656" s="32" t="n">
        <x:v>689391.4352910977</x:v>
      </x:c>
      <x:c r="I656" s="50" t="b">
        <x:v>1</x:v>
      </x:c>
      <x:c r="J656" s="50" t="b">
        <x:v>0</x:v>
      </x:c>
      <x:c r="K656" s="31"/>
      <x:c r="L656" s="31"/>
    </x:row>
    <x:row r="657">
      <x:c r="A657" s="31"/>
      <x:c r="B657" s="31"/>
      <x:c r="C657" s="31"/>
      <x:c r="D657" s="31" t="n">
        <x:v>653</x:v>
      </x:c>
      <x:c r="E657" s="42" t="n">
        <x:v>-0.007196945109332144</x:v>
      </x:c>
      <x:c r="F657" s="42" t="n">
        <x:v>-0.001172079360154702</x:v>
      </x:c>
      <x:c r="G657" s="43" t="n">
        <x:v>0.879117038734603</x:v>
      </x:c>
      <x:c r="H657" s="32" t="n">
        <x:v>1678119.3399989586</x:v>
      </x:c>
      <x:c r="I657" s="50" t="b">
        <x:v>0</x:v>
      </x:c>
      <x:c r="J657" s="50" t="b">
        <x:v>0</x:v>
      </x:c>
      <x:c r="K657" s="31"/>
      <x:c r="L657" s="31"/>
    </x:row>
    <x:row r="658">
      <x:c r="A658" s="31"/>
      <x:c r="B658" s="31"/>
      <x:c r="C658" s="31"/>
      <x:c r="D658" s="31" t="n">
        <x:v>654</x:v>
      </x:c>
      <x:c r="E658" s="42" t="n">
        <x:v>0.005775115988425543</x:v>
      </x:c>
      <x:c r="F658" s="42" t="n">
        <x:v>0.0010032127910428023</x:v>
      </x:c>
      <x:c r="G658" s="43" t="n">
        <x:v>1.0283056982418592</x:v>
      </x:c>
      <x:c r="H658" s="32" t="n">
        <x:v>760718.7381579641</x:v>
      </x:c>
      <x:c r="I658" s="50" t="b">
        <x:v>1</x:v>
      </x:c>
      <x:c r="J658" s="50" t="b">
        <x:v>0</x:v>
      </x:c>
      <x:c r="K658" s="31"/>
      <x:c r="L658" s="31"/>
    </x:row>
    <x:row r="659">
      <x:c r="A659" s="31"/>
      <x:c r="B659" s="31"/>
      <x:c r="C659" s="31"/>
      <x:c r="D659" s="31" t="n">
        <x:v>655</x:v>
      </x:c>
      <x:c r="E659" s="42" t="n">
        <x:v>-0.005557265601146937</x:v>
      </x:c>
      <x:c r="F659" s="42" t="n">
        <x:v>0.0029075425903763905</x:v>
      </x:c>
      <x:c r="G659" s="43" t="n">
        <x:v>0.9590614682679033</x:v>
      </x:c>
      <x:c r="H659" s="32" t="n">
        <x:v>1163623.9596678056</x:v>
      </x:c>
      <x:c r="I659" s="50" t="b">
        <x:v>0</x:v>
      </x:c>
      <x:c r="J659" s="50" t="b">
        <x:v>0</x:v>
      </x:c>
      <x:c r="K659" s="31"/>
      <x:c r="L659" s="31"/>
    </x:row>
    <x:row r="660">
      <x:c r="A660" s="31"/>
      <x:c r="B660" s="31"/>
      <x:c r="C660" s="31"/>
      <x:c r="D660" s="31" t="n">
        <x:v>656</x:v>
      </x:c>
      <x:c r="E660" s="42" t="n">
        <x:v>-0.005048360848533959</x:v>
      </x:c>
      <x:c r="F660" s="42" t="n">
        <x:v>-0.00861089736148094</x:v>
      </x:c>
      <x:c r="G660" s="43" t="n">
        <x:v>1.0135706457112321</x:v>
      </x:c>
      <x:c r="H660" s="32" t="n">
        <x:v>850930.4585379381</x:v>
      </x:c>
      <x:c r="I660" s="50" t="b">
        <x:v>1</x:v>
      </x:c>
      <x:c r="J660" s="50" t="b">
        <x:v>0</x:v>
      </x:c>
      <x:c r="K660" s="31"/>
      <x:c r="L660" s="31"/>
    </x:row>
    <x:row r="661">
      <x:c r="A661" s="31"/>
      <x:c r="B661" s="31"/>
      <x:c r="C661" s="31"/>
      <x:c r="D661" s="31" t="n">
        <x:v>657</x:v>
      </x:c>
      <x:c r="E661" s="42" t="n">
        <x:v>0.018897340473345396</x:v>
      </x:c>
      <x:c r="F661" s="42" t="n">
        <x:v>0.007198740606238797</x:v>
      </x:c>
      <x:c r="G661" s="43" t="n">
        <x:v>0.9791175763770089</x:v>
      </x:c>
      <x:c r="H661" s="32" t="n">
        <x:v>1092378.762148275</x:v>
      </x:c>
      <x:c r="I661" s="50" t="b">
        <x:v>0</x:v>
      </x:c>
      <x:c r="J661" s="50" t="b">
        <x:v>0</x:v>
      </x:c>
      <x:c r="K661" s="31"/>
      <x:c r="L661" s="31"/>
    </x:row>
    <x:row r="662">
      <x:c r="A662" s="31"/>
      <x:c r="B662" s="31"/>
      <x:c r="C662" s="31"/>
      <x:c r="D662" s="31" t="n">
        <x:v>658</x:v>
      </x:c>
      <x:c r="E662" s="42" t="n">
        <x:v>0.004629747632637259</x:v>
      </x:c>
      <x:c r="F662" s="42" t="n">
        <x:v>-0.0023198693834166235</x:v>
      </x:c>
      <x:c r="G662" s="43" t="n">
        <x:v>0.9899841203631639</x:v>
      </x:c>
      <x:c r="H662" s="32" t="n">
        <x:v>1010149.612806763</x:v>
      </x:c>
      <x:c r="I662" s="50" t="b">
        <x:v>0</x:v>
      </x:c>
      <x:c r="J662" s="50" t="b">
        <x:v>0</x:v>
      </x:c>
      <x:c r="K662" s="31"/>
      <x:c r="L662" s="31"/>
    </x:row>
    <x:row r="663">
      <x:c r="A663" s="31"/>
      <x:c r="B663" s="31"/>
      <x:c r="C663" s="31"/>
      <x:c r="D663" s="31" t="n">
        <x:v>659</x:v>
      </x:c>
      <x:c r="E663" s="42" t="n">
        <x:v>-0.017354709124896783</x:v>
      </x:c>
      <x:c r="F663" s="42" t="n">
        <x:v>-0.0038433249268395578</x:v>
      </x:c>
      <x:c r="G663" s="43" t="n">
        <x:v>0.923119696361228</x:v>
      </x:c>
      <x:c r="H663" s="32" t="n">
        <x:v>1377832.4100833517</x:v>
      </x:c>
      <x:c r="I663" s="50" t="b">
        <x:v>0</x:v>
      </x:c>
      <x:c r="J663" s="50" t="b">
        <x:v>0</x:v>
      </x:c>
      <x:c r="K663" s="31"/>
      <x:c r="L663" s="31"/>
    </x:row>
    <x:row r="664">
      <x:c r="A664" s="31"/>
      <x:c r="B664" s="31"/>
      <x:c r="C664" s="31"/>
      <x:c r="D664" s="31" t="n">
        <x:v>660</x:v>
      </x:c>
      <x:c r="E664" s="42" t="n">
        <x:v>0.0038919502834483875</x:v>
      </x:c>
      <x:c r="F664" s="42" t="n">
        <x:v>-0.0018273886300024028</x:v>
      </x:c>
      <x:c r="G664" s="43" t="n">
        <x:v>1.0463994134682484</x:v>
      </x:c>
      <x:c r="H664" s="32" t="n">
        <x:v>648448.0403028214</x:v>
      </x:c>
      <x:c r="I664" s="50" t="b">
        <x:v>1</x:v>
      </x:c>
      <x:c r="J664" s="50" t="b">
        <x:v>0</x:v>
      </x:c>
      <x:c r="K664" s="31"/>
      <x:c r="L664" s="31"/>
    </x:row>
    <x:row r="665">
      <x:c r="A665" s="31"/>
      <x:c r="B665" s="31"/>
      <x:c r="C665" s="31"/>
      <x:c r="D665" s="31" t="n">
        <x:v>661</x:v>
      </x:c>
      <x:c r="E665" s="42" t="n">
        <x:v>-0.001663333699535596</x:v>
      </x:c>
      <x:c r="F665" s="42" t="n">
        <x:v>0.007029307942217886</x:v>
      </x:c>
      <x:c r="G665" s="43" t="n">
        <x:v>1.0672760740962972</x:v>
      </x:c>
      <x:c r="H665" s="32" t="n">
        <x:v>475750.39253274316</x:v>
      </x:c>
      <x:c r="I665" s="50" t="b">
        <x:v>1</x:v>
      </x:c>
      <x:c r="J665" s="50" t="b">
        <x:v>0</x:v>
      </x:c>
      <x:c r="K665" s="31"/>
      <x:c r="L665" s="31"/>
    </x:row>
    <x:row r="666">
      <x:c r="A666" s="31"/>
      <x:c r="B666" s="31"/>
      <x:c r="C666" s="31"/>
      <x:c r="D666" s="31" t="n">
        <x:v>662</x:v>
      </x:c>
      <x:c r="E666" s="42" t="n">
        <x:v>-0.0043724317792379055</x:v>
      </x:c>
      <x:c r="F666" s="42" t="n">
        <x:v>0.011202104817609106</x:v>
      </x:c>
      <x:c r="G666" s="43" t="n">
        <x:v>1.0200321566975472</x:v>
      </x:c>
      <x:c r="H666" s="32" t="n">
        <x:v>756626.8203486588</x:v>
      </x:c>
      <x:c r="I666" s="50" t="b">
        <x:v>1</x:v>
      </x:c>
      <x:c r="J666" s="50" t="b">
        <x:v>0</x:v>
      </x:c>
      <x:c r="K666" s="31"/>
      <x:c r="L666" s="31"/>
    </x:row>
    <x:row r="667">
      <x:c r="A667" s="31"/>
      <x:c r="B667" s="31"/>
      <x:c r="C667" s="31"/>
      <x:c r="D667" s="31" t="n">
        <x:v>663</x:v>
      </x:c>
      <x:c r="E667" s="42" t="n">
        <x:v>0.0004247298322918728</x:v>
      </x:c>
      <x:c r="F667" s="42" t="n">
        <x:v>-0.0015808840353461506</x:v>
      </x:c>
      <x:c r="G667" s="43" t="n">
        <x:v>0.9304526082137403</x:v>
      </x:c>
      <x:c r="H667" s="32" t="n">
        <x:v>1374455.1345138752</x:v>
      </x:c>
      <x:c r="I667" s="50" t="b">
        <x:v>0</x:v>
      </x:c>
      <x:c r="J667" s="50" t="b">
        <x:v>0</x:v>
      </x:c>
      <x:c r="K667" s="31"/>
      <x:c r="L667" s="31"/>
    </x:row>
    <x:row r="668">
      <x:c r="A668" s="31"/>
      <x:c r="B668" s="31"/>
      <x:c r="C668" s="31"/>
      <x:c r="D668" s="31" t="n">
        <x:v>664</x:v>
      </x:c>
      <x:c r="E668" s="42" t="n">
        <x:v>0.010510543139790187</x:v>
      </x:c>
      <x:c r="F668" s="42" t="n">
        <x:v>-0.0010132847444963744</x:v>
      </x:c>
      <x:c r="G668" s="43" t="n">
        <x:v>0.9479038899345626</x:v>
      </x:c>
      <x:c r="H668" s="32" t="n">
        <x:v>1290121.295791281</x:v>
      </x:c>
      <x:c r="I668" s="50" t="b">
        <x:v>0</x:v>
      </x:c>
      <x:c r="J668" s="50" t="b">
        <x:v>0</x:v>
      </x:c>
      <x:c r="K668" s="31"/>
      <x:c r="L668" s="31"/>
    </x:row>
    <x:row r="669">
      <x:c r="A669" s="31"/>
      <x:c r="B669" s="31"/>
      <x:c r="C669" s="31"/>
      <x:c r="D669" s="31" t="n">
        <x:v>665</x:v>
      </x:c>
      <x:c r="E669" s="42" t="n">
        <x:v>0.010957122039957959</x:v>
      </x:c>
      <x:c r="F669" s="42" t="n">
        <x:v>-0.011326776694941374</x:v>
      </x:c>
      <x:c r="G669" s="43" t="n">
        <x:v>0.9360557519306737</x:v>
      </x:c>
      <x:c r="H669" s="32" t="n">
        <x:v>1395316.2590288674</x:v>
      </x:c>
      <x:c r="I669" s="50" t="b">
        <x:v>0</x:v>
      </x:c>
      <x:c r="J669" s="50" t="b">
        <x:v>0</x:v>
      </x:c>
      <x:c r="K669" s="31"/>
      <x:c r="L669" s="31"/>
    </x:row>
    <x:row r="670">
      <x:c r="A670" s="31"/>
      <x:c r="B670" s="31"/>
      <x:c r="C670" s="31"/>
      <x:c r="D670" s="31" t="n">
        <x:v>666</x:v>
      </x:c>
      <x:c r="E670" s="42" t="n">
        <x:v>0.0027580660463643603</x:v>
      </x:c>
      <x:c r="F670" s="42" t="n">
        <x:v>-0.002347720100162502</x:v>
      </x:c>
      <x:c r="G670" s="43" t="n">
        <x:v>0.9329033888954273</x:v>
      </x:c>
      <x:c r="H670" s="32" t="n">
        <x:v>1367520.3397302604</x:v>
      </x:c>
      <x:c r="I670" s="50" t="b">
        <x:v>0</x:v>
      </x:c>
      <x:c r="J670" s="50" t="b">
        <x:v>0</x:v>
      </x:c>
      <x:c r="K670" s="31"/>
      <x:c r="L670" s="31"/>
    </x:row>
    <x:row r="671">
      <x:c r="A671" s="31"/>
      <x:c r="B671" s="31"/>
      <x:c r="C671" s="31"/>
      <x:c r="D671" s="31" t="n">
        <x:v>667</x:v>
      </x:c>
      <x:c r="E671" s="42" t="n">
        <x:v>-0.018955155217680052</x:v>
      </x:c>
      <x:c r="F671" s="42" t="n">
        <x:v>-0.004715462864806243</x:v>
      </x:c>
      <x:c r="G671" s="43" t="n">
        <x:v>0.9267093629921838</x:v>
      </x:c>
      <x:c r="H671" s="32" t="n">
        <x:v>1353008.222779779</x:v>
      </x:c>
      <x:c r="I671" s="50" t="b">
        <x:v>0</x:v>
      </x:c>
      <x:c r="J671" s="50" t="b">
        <x:v>0</x:v>
      </x:c>
      <x:c r="K671" s="31"/>
      <x:c r="L671" s="31"/>
    </x:row>
    <x:row r="672">
      <x:c r="A672" s="31"/>
      <x:c r="B672" s="31"/>
      <x:c r="C672" s="31"/>
      <x:c r="D672" s="31" t="n">
        <x:v>668</x:v>
      </x:c>
      <x:c r="E672" s="42" t="n">
        <x:v>-0.002299766135450095</x:v>
      </x:c>
      <x:c r="F672" s="42" t="n">
        <x:v>-0.006732476708645062</x:v>
      </x:c>
      <x:c r="G672" s="43" t="n">
        <x:v>1.0050117661288132</x:v>
      </x:c>
      <x:c r="H672" s="32" t="n">
        <x:v>907707.554313855</x:v>
      </x:c>
      <x:c r="I672" s="50" t="b">
        <x:v>1</x:v>
      </x:c>
      <x:c r="J672" s="50" t="b">
        <x:v>0</x:v>
      </x:c>
      <x:c r="K672" s="31"/>
      <x:c r="L672" s="31"/>
    </x:row>
    <x:row r="673">
      <x:c r="A673" s="31"/>
      <x:c r="B673" s="31"/>
      <x:c r="C673" s="31"/>
      <x:c r="D673" s="31" t="n">
        <x:v>669</x:v>
      </x:c>
      <x:c r="E673" s="42" t="n">
        <x:v>0.012404089946315389</x:v>
      </x:c>
      <x:c r="F673" s="42" t="n">
        <x:v>-0.006909387412448247</x:v>
      </x:c>
      <x:c r="G673" s="43" t="n">
        <x:v>1.032485175695505</x:v>
      </x:c>
      <x:c r="H673" s="32" t="n">
        <x:v>774652.8903141009</x:v>
      </x:c>
      <x:c r="I673" s="50" t="b">
        <x:v>1</x:v>
      </x:c>
      <x:c r="J673" s="50" t="b">
        <x:v>0</x:v>
      </x:c>
      <x:c r="K673" s="31"/>
      <x:c r="L673" s="31"/>
    </x:row>
    <x:row r="674">
      <x:c r="A674" s="31"/>
      <x:c r="B674" s="31"/>
      <x:c r="C674" s="31"/>
      <x:c r="D674" s="31" t="n">
        <x:v>670</x:v>
      </x:c>
      <x:c r="E674" s="42" t="n">
        <x:v>0.01740272894788125</x:v>
      </x:c>
      <x:c r="F674" s="42" t="n">
        <x:v>-0.0074547129091400285</x:v>
      </x:c>
      <x:c r="G674" s="43" t="n">
        <x:v>0.9631597080522186</x:v>
      </x:c>
      <x:c r="H674" s="32" t="n">
        <x:v>1230350.4561898794</x:v>
      </x:c>
      <x:c r="I674" s="50" t="b">
        <x:v>0</x:v>
      </x:c>
      <x:c r="J674" s="50" t="b">
        <x:v>0</x:v>
      </x:c>
      <x:c r="K674" s="31"/>
      <x:c r="L674" s="31"/>
    </x:row>
    <x:row r="675">
      <x:c r="A675" s="31"/>
      <x:c r="B675" s="31"/>
      <x:c r="C675" s="31"/>
      <x:c r="D675" s="31" t="n">
        <x:v>671</x:v>
      </x:c>
      <x:c r="E675" s="42" t="n">
        <x:v>-0.014422358116369676</x:v>
      </x:c>
      <x:c r="F675" s="42" t="n">
        <x:v>0.008386135253622338</x:v>
      </x:c>
      <x:c r="G675" s="43" t="n">
        <x:v>0.995282663530184</x:v>
      </x:c>
      <x:c r="H675" s="32" t="n">
        <x:v>893667.7512289152</x:v>
      </x:c>
      <x:c r="I675" s="50" t="b">
        <x:v>1</x:v>
      </x:c>
      <x:c r="J675" s="50" t="b">
        <x:v>0</x:v>
      </x:c>
      <x:c r="K675" s="31"/>
      <x:c r="L675" s="31"/>
    </x:row>
    <x:row r="676">
      <x:c r="A676" s="31"/>
      <x:c r="B676" s="31"/>
      <x:c r="C676" s="31"/>
      <x:c r="D676" s="31" t="n">
        <x:v>672</x:v>
      </x:c>
      <x:c r="E676" s="42" t="n">
        <x:v>0.0011740346742946158</x:v>
      </x:c>
      <x:c r="F676" s="42" t="n">
        <x:v>-0.01081992314430782</x:v>
      </x:c>
      <x:c r="G676" s="43" t="n">
        <x:v>0.9712849371375725</x:v>
      </x:c>
      <x:c r="H676" s="32" t="n">
        <x:v>1142943.7040218748</x:v>
      </x:c>
      <x:c r="I676" s="50" t="b">
        <x:v>0</x:v>
      </x:c>
      <x:c r="J676" s="50" t="b">
        <x:v>0</x:v>
      </x:c>
      <x:c r="K676" s="31"/>
      <x:c r="L676" s="31"/>
    </x:row>
    <x:row r="677">
      <x:c r="A677" s="31"/>
      <x:c r="B677" s="31"/>
      <x:c r="C677" s="31"/>
      <x:c r="D677" s="31" t="n">
        <x:v>673</x:v>
      </x:c>
      <x:c r="E677" s="42" t="n">
        <x:v>-0.0014799923563506951</x:v>
      </x:c>
      <x:c r="F677" s="42" t="n">
        <x:v>0.0022137792471453414</x:v>
      </x:c>
      <x:c r="G677" s="43" t="n">
        <x:v>0.9252408107772401</x:v>
      </x:c>
      <x:c r="H677" s="32" t="n">
        <x:v>1391689.373585584</x:v>
      </x:c>
      <x:c r="I677" s="50" t="b">
        <x:v>0</x:v>
      </x:c>
      <x:c r="J677" s="50" t="b">
        <x:v>0</x:v>
      </x:c>
      <x:c r="K677" s="31"/>
      <x:c r="L677" s="31"/>
    </x:row>
    <x:row r="678">
      <x:c r="A678" s="31"/>
      <x:c r="B678" s="31"/>
      <x:c r="C678" s="31"/>
      <x:c r="D678" s="31" t="n">
        <x:v>674</x:v>
      </x:c>
      <x:c r="E678" s="42" t="n">
        <x:v>-0.010430453537449593</x:v>
      </x:c>
      <x:c r="F678" s="42" t="n">
        <x:v>-0.004193313111818162</x:v>
      </x:c>
      <x:c r="G678" s="43" t="n">
        <x:v>0.9427157613987944</x:v>
      </x:c>
      <x:c r="H678" s="32" t="n">
        <x:v>1273631.5373873904</x:v>
      </x:c>
      <x:c r="I678" s="50" t="b">
        <x:v>0</x:v>
      </x:c>
      <x:c r="J678" s="50" t="b">
        <x:v>0</x:v>
      </x:c>
      <x:c r="K678" s="31"/>
      <x:c r="L678" s="31"/>
    </x:row>
    <x:row r="679">
      <x:c r="A679" s="31"/>
      <x:c r="B679" s="31"/>
      <x:c r="C679" s="31"/>
      <x:c r="D679" s="31" t="n">
        <x:v>675</x:v>
      </x:c>
      <x:c r="E679" s="42" t="n">
        <x:v>-0.007190120837209508</x:v>
      </x:c>
      <x:c r="F679" s="42" t="n">
        <x:v>0.0023038288067685703</x:v>
      </x:c>
      <x:c r="G679" s="43" t="n">
        <x:v>0.9671184454125485</x:v>
      </x:c>
      <x:c r="H679" s="32" t="n">
        <x:v>1109591.8105734186</x:v>
      </x:c>
      <x:c r="I679" s="50" t="b">
        <x:v>0</x:v>
      </x:c>
      <x:c r="J679" s="50" t="b">
        <x:v>0</x:v>
      </x:c>
      <x:c r="K679" s="31"/>
      <x:c r="L679" s="31"/>
    </x:row>
    <x:row r="680">
      <x:c r="A680" s="31"/>
      <x:c r="B680" s="31"/>
      <x:c r="C680" s="31"/>
      <x:c r="D680" s="31" t="n">
        <x:v>676</x:v>
      </x:c>
      <x:c r="E680" s="42" t="n">
        <x:v>-0.001739377626475453</x:v>
      </x:c>
      <x:c r="F680" s="42" t="n">
        <x:v>0.015070946840108247</x:v>
      </x:c>
      <x:c r="G680" s="43" t="n">
        <x:v>0.9745243829003154</x:v>
      </x:c>
      <x:c r="H680" s="32" t="n">
        <x:v>1042193.5709342381</x:v>
      </x:c>
      <x:c r="I680" s="50" t="b">
        <x:v>0</x:v>
      </x:c>
      <x:c r="J680" s="50" t="b">
        <x:v>0</x:v>
      </x:c>
      <x:c r="K680" s="31"/>
      <x:c r="L680" s="31"/>
    </x:row>
    <x:row r="681">
      <x:c r="A681" s="31"/>
      <x:c r="B681" s="31"/>
      <x:c r="C681" s="31"/>
      <x:c r="D681" s="31" t="n">
        <x:v>677</x:v>
      </x:c>
      <x:c r="E681" s="42" t="n">
        <x:v>0.006249316769331645</x:v>
      </x:c>
      <x:c r="F681" s="42" t="n">
        <x:v>0.006538922950897428</x:v>
      </x:c>
      <x:c r="G681" s="43" t="n">
        <x:v>1.057652162122992</x:v>
      </x:c>
      <x:c r="H681" s="32" t="n">
        <x:v>560259.0849597948</x:v>
      </x:c>
      <x:c r="I681" s="50" t="b">
        <x:v>1</x:v>
      </x:c>
      <x:c r="J681" s="50" t="b">
        <x:v>0</x:v>
      </x:c>
      <x:c r="K681" s="31"/>
      <x:c r="L681" s="31"/>
    </x:row>
    <x:row r="682">
      <x:c r="A682" s="31"/>
      <x:c r="B682" s="31"/>
      <x:c r="C682" s="31"/>
      <x:c r="D682" s="31" t="n">
        <x:v>678</x:v>
      </x:c>
      <x:c r="E682" s="42" t="n">
        <x:v>0.012289408367735363</x:v>
      </x:c>
      <x:c r="F682" s="42" t="n">
        <x:v>0.0022820116652854934</x:v>
      </x:c>
      <x:c r="G682" s="43" t="n">
        <x:v>0.9077407479559304</x:v>
      </x:c>
      <x:c r="H682" s="32" t="n">
        <x:v>1540964.672228216</x:v>
      </x:c>
      <x:c r="I682" s="50" t="b">
        <x:v>0</x:v>
      </x:c>
      <x:c r="J682" s="50" t="b">
        <x:v>0</x:v>
      </x:c>
      <x:c r="K682" s="31"/>
      <x:c r="L682" s="31"/>
    </x:row>
    <x:row r="683">
      <x:c r="A683" s="31"/>
      <x:c r="B683" s="31"/>
      <x:c r="C683" s="31"/>
      <x:c r="D683" s="31" t="n">
        <x:v>679</x:v>
      </x:c>
      <x:c r="E683" s="42" t="n">
        <x:v>0.0018076924000190253</x:v>
      </x:c>
      <x:c r="F683" s="42" t="n">
        <x:v>0.005606504951390913</x:v>
      </x:c>
      <x:c r="G683" s="43" t="n">
        <x:v>0.9992673407820116</x:v>
      </x:c>
      <x:c r="H683" s="32" t="n">
        <x:v>921276.0965516656</x:v>
      </x:c>
      <x:c r="I683" s="50" t="b">
        <x:v>1</x:v>
      </x:c>
      <x:c r="J683" s="50" t="b">
        <x:v>0</x:v>
      </x:c>
      <x:c r="K683" s="31"/>
      <x:c r="L683" s="31"/>
    </x:row>
    <x:row r="684">
      <x:c r="A684" s="31"/>
      <x:c r="B684" s="31"/>
      <x:c r="C684" s="31"/>
      <x:c r="D684" s="31" t="n">
        <x:v>680</x:v>
      </x:c>
      <x:c r="E684" s="42" t="n">
        <x:v>-0.004788951944705701</x:v>
      </x:c>
      <x:c r="F684" s="42" t="n">
        <x:v>-0.005941673294885607</x:v>
      </x:c>
      <x:c r="G684" s="43" t="n">
        <x:v>1.0474218835820295</x:v>
      </x:c>
      <x:c r="H684" s="32" t="n">
        <x:v>629243.3497252716</x:v>
      </x:c>
      <x:c r="I684" s="50" t="b">
        <x:v>1</x:v>
      </x:c>
      <x:c r="J684" s="50" t="b">
        <x:v>0</x:v>
      </x:c>
      <x:c r="K684" s="31"/>
      <x:c r="L684" s="31"/>
    </x:row>
    <x:row r="685">
      <x:c r="A685" s="31"/>
      <x:c r="B685" s="31"/>
      <x:c r="C685" s="31"/>
      <x:c r="D685" s="31" t="n">
        <x:v>681</x:v>
      </x:c>
      <x:c r="E685" s="42" t="n">
        <x:v>-0.004076057462881657</x:v>
      </x:c>
      <x:c r="F685" s="42" t="n">
        <x:v>-0.004076849065343754</x:v>
      </x:c>
      <x:c r="G685" s="43" t="n">
        <x:v>1.066665542035538</x:v>
      </x:c>
      <x:c r="H685" s="32" t="n">
        <x:v>503826.0676516703</x:v>
      </x:c>
      <x:c r="I685" s="50" t="b">
        <x:v>1</x:v>
      </x:c>
      <x:c r="J685" s="50" t="b">
        <x:v>0</x:v>
      </x:c>
      <x:c r="K685" s="31"/>
      <x:c r="L685" s="31"/>
    </x:row>
    <x:row r="686">
      <x:c r="A686" s="31"/>
      <x:c r="B686" s="31"/>
      <x:c r="C686" s="31"/>
      <x:c r="D686" s="31" t="n">
        <x:v>682</x:v>
      </x:c>
      <x:c r="E686" s="42" t="n">
        <x:v>0.007676550702394681</x:v>
      </x:c>
      <x:c r="F686" s="42" t="n">
        <x:v>0.0007968397755516146</x:v>
      </x:c>
      <x:c r="G686" s="43" t="n">
        <x:v>0.964268869598979</x:v>
      </x:c>
      <x:c r="H686" s="32" t="n">
        <x:v>1173265.0822834198</x:v>
      </x:c>
      <x:c r="I686" s="50" t="b">
        <x:v>0</x:v>
      </x:c>
      <x:c r="J686" s="50" t="b">
        <x:v>0</x:v>
      </x:c>
      <x:c r="K686" s="31"/>
      <x:c r="L686" s="31"/>
    </x:row>
    <x:row r="687">
      <x:c r="A687" s="31"/>
      <x:c r="B687" s="31"/>
      <x:c r="C687" s="31"/>
      <x:c r="D687" s="31" t="n">
        <x:v>683</x:v>
      </x:c>
      <x:c r="E687" s="42" t="n">
        <x:v>-0.00436445879893297</x:v>
      </x:c>
      <x:c r="F687" s="42" t="n">
        <x:v>-0.005595149369914374</x:v>
      </x:c>
      <x:c r="G687" s="43" t="n">
        <x:v>0.9637781377475767</x:v>
      </x:c>
      <x:c r="H687" s="32" t="n">
        <x:v>1160657.403711423</x:v>
      </x:c>
      <x:c r="I687" s="50" t="b">
        <x:v>0</x:v>
      </x:c>
      <x:c r="J687" s="50" t="b">
        <x:v>0</x:v>
      </x:c>
      <x:c r="K687" s="31"/>
      <x:c r="L687" s="31"/>
    </x:row>
    <x:row r="688">
      <x:c r="A688" s="31"/>
      <x:c r="B688" s="31"/>
      <x:c r="C688" s="31"/>
      <x:c r="D688" s="31" t="n">
        <x:v>684</x:v>
      </x:c>
      <x:c r="E688" s="42" t="n">
        <x:v>0.006590637975047712</x:v>
      </x:c>
      <x:c r="F688" s="42" t="n">
        <x:v>0.00446952046792311</x:v>
      </x:c>
      <x:c r="G688" s="43" t="n">
        <x:v>1.0311593747023622</x:v>
      </x:c>
      <x:c r="H688" s="32" t="n">
        <x:v>735217.3508517654</x:v>
      </x:c>
      <x:c r="I688" s="50" t="b">
        <x:v>1</x:v>
      </x:c>
      <x:c r="J688" s="50" t="b">
        <x:v>0</x:v>
      </x:c>
      <x:c r="K688" s="31"/>
      <x:c r="L688" s="31"/>
    </x:row>
    <x:row r="689">
      <x:c r="A689" s="31"/>
      <x:c r="B689" s="31"/>
      <x:c r="C689" s="31"/>
      <x:c r="D689" s="31" t="n">
        <x:v>685</x:v>
      </x:c>
      <x:c r="E689" s="42" t="n">
        <x:v>-0.013129029707213444</x:v>
      </x:c>
      <x:c r="F689" s="42" t="n">
        <x:v>0.005393281253499218</x:v>
      </x:c>
      <x:c r="G689" s="43" t="n">
        <x:v>1.0005048500746259</x:v>
      </x:c>
      <x:c r="H689" s="32" t="n">
        <x:v>872433.8519156962</x:v>
      </x:c>
      <x:c r="I689" s="50" t="b">
        <x:v>1</x:v>
      </x:c>
      <x:c r="J689" s="50" t="b">
        <x:v>0</x:v>
      </x:c>
      <x:c r="K689" s="31"/>
      <x:c r="L689" s="31"/>
    </x:row>
    <x:row r="690">
      <x:c r="A690" s="31"/>
      <x:c r="B690" s="31"/>
      <x:c r="C690" s="31"/>
      <x:c r="D690" s="31" t="n">
        <x:v>686</x:v>
      </x:c>
      <x:c r="E690" s="42" t="n">
        <x:v>0.006442655185846072</x:v>
      </x:c>
      <x:c r="F690" s="42" t="n">
        <x:v>0.005855292580083812</x:v>
      </x:c>
      <x:c r="G690" s="43" t="n">
        <x:v>1.0461191392580083</x:v>
      </x:c>
      <x:c r="H690" s="32" t="n">
        <x:v>635943.0102264159</x:v>
      </x:c>
      <x:c r="I690" s="50" t="b">
        <x:v>1</x:v>
      </x:c>
      <x:c r="J690" s="50" t="b">
        <x:v>0</x:v>
      </x:c>
      <x:c r="K690" s="31"/>
      <x:c r="L690" s="31"/>
    </x:row>
    <x:row r="691">
      <x:c r="A691" s="31"/>
      <x:c r="B691" s="31"/>
      <x:c r="C691" s="31"/>
      <x:c r="D691" s="31" t="n">
        <x:v>687</x:v>
      </x:c>
      <x:c r="E691" s="42" t="n">
        <x:v>-0.007514376841414357</x:v>
      </x:c>
      <x:c r="F691" s="42" t="n">
        <x:v>0.0008671775676270489</x:v>
      </x:c>
      <x:c r="G691" s="43" t="n">
        <x:v>1.0146380699738429</x:v>
      </x:c>
      <x:c r="H691" s="32" t="n">
        <x:v>810904.9166519044</x:v>
      </x:c>
      <x:c r="I691" s="50" t="b">
        <x:v>1</x:v>
      </x:c>
      <x:c r="J691" s="50" t="b">
        <x:v>0</x:v>
      </x:c>
      <x:c r="K691" s="31"/>
      <x:c r="L691" s="31"/>
    </x:row>
    <x:row r="692">
      <x:c r="A692" s="31"/>
      <x:c r="B692" s="31"/>
      <x:c r="C692" s="31"/>
      <x:c r="D692" s="31" t="n">
        <x:v>688</x:v>
      </x:c>
      <x:c r="E692" s="42" t="n">
        <x:v>0.008603840860127273</x:v>
      </x:c>
      <x:c r="F692" s="42" t="n">
        <x:v>0.005585856172441765</x:v>
      </x:c>
      <x:c r="G692" s="43" t="n">
        <x:v>0.9867086942674289</x:v>
      </x:c>
      <x:c r="H692" s="32" t="n">
        <x:v>1020007.1025287929</x:v>
      </x:c>
      <x:c r="I692" s="50" t="b">
        <x:v>0</x:v>
      </x:c>
      <x:c r="J692" s="50" t="b">
        <x:v>0</x:v>
      </x:c>
      <x:c r="K692" s="31"/>
      <x:c r="L692" s="31"/>
    </x:row>
    <x:row r="693">
      <x:c r="A693" s="31"/>
      <x:c r="B693" s="31"/>
      <x:c r="C693" s="31"/>
      <x:c r="D693" s="31" t="n">
        <x:v>689</x:v>
      </x:c>
      <x:c r="E693" s="42" t="n">
        <x:v>-0.001513185666674745</x:v>
      </x:c>
      <x:c r="F693" s="42" t="n">
        <x:v>-0.00687854254868632</x:v>
      </x:c>
      <x:c r="G693" s="43" t="n">
        <x:v>0.9778676816841336</x:v>
      </x:c>
      <x:c r="H693" s="32" t="n">
        <x:v>1082687.756425191</x:v>
      </x:c>
      <x:c r="I693" s="50" t="b">
        <x:v>0</x:v>
      </x:c>
      <x:c r="J693" s="50" t="b">
        <x:v>0</x:v>
      </x:c>
      <x:c r="K693" s="31"/>
      <x:c r="L693" s="31"/>
    </x:row>
    <x:row r="694">
      <x:c r="A694" s="31"/>
      <x:c r="B694" s="31"/>
      <x:c r="C694" s="31"/>
      <x:c r="D694" s="31" t="n">
        <x:v>690</x:v>
      </x:c>
      <x:c r="E694" s="42" t="n">
        <x:v>-0.00011987714511946056</x:v>
      </x:c>
      <x:c r="F694" s="42" t="n">
        <x:v>0.006670770654704502</x:v>
      </x:c>
      <x:c r="G694" s="43" t="n">
        <x:v>0.98593638609192</x:v>
      </x:c>
      <x:c r="H694" s="32" t="n">
        <x:v>997609.260463408</x:v>
      </x:c>
      <x:c r="I694" s="50" t="b">
        <x:v>1</x:v>
      </x:c>
      <x:c r="J694" s="50" t="b">
        <x:v>0</x:v>
      </x:c>
      <x:c r="K694" s="31"/>
      <x:c r="L694" s="31"/>
    </x:row>
    <x:row r="695">
      <x:c r="A695" s="31"/>
      <x:c r="B695" s="31"/>
      <x:c r="C695" s="31"/>
      <x:c r="D695" s="31" t="n">
        <x:v>691</x:v>
      </x:c>
      <x:c r="E695" s="42" t="n">
        <x:v>-0.011972161016231877</x:v>
      </x:c>
      <x:c r="F695" s="42" t="n">
        <x:v>0.005977243376275173</x:v>
      </x:c>
      <x:c r="G695" s="43" t="n">
        <x:v>0.969797297008778</x:v>
      </x:c>
      <x:c r="H695" s="32" t="n">
        <x:v>1069043.25997931</x:v>
      </x:c>
      <x:c r="I695" s="50" t="b">
        <x:v>0</x:v>
      </x:c>
      <x:c r="J695" s="50" t="b">
        <x:v>0</x:v>
      </x:c>
      <x:c r="K695" s="31"/>
      <x:c r="L695" s="31"/>
    </x:row>
    <x:row r="696">
      <x:c r="A696" s="31"/>
      <x:c r="B696" s="31"/>
      <x:c r="C696" s="31"/>
      <x:c r="D696" s="31" t="n">
        <x:v>692</x:v>
      </x:c>
      <x:c r="E696" s="42" t="n">
        <x:v>0.01503363649077311</x:v>
      </x:c>
      <x:c r="F696" s="42" t="n">
        <x:v>0.0009401797573495267</x:v>
      </x:c>
      <x:c r="G696" s="43" t="n">
        <x:v>1.0130005346371407</x:v>
      </x:c>
      <x:c r="H696" s="32" t="n">
        <x:v>883864.117493024</x:v>
      </x:c>
      <x:c r="I696" s="50" t="b">
        <x:v>1</x:v>
      </x:c>
      <x:c r="J696" s="50" t="b">
        <x:v>0</x:v>
      </x:c>
      <x:c r="K696" s="31"/>
      <x:c r="L696" s="31"/>
    </x:row>
    <x:row r="697">
      <x:c r="A697" s="31"/>
      <x:c r="B697" s="31"/>
      <x:c r="C697" s="31"/>
      <x:c r="D697" s="31" t="n">
        <x:v>693</x:v>
      </x:c>
      <x:c r="E697" s="42" t="n">
        <x:v>-0.01178848600598873</x:v>
      </x:c>
      <x:c r="F697" s="42" t="n">
        <x:v>0.002699184151603102</x:v>
      </x:c>
      <x:c r="G697" s="43" t="n">
        <x:v>0.9873264823415838</x:v>
      </x:c>
      <x:c r="H697" s="32" t="n">
        <x:v>967356.3324245894</x:v>
      </x:c>
      <x:c r="I697" s="50" t="b">
        <x:v>1</x:v>
      </x:c>
      <x:c r="J697" s="50" t="b">
        <x:v>0</x:v>
      </x:c>
      <x:c r="K697" s="31"/>
      <x:c r="L697" s="31"/>
    </x:row>
    <x:row r="698">
      <x:c r="A698" s="31"/>
      <x:c r="B698" s="31"/>
      <x:c r="C698" s="31"/>
      <x:c r="D698" s="31" t="n">
        <x:v>694</x:v>
      </x:c>
      <x:c r="E698" s="42" t="n">
        <x:v>-0.0016114593962456973</x:v>
      </x:c>
      <x:c r="F698" s="42" t="n">
        <x:v>0.00048393579974258016</x:v>
      </x:c>
      <x:c r="G698" s="43" t="n">
        <x:v>0.9817766446669355</x:v>
      </x:c>
      <x:c r="H698" s="32" t="n">
        <x:v>1037095.9042587706</x:v>
      </x:c>
      <x:c r="I698" s="50" t="b">
        <x:v>0</x:v>
      </x:c>
      <x:c r="J698" s="50" t="b">
        <x:v>0</x:v>
      </x:c>
      <x:c r="K698" s="31"/>
      <x:c r="L698" s="31"/>
    </x:row>
    <x:row r="699">
      <x:c r="A699" s="31"/>
      <x:c r="B699" s="31"/>
      <x:c r="C699" s="31"/>
      <x:c r="D699" s="31" t="n">
        <x:v>695</x:v>
      </x:c>
      <x:c r="E699" s="42" t="n">
        <x:v>-0.007245979566146985</x:v>
      </x:c>
      <x:c r="F699" s="42" t="n">
        <x:v>-0.005677486916036798</x:v>
      </x:c>
      <x:c r="G699" s="43" t="n">
        <x:v>0.9557971300774815</x:v>
      </x:c>
      <x:c r="H699" s="32" t="n">
        <x:v>1203550.8662498905</x:v>
      </x:c>
      <x:c r="I699" s="50" t="b">
        <x:v>0</x:v>
      </x:c>
      <x:c r="J699" s="50" t="b">
        <x:v>0</x:v>
      </x:c>
      <x:c r="K699" s="31"/>
      <x:c r="L699" s="31"/>
    </x:row>
    <x:row r="700">
      <x:c r="A700" s="31"/>
      <x:c r="B700" s="31"/>
      <x:c r="C700" s="31"/>
      <x:c r="D700" s="31" t="n">
        <x:v>696</x:v>
      </x:c>
      <x:c r="E700" s="42" t="n">
        <x:v>0.0018340770407197886</x:v>
      </x:c>
      <x:c r="F700" s="42" t="n">
        <x:v>0.001723579156593903</x:v>
      </x:c>
      <x:c r="G700" s="43" t="n">
        <x:v>0.8906635849172342</x:v>
      </x:c>
      <x:c r="H700" s="32" t="n">
        <x:v>1621868.5148182833</x:v>
      </x:c>
      <x:c r="I700" s="50" t="b">
        <x:v>0</x:v>
      </x:c>
      <x:c r="J700" s="50" t="b">
        <x:v>0</x:v>
      </x:c>
      <x:c r="K700" s="31"/>
      <x:c r="L700" s="31"/>
    </x:row>
    <x:row r="701">
      <x:c r="A701" s="31"/>
      <x:c r="B701" s="31"/>
      <x:c r="C701" s="31"/>
      <x:c r="D701" s="31" t="n">
        <x:v>697</x:v>
      </x:c>
      <x:c r="E701" s="42" t="n">
        <x:v>-0.017716687532354596</x:v>
      </x:c>
      <x:c r="F701" s="42" t="n">
        <x:v>-0.0011260072016466244</x:v>
      </x:c>
      <x:c r="G701" s="43" t="n">
        <x:v>0.9435822739779771</x:v>
      </x:c>
      <x:c r="H701" s="32" t="n">
        <x:v>1239309.2609947773</x:v>
      </x:c>
      <x:c r="I701" s="50" t="b">
        <x:v>0</x:v>
      </x:c>
      <x:c r="J701" s="50" t="b">
        <x:v>0</x:v>
      </x:c>
      <x:c r="K701" s="31"/>
      <x:c r="L701" s="31"/>
    </x:row>
    <x:row r="702">
      <x:c r="A702" s="31"/>
      <x:c r="B702" s="31"/>
      <x:c r="C702" s="31"/>
      <x:c r="D702" s="31" t="n">
        <x:v>698</x:v>
      </x:c>
      <x:c r="E702" s="42" t="n">
        <x:v>-0.0170102589956587</x:v>
      </x:c>
      <x:c r="F702" s="42" t="n">
        <x:v>0.001680688947982553</x:v>
      </x:c>
      <x:c r="G702" s="43" t="n">
        <x:v>0.9822626530447149</x:v>
      </x:c>
      <x:c r="H702" s="32" t="n">
        <x:v>987815.3179190601</x:v>
      </x:c>
      <x:c r="I702" s="50" t="b">
        <x:v>1</x:v>
      </x:c>
      <x:c r="J702" s="50" t="b">
        <x:v>0</x:v>
      </x:c>
      <x:c r="K702" s="31"/>
      <x:c r="L702" s="31"/>
    </x:row>
    <x:row r="703">
      <x:c r="A703" s="31"/>
      <x:c r="B703" s="31"/>
      <x:c r="C703" s="31"/>
      <x:c r="D703" s="31" t="n">
        <x:v>699</x:v>
      </x:c>
      <x:c r="E703" s="42" t="n">
        <x:v>0.015217070994665266</x:v>
      </x:c>
      <x:c r="F703" s="42" t="n">
        <x:v>0.004710203641867905</x:v>
      </x:c>
      <x:c r="G703" s="43" t="n">
        <x:v>1.0222227023950239</x:v>
      </x:c>
      <x:c r="H703" s="32" t="n">
        <x:v>815313.4697860619</x:v>
      </x:c>
      <x:c r="I703" s="50" t="b">
        <x:v>1</x:v>
      </x:c>
      <x:c r="J703" s="50" t="b">
        <x:v>0</x:v>
      </x:c>
      <x:c r="K703" s="31"/>
      <x:c r="L703" s="31"/>
    </x:row>
    <x:row r="704">
      <x:c r="A704" s="31"/>
      <x:c r="B704" s="31"/>
      <x:c r="C704" s="31"/>
      <x:c r="D704" s="31" t="n">
        <x:v>700</x:v>
      </x:c>
      <x:c r="E704" s="42" t="n">
        <x:v>-0.009985829338252107</x:v>
      </x:c>
      <x:c r="F704" s="42" t="n">
        <x:v>-0.0038313585372349445</x:v>
      </x:c>
      <x:c r="G704" s="43" t="n">
        <x:v>0.9346310144423748</x:v>
      </x:c>
      <x:c r="H704" s="32" t="n">
        <x:v>1325205.519141301</x:v>
      </x:c>
      <x:c r="I704" s="50" t="b">
        <x:v>0</x:v>
      </x:c>
      <x:c r="J704" s="50" t="b">
        <x:v>0</x:v>
      </x:c>
      <x:c r="K704" s="31"/>
      <x:c r="L704" s="31"/>
    </x:row>
    <x:row r="705">
      <x:c r="A705" s="31"/>
      <x:c r="B705" s="31"/>
      <x:c r="C705" s="31"/>
      <x:c r="D705" s="31" t="n">
        <x:v>701</x:v>
      </x:c>
      <x:c r="E705" s="42" t="n">
        <x:v>0.00018185474802335396</x:v>
      </x:c>
      <x:c r="F705" s="42" t="n">
        <x:v>0.004340221731861766</x:v>
      </x:c>
      <x:c r="G705" s="43" t="n">
        <x:v>1.0619984014012216</x:v>
      </x:c>
      <x:c r="H705" s="32" t="n">
        <x:v>521888.6059631866</x:v>
      </x:c>
      <x:c r="I705" s="50" t="b">
        <x:v>1</x:v>
      </x:c>
      <x:c r="J705" s="50" t="b">
        <x:v>0</x:v>
      </x:c>
      <x:c r="K705" s="31"/>
      <x:c r="L705" s="31"/>
    </x:row>
    <x:row r="706">
      <x:c r="A706" s="31"/>
      <x:c r="B706" s="31"/>
      <x:c r="C706" s="31"/>
      <x:c r="D706" s="31" t="n">
        <x:v>702</x:v>
      </x:c>
      <x:c r="E706" s="42" t="n">
        <x:v>-0.002438396006971965</x:v>
      </x:c>
      <x:c r="F706" s="42" t="n">
        <x:v>-0.0054194973517804595</x:v>
      </x:c>
      <x:c r="G706" s="43" t="n">
        <x:v>1.023835739045427</x:v>
      </x:c>
      <x:c r="H706" s="32" t="n">
        <x:v>784121.4081555454</x:v>
      </x:c>
      <x:c r="I706" s="50" t="b">
        <x:v>1</x:v>
      </x:c>
      <x:c r="J706" s="50" t="b">
        <x:v>0</x:v>
      </x:c>
      <x:c r="K706" s="31"/>
      <x:c r="L706" s="31"/>
    </x:row>
    <x:row r="707">
      <x:c r="A707" s="31"/>
      <x:c r="B707" s="31"/>
      <x:c r="C707" s="31"/>
      <x:c r="D707" s="31" t="n">
        <x:v>703</x:v>
      </x:c>
      <x:c r="E707" s="42" t="n">
        <x:v>0.0031927369840099576</x:v>
      </x:c>
      <x:c r="F707" s="42" t="n">
        <x:v>0.008728036077434899</x:v>
      </x:c>
      <x:c r="G707" s="43" t="n">
        <x:v>1.0111119337406158</x:v>
      </x:c>
      <x:c r="H707" s="32" t="n">
        <x:v>841220.993805096</x:v>
      </x:c>
      <x:c r="I707" s="50" t="b">
        <x:v>1</x:v>
      </x:c>
      <x:c r="J707" s="50" t="b">
        <x:v>0</x:v>
      </x:c>
      <x:c r="K707" s="31"/>
      <x:c r="L707" s="31"/>
    </x:row>
    <x:row r="708">
      <x:c r="A708" s="31"/>
      <x:c r="B708" s="31"/>
      <x:c r="C708" s="31"/>
      <x:c r="D708" s="31" t="n">
        <x:v>704</x:v>
      </x:c>
      <x:c r="E708" s="42" t="n">
        <x:v>0.010073111438400138</x:v>
      </x:c>
      <x:c r="F708" s="42" t="n">
        <x:v>-0.007581780705801821</x:v>
      </x:c>
      <x:c r="G708" s="43" t="n">
        <x:v>1.0318036711254566</x:v>
      </x:c>
      <x:c r="H708" s="32" t="n">
        <x:v>774364.2182853488</x:v>
      </x:c>
      <x:c r="I708" s="50" t="b">
        <x:v>1</x:v>
      </x:c>
      <x:c r="J708" s="50" t="b">
        <x:v>0</x:v>
      </x:c>
      <x:c r="K708" s="31"/>
      <x:c r="L708" s="31"/>
    </x:row>
    <x:row r="709">
      <x:c r="A709" s="31"/>
      <x:c r="B709" s="31"/>
      <x:c r="C709" s="31"/>
      <x:c r="D709" s="31" t="n">
        <x:v>705</x:v>
      </x:c>
      <x:c r="E709" s="42" t="n">
        <x:v>0.009207168254949012</x:v>
      </x:c>
      <x:c r="F709" s="42" t="n">
        <x:v>0.0021372743320875434</x:v>
      </x:c>
      <x:c r="G709" s="43" t="n">
        <x:v>1.1073028087654548</x:v>
      </x:c>
      <x:c r="H709" s="32" t="n">
        <x:v>265427.64645203867</x:v>
      </x:c>
      <x:c r="I709" s="50" t="b">
        <x:v>1</x:v>
      </x:c>
      <x:c r="J709" s="50" t="b">
        <x:v>0</x:v>
      </x:c>
      <x:c r="K709" s="31"/>
      <x:c r="L709" s="31"/>
    </x:row>
    <x:row r="710">
      <x:c r="A710" s="31"/>
      <x:c r="B710" s="31"/>
      <x:c r="C710" s="31"/>
      <x:c r="D710" s="31" t="n">
        <x:v>706</x:v>
      </x:c>
      <x:c r="E710" s="42" t="n">
        <x:v>0.008147357808288033</x:v>
      </x:c>
      <x:c r="F710" s="42" t="n">
        <x:v>-0.004428094835956958</x:v>
      </x:c>
      <x:c r="G710" s="43" t="n">
        <x:v>1.0348575882516364</x:v>
      </x:c>
      <x:c r="H710" s="32" t="n">
        <x:v>740830.9492222844</x:v>
      </x:c>
      <x:c r="I710" s="50" t="b">
        <x:v>1</x:v>
      </x:c>
      <x:c r="J710" s="50" t="b">
        <x:v>0</x:v>
      </x:c>
      <x:c r="K710" s="31"/>
      <x:c r="L710" s="31"/>
    </x:row>
    <x:row r="711">
      <x:c r="A711" s="31"/>
      <x:c r="B711" s="31"/>
      <x:c r="C711" s="31"/>
      <x:c r="D711" s="31" t="n">
        <x:v>707</x:v>
      </x:c>
      <x:c r="E711" s="42" t="n">
        <x:v>0.0012152208390266506</x:v>
      </x:c>
      <x:c r="F711" s="42" t="n">
        <x:v>-0.003301896971626111</x:v>
      </x:c>
      <x:c r="G711" s="43" t="n">
        <x:v>1.0307725361643143</x:v>
      </x:c>
      <x:c r="H711" s="32" t="n">
        <x:v>744343.3694938779</x:v>
      </x:c>
      <x:c r="I711" s="50" t="b">
        <x:v>1</x:v>
      </x:c>
      <x:c r="J711" s="50" t="b">
        <x:v>0</x:v>
      </x:c>
      <x:c r="K711" s="31"/>
      <x:c r="L711" s="31"/>
    </x:row>
    <x:row r="712">
      <x:c r="A712" s="31"/>
      <x:c r="B712" s="31"/>
      <x:c r="C712" s="31"/>
      <x:c r="D712" s="31" t="n">
        <x:v>708</x:v>
      </x:c>
      <x:c r="E712" s="42" t="n">
        <x:v>0.0031175423558281305</x:v>
      </x:c>
      <x:c r="F712" s="42" t="n">
        <x:v>0.01679982124257233</x:v>
      </x:c>
      <x:c r="G712" s="43" t="n">
        <x:v>1.020890779902847</x:v>
      </x:c>
      <x:c r="H712" s="32" t="n">
        <x:v>756441.0961741051</x:v>
      </x:c>
      <x:c r="I712" s="50" t="b">
        <x:v>1</x:v>
      </x:c>
      <x:c r="J712" s="50" t="b">
        <x:v>0</x:v>
      </x:c>
      <x:c r="K712" s="31"/>
      <x:c r="L712" s="31"/>
    </x:row>
    <x:row r="713">
      <x:c r="A713" s="31"/>
      <x:c r="B713" s="31"/>
      <x:c r="C713" s="31"/>
      <x:c r="D713" s="31" t="n">
        <x:v>709</x:v>
      </x:c>
      <x:c r="E713" s="42" t="n">
        <x:v>-0.02021206970339521</x:v>
      </x:c>
      <x:c r="F713" s="42" t="n">
        <x:v>0.0165187826153457</x:v>
      </x:c>
      <x:c r="G713" s="43" t="n">
        <x:v>1.0246931695911896</x:v>
      </x:c>
      <x:c r="H713" s="32" t="n">
        <x:v>668137.0136418703</x:v>
      </x:c>
      <x:c r="I713" s="50" t="b">
        <x:v>1</x:v>
      </x:c>
      <x:c r="J713" s="50" t="b">
        <x:v>0</x:v>
      </x:c>
      <x:c r="K713" s="31"/>
      <x:c r="L713" s="31"/>
    </x:row>
    <x:row r="714">
      <x:c r="A714" s="31"/>
      <x:c r="B714" s="31"/>
      <x:c r="C714" s="31"/>
      <x:c r="D714" s="31" t="n">
        <x:v>710</x:v>
      </x:c>
      <x:c r="E714" s="42" t="n">
        <x:v>0.01406488506377554</x:v>
      </x:c>
      <x:c r="F714" s="42" t="n">
        <x:v>0.008117638371326289</x:v>
      </x:c>
      <x:c r="G714" s="43" t="n">
        <x:v>0.9271202852971218</x:v>
      </x:c>
      <x:c r="H714" s="32" t="n">
        <x:v>1406589.367419852</x:v>
      </x:c>
      <x:c r="I714" s="50" t="b">
        <x:v>0</x:v>
      </x:c>
      <x:c r="J714" s="50" t="b">
        <x:v>0</x:v>
      </x:c>
      <x:c r="K714" s="31"/>
      <x:c r="L714" s="31"/>
    </x:row>
    <x:row r="715">
      <x:c r="A715" s="31"/>
      <x:c r="B715" s="31"/>
      <x:c r="C715" s="31"/>
      <x:c r="D715" s="31" t="n">
        <x:v>711</x:v>
      </x:c>
      <x:c r="E715" s="42" t="n">
        <x:v>0.002982726183355035</x:v>
      </x:c>
      <x:c r="F715" s="42" t="n">
        <x:v>-0.0040308830900073</x:v>
      </x:c>
      <x:c r="G715" s="43" t="n">
        <x:v>0.9885121354592648</x:v>
      </x:c>
      <x:c r="H715" s="32" t="n">
        <x:v>1019675.8833148462</x:v>
      </x:c>
      <x:c r="I715" s="50" t="b">
        <x:v>0</x:v>
      </x:c>
      <x:c r="J715" s="50" t="b">
        <x:v>0</x:v>
      </x:c>
      <x:c r="K715" s="31"/>
      <x:c r="L715" s="31"/>
    </x:row>
    <x:row r="716">
      <x:c r="A716" s="31"/>
      <x:c r="B716" s="31"/>
      <x:c r="C716" s="31"/>
      <x:c r="D716" s="31" t="n">
        <x:v>712</x:v>
      </x:c>
      <x:c r="E716" s="42" t="n">
        <x:v>0.014295817531007263</x:v>
      </x:c>
      <x:c r="F716" s="42" t="n">
        <x:v>-0.008315573244953096</x:v>
      </x:c>
      <x:c r="G716" s="43" t="n">
        <x:v>0.981547378885192</x:v>
      </x:c>
      <x:c r="H716" s="32" t="n">
        <x:v>1107323.7907574568</x:v>
      </x:c>
      <x:c r="I716" s="50" t="b">
        <x:v>0</x:v>
      </x:c>
      <x:c r="J716" s="50" t="b">
        <x:v>0</x:v>
      </x:c>
      <x:c r="K716" s="31"/>
      <x:c r="L716" s="31"/>
    </x:row>
    <x:row r="717">
      <x:c r="A717" s="31"/>
      <x:c r="B717" s="31"/>
      <x:c r="C717" s="31"/>
      <x:c r="D717" s="31" t="n">
        <x:v>713</x:v>
      </x:c>
      <x:c r="E717" s="42" t="n">
        <x:v>0.006983164650186663</x:v>
      </x:c>
      <x:c r="F717" s="42" t="n">
        <x:v>-0.013113788069720656</x:v>
      </x:c>
      <x:c r="G717" s="43" t="n">
        <x:v>0.9435219269443598</x:v>
      </x:c>
      <x:c r="H717" s="32" t="n">
        <x:v>1341813.347224848</x:v>
      </x:c>
      <x:c r="I717" s="50" t="b">
        <x:v>0</x:v>
      </x:c>
      <x:c r="J717" s="50" t="b">
        <x:v>0</x:v>
      </x:c>
      <x:c r="K717" s="31"/>
      <x:c r="L717" s="31"/>
    </x:row>
    <x:row r="718">
      <x:c r="A718" s="31"/>
      <x:c r="B718" s="31"/>
      <x:c r="C718" s="31"/>
      <x:c r="D718" s="31" t="n">
        <x:v>714</x:v>
      </x:c>
      <x:c r="E718" s="42" t="n">
        <x:v>-0.00702615043716428</x:v>
      </x:c>
      <x:c r="F718" s="42" t="n">
        <x:v>-0.0011008751479974885</x:v>
      </x:c>
      <x:c r="G718" s="43" t="n">
        <x:v>1.0389462988055658</x:v>
      </x:c>
      <x:c r="H718" s="32" t="n">
        <x:v>663367.555167405</x:v>
      </x:c>
      <x:c r="I718" s="50" t="b">
        <x:v>1</x:v>
      </x:c>
      <x:c r="J718" s="50" t="b">
        <x:v>0</x:v>
      </x:c>
      <x:c r="K718" s="31"/>
      <x:c r="L718" s="31"/>
    </x:row>
    <x:row r="719">
      <x:c r="A719" s="31"/>
      <x:c r="B719" s="31"/>
      <x:c r="C719" s="31"/>
      <x:c r="D719" s="31" t="n">
        <x:v>715</x:v>
      </x:c>
      <x:c r="E719" s="42" t="n">
        <x:v>-0.017856846857532114</x:v>
      </x:c>
      <x:c r="F719" s="42" t="n">
        <x:v>-0.006657765720263939</x:v>
      </x:c>
      <x:c r="G719" s="43" t="n">
        <x:v>0.9973560847998776</x:v>
      </x:c>
      <x:c r="H719" s="32" t="n">
        <x:v>912815.1139983885</x:v>
      </x:c>
      <x:c r="I719" s="50" t="b">
        <x:v>1</x:v>
      </x:c>
      <x:c r="J719" s="50" t="b">
        <x:v>0</x:v>
      </x:c>
      <x:c r="K719" s="31"/>
      <x:c r="L719" s="31"/>
    </x:row>
    <x:row r="720">
      <x:c r="A720" s="31"/>
      <x:c r="B720" s="31"/>
      <x:c r="C720" s="31"/>
      <x:c r="D720" s="31" t="n">
        <x:v>716</x:v>
      </x:c>
      <x:c r="E720" s="42" t="n">
        <x:v>-0.013055057078182676</x:v>
      </x:c>
      <x:c r="F720" s="42" t="n">
        <x:v>0.0035299478393543563</x:v>
      </x:c>
      <x:c r="G720" s="43" t="n">
        <x:v>1.052690943306612</x:v>
      </x:c>
      <x:c r="H720" s="32" t="n">
        <x:v>546407.7345292649</x:v>
      </x:c>
      <x:c r="I720" s="50" t="b">
        <x:v>1</x:v>
      </x:c>
      <x:c r="J720" s="50" t="b">
        <x:v>0</x:v>
      </x:c>
      <x:c r="K720" s="31"/>
      <x:c r="L720" s="31"/>
    </x:row>
    <x:row r="721">
      <x:c r="A721" s="31"/>
      <x:c r="B721" s="31"/>
      <x:c r="C721" s="31"/>
      <x:c r="D721" s="31" t="n">
        <x:v>717</x:v>
      </x:c>
      <x:c r="E721" s="42" t="n">
        <x:v>0.0037515743791521625</x:v>
      </x:c>
      <x:c r="F721" s="42" t="n">
        <x:v>0.008958521016290941</x:v>
      </x:c>
      <x:c r="G721" s="43" t="n">
        <x:v>0.9907878121343564</x:v>
      </x:c>
      <x:c r="H721" s="32" t="n">
        <x:v>971207.5364670441</x:v>
      </x:c>
      <x:c r="I721" s="50" t="b">
        <x:v>1</x:v>
      </x:c>
      <x:c r="J721" s="50" t="b">
        <x:v>0</x:v>
      </x:c>
      <x:c r="K721" s="31"/>
      <x:c r="L721" s="31"/>
    </x:row>
    <x:row r="722">
      <x:c r="A722" s="31"/>
      <x:c r="B722" s="31"/>
      <x:c r="C722" s="31"/>
      <x:c r="D722" s="31" t="n">
        <x:v>718</x:v>
      </x:c>
      <x:c r="E722" s="42" t="n">
        <x:v>0.000952001312585943</x:v>
      </x:c>
      <x:c r="F722" s="42" t="n">
        <x:v>-0.007848352783791963</x:v>
      </x:c>
      <x:c r="G722" s="43" t="n">
        <x:v>1.050407512545968</x:v>
      </x:c>
      <x:c r="H722" s="32" t="n">
        <x:v>631569.8465659074</x:v>
      </x:c>
      <x:c r="I722" s="50" t="b">
        <x:v>1</x:v>
      </x:c>
      <x:c r="J722" s="50" t="b">
        <x:v>0</x:v>
      </x:c>
      <x:c r="K722" s="31"/>
      <x:c r="L722" s="31"/>
    </x:row>
    <x:row r="723">
      <x:c r="A723" s="31"/>
      <x:c r="B723" s="31"/>
      <x:c r="C723" s="31"/>
      <x:c r="D723" s="31" t="n">
        <x:v>719</x:v>
      </x:c>
      <x:c r="E723" s="42" t="n">
        <x:v>0.0002816269471354419</x:v>
      </x:c>
      <x:c r="F723" s="42" t="n">
        <x:v>0.0019122384318824167</x:v>
      </x:c>
      <x:c r="G723" s="43" t="n">
        <x:v>0.8911396830008885</x:v>
      </x:c>
      <x:c r="H723" s="32" t="n">
        <x:v>1613998.5382785676</x:v>
      </x:c>
      <x:c r="I723" s="50" t="b">
        <x:v>0</x:v>
      </x:c>
      <x:c r="J723" s="50" t="b">
        <x:v>0</x:v>
      </x:c>
      <x:c r="K723" s="31"/>
      <x:c r="L723" s="31"/>
    </x:row>
    <x:row r="724">
      <x:c r="A724" s="31"/>
      <x:c r="B724" s="31"/>
      <x:c r="C724" s="31"/>
      <x:c r="D724" s="31" t="n">
        <x:v>720</x:v>
      </x:c>
      <x:c r="E724" s="42" t="n">
        <x:v>0.0011936300547869903</x:v>
      </x:c>
      <x:c r="F724" s="42" t="n">
        <x:v>0.004779021800522046</x:v>
      </x:c>
      <x:c r="G724" s="43" t="n">
        <x:v>1.0134773482082664</x:v>
      </x:c>
      <x:c r="H724" s="32" t="n">
        <x:v>831626.5470062355</x:v>
      </x:c>
      <x:c r="I724" s="50" t="b">
        <x:v>1</x:v>
      </x:c>
      <x:c r="J724" s="50" t="b">
        <x:v>0</x:v>
      </x:c>
      <x:c r="K724" s="31"/>
      <x:c r="L724" s="31"/>
    </x:row>
    <x:row r="725">
      <x:c r="A725" s="31"/>
      <x:c r="B725" s="31"/>
      <x:c r="C725" s="31"/>
      <x:c r="D725" s="31" t="n">
        <x:v>721</x:v>
      </x:c>
      <x:c r="E725" s="42" t="n">
        <x:v>0.006319155299684225</x:v>
      </x:c>
      <x:c r="F725" s="42" t="n">
        <x:v>0.00014039642640427042</x:v>
      </x:c>
      <x:c r="G725" s="43" t="n">
        <x:v>1.035944323985171</x:v>
      </x:c>
      <x:c r="H725" s="32" t="n">
        <x:v>716124.0687543431</x:v>
      </x:c>
      <x:c r="I725" s="50" t="b">
        <x:v>1</x:v>
      </x:c>
      <x:c r="J725" s="50" t="b">
        <x:v>0</x:v>
      </x:c>
      <x:c r="K725" s="31"/>
      <x:c r="L725" s="31"/>
    </x:row>
    <x:row r="726">
      <x:c r="A726" s="31"/>
      <x:c r="B726" s="31"/>
      <x:c r="C726" s="31"/>
      <x:c r="D726" s="31" t="n">
        <x:v>722</x:v>
      </x:c>
      <x:c r="E726" s="42" t="n">
        <x:v>-0.0084601112995639</x:v>
      </x:c>
      <x:c r="F726" s="42" t="n">
        <x:v>-0.0024190660605684145</x:v>
      </x:c>
      <x:c r="G726" s="43" t="n">
        <x:v>0.9831877101013954</x:v>
      </x:c>
      <x:c r="H726" s="32" t="n">
        <x:v>1017151.8350378727</x:v>
      </x:c>
      <x:c r="I726" s="50" t="b">
        <x:v>0</x:v>
      </x:c>
      <x:c r="J726" s="50" t="b">
        <x:v>0</x:v>
      </x:c>
      <x:c r="K726" s="31"/>
      <x:c r="L726" s="31"/>
    </x:row>
    <x:row r="727">
      <x:c r="A727" s="31"/>
      <x:c r="B727" s="31"/>
      <x:c r="C727" s="31"/>
      <x:c r="D727" s="31" t="n">
        <x:v>723</x:v>
      </x:c>
      <x:c r="E727" s="42" t="n">
        <x:v>0.010081466172496441</x:v>
      </x:c>
      <x:c r="F727" s="42" t="n">
        <x:v>0.0029805647233762055</x:v>
      </x:c>
      <x:c r="G727" s="43" t="n">
        <x:v>1.0695585118408248</x:v>
      </x:c>
      <x:c r="H727" s="32" t="n">
        <x:v>505216.97364614706</x:v>
      </x:c>
      <x:c r="I727" s="50" t="b">
        <x:v>1</x:v>
      </x:c>
      <x:c r="J727" s="50" t="b">
        <x:v>0</x:v>
      </x:c>
      <x:c r="K727" s="31"/>
      <x:c r="L727" s="31"/>
    </x:row>
    <x:row r="728">
      <x:c r="A728" s="31"/>
      <x:c r="B728" s="31"/>
      <x:c r="C728" s="31"/>
      <x:c r="D728" s="31" t="n">
        <x:v>724</x:v>
      </x:c>
      <x:c r="E728" s="42" t="n">
        <x:v>-0.029323536347697732</x:v>
      </x:c>
      <x:c r="F728" s="42" t="n">
        <x:v>0.010996236775784866</x:v>
      </x:c>
      <x:c r="G728" s="43" t="n">
        <x:v>1.0046883562240667</x:v>
      </x:c>
      <x:c r="H728" s="32" t="n">
        <x:v>785191.9058884112</x:v>
      </x:c>
      <x:c r="I728" s="50" t="b">
        <x:v>1</x:v>
      </x:c>
      <x:c r="J728" s="50" t="b">
        <x:v>0</x:v>
      </x:c>
      <x:c r="K728" s="31"/>
      <x:c r="L728" s="31"/>
    </x:row>
    <x:row r="729">
      <x:c r="A729" s="31"/>
      <x:c r="B729" s="31"/>
      <x:c r="C729" s="31"/>
      <x:c r="D729" s="31" t="n">
        <x:v>725</x:v>
      </x:c>
      <x:c r="E729" s="42" t="n">
        <x:v>0.0022072481943702245</x:v>
      </x:c>
      <x:c r="F729" s="42" t="n">
        <x:v>0.0038147648116053303</x:v>
      </x:c>
      <x:c r="G729" s="43" t="n">
        <x:v>0.9741106259709289</x:v>
      </x:c>
      <x:c r="H729" s="32" t="n">
        <x:v>1087138.5731096272</x:v>
      </x:c>
      <x:c r="I729" s="50" t="b">
        <x:v>0</x:v>
      </x:c>
      <x:c r="J729" s="50" t="b">
        <x:v>0</x:v>
      </x:c>
      <x:c r="K729" s="31"/>
      <x:c r="L729" s="31"/>
    </x:row>
    <x:row r="730">
      <x:c r="A730" s="31"/>
      <x:c r="B730" s="31"/>
      <x:c r="C730" s="31"/>
      <x:c r="D730" s="31" t="n">
        <x:v>726</x:v>
      </x:c>
      <x:c r="E730" s="42" t="n">
        <x:v>-0.024234536617095813</x:v>
      </x:c>
      <x:c r="F730" s="42" t="n">
        <x:v>-0.004413994531304222</x:v>
      </x:c>
      <x:c r="G730" s="43" t="n">
        <x:v>1.030191127793099</x:v>
      </x:c>
      <x:c r="H730" s="32" t="n">
        <x:v>680291.3086223465</x:v>
      </x:c>
      <x:c r="I730" s="50" t="b">
        <x:v>1</x:v>
      </x:c>
      <x:c r="J730" s="50" t="b">
        <x:v>0</x:v>
      </x:c>
      <x:c r="K730" s="31"/>
      <x:c r="L730" s="31"/>
    </x:row>
    <x:row r="731">
      <x:c r="A731" s="31"/>
      <x:c r="B731" s="31"/>
      <x:c r="C731" s="31"/>
      <x:c r="D731" s="31" t="n">
        <x:v>727</x:v>
      </x:c>
      <x:c r="E731" s="42" t="n">
        <x:v>0.006582882900633823</x:v>
      </x:c>
      <x:c r="F731" s="42" t="n">
        <x:v>-0.010178790820371972</x:v>
      </x:c>
      <x:c r="G731" s="43" t="n">
        <x:v>1.025817643779178</x:v>
      </x:c>
      <x:c r="H731" s="32" t="n">
        <x:v>809893.4381289138</x:v>
      </x:c>
      <x:c r="I731" s="50" t="b">
        <x:v>1</x:v>
      </x:c>
      <x:c r="J731" s="50" t="b">
        <x:v>0</x:v>
      </x:c>
      <x:c r="K731" s="31"/>
      <x:c r="L731" s="31"/>
    </x:row>
    <x:row r="732">
      <x:c r="A732" s="31"/>
      <x:c r="B732" s="31"/>
      <x:c r="C732" s="31"/>
      <x:c r="D732" s="31" t="n">
        <x:v>728</x:v>
      </x:c>
      <x:c r="E732" s="42" t="n">
        <x:v>0.007214575836532437</x:v>
      </x:c>
      <x:c r="F732" s="42" t="n">
        <x:v>-0.011929683532834317</x:v>
      </x:c>
      <x:c r="G732" s="43" t="n">
        <x:v>1.0406514880923405</x:v>
      </x:c>
      <x:c r="H732" s="32" t="n">
        <x:v>722320.0009547481</x:v>
      </x:c>
      <x:c r="I732" s="50" t="b">
        <x:v>1</x:v>
      </x:c>
      <x:c r="J732" s="50" t="b">
        <x:v>0</x:v>
      </x:c>
      <x:c r="K732" s="31"/>
      <x:c r="L732" s="31"/>
    </x:row>
    <x:row r="733">
      <x:c r="A733" s="31"/>
      <x:c r="B733" s="31"/>
      <x:c r="C733" s="31"/>
      <x:c r="D733" s="31" t="n">
        <x:v>729</x:v>
      </x:c>
      <x:c r="E733" s="42" t="n">
        <x:v>0.0027378383253495813</x:v>
      </x:c>
      <x:c r="F733" s="42" t="n">
        <x:v>0.011016383266669528</x:v>
      </x:c>
      <x:c r="G733" s="43" t="n">
        <x:v>0.9634465453673632</x:v>
      </x:c>
      <x:c r="H733" s="32" t="n">
        <x:v>1136294.0823354619</x:v>
      </x:c>
      <x:c r="I733" s="50" t="b">
        <x:v>0</x:v>
      </x:c>
      <x:c r="J733" s="50" t="b">
        <x:v>0</x:v>
      </x:c>
      <x:c r="K733" s="31"/>
      <x:c r="L733" s="31"/>
    </x:row>
    <x:row r="734">
      <x:c r="A734" s="31"/>
      <x:c r="B734" s="31"/>
      <x:c r="C734" s="31"/>
      <x:c r="D734" s="31" t="n">
        <x:v>730</x:v>
      </x:c>
      <x:c r="E734" s="42" t="n">
        <x:v>-0.015226003277715715</x:v>
      </x:c>
      <x:c r="F734" s="42" t="n">
        <x:v>0.0019574778162416056</x:v>
      </x:c>
      <x:c r="G734" s="43" t="n">
        <x:v>1.0000645625073081</x:v>
      </x:c>
      <x:c r="H734" s="32" t="n">
        <x:v>878956.6524034373</x:v>
      </x:c>
      <x:c r="I734" s="50" t="b">
        <x:v>1</x:v>
      </x:c>
      <x:c r="J734" s="50" t="b">
        <x:v>0</x:v>
      </x:c>
      <x:c r="K734" s="31"/>
      <x:c r="L734" s="31"/>
    </x:row>
    <x:row r="735">
      <x:c r="A735" s="31"/>
      <x:c r="B735" s="31"/>
      <x:c r="C735" s="31"/>
      <x:c r="D735" s="31" t="n">
        <x:v>731</x:v>
      </x:c>
      <x:c r="E735" s="42" t="n">
        <x:v>0.018000491102925162</x:v>
      </x:c>
      <x:c r="F735" s="42" t="n">
        <x:v>-0.004640542676327704</x:v>
      </x:c>
      <x:c r="G735" s="43" t="n">
        <x:v>1.0139832019052843</x:v>
      </x:c>
      <x:c r="H735" s="32" t="n">
        <x:v>901415.8545629719</x:v>
      </x:c>
      <x:c r="I735" s="50" t="b">
        <x:v>1</x:v>
      </x:c>
      <x:c r="J735" s="50" t="b">
        <x:v>0</x:v>
      </x:c>
      <x:c r="K735" s="31"/>
      <x:c r="L735" s="31"/>
    </x:row>
    <x:row r="736">
      <x:c r="A736" s="31"/>
      <x:c r="B736" s="31"/>
      <x:c r="C736" s="31"/>
      <x:c r="D736" s="31" t="n">
        <x:v>732</x:v>
      </x:c>
      <x:c r="E736" s="42" t="n">
        <x:v>0.011117760740798954</x:v>
      </x:c>
      <x:c r="F736" s="42" t="n">
        <x:v>-0.0003551223919662689</x:v>
      </x:c>
      <x:c r="G736" s="43" t="n">
        <x:v>0.9270731197873026</x:v>
      </x:c>
      <x:c r="H736" s="32" t="n">
        <x:v>1422269.6333259435</x:v>
      </x:c>
      <x:c r="I736" s="50" t="b">
        <x:v>0</x:v>
      </x:c>
      <x:c r="J736" s="50" t="b">
        <x:v>0</x:v>
      </x:c>
      <x:c r="K736" s="31"/>
      <x:c r="L736" s="31"/>
    </x:row>
    <x:row r="737">
      <x:c r="A737" s="31"/>
      <x:c r="B737" s="31"/>
      <x:c r="C737" s="31"/>
      <x:c r="D737" s="31" t="n">
        <x:v>733</x:v>
      </x:c>
      <x:c r="E737" s="42" t="n">
        <x:v>0.012862627560862995</x:v>
      </x:c>
      <x:c r="F737" s="42" t="n">
        <x:v>0.003155550657184712</x:v>
      </x:c>
      <x:c r="G737" s="43" t="n">
        <x:v>0.9773458024187879</x:v>
      </x:c>
      <x:c r="H737" s="32" t="n">
        <x:v>1098087.333290268</x:v>
      </x:c>
      <x:c r="I737" s="50" t="b">
        <x:v>0</x:v>
      </x:c>
      <x:c r="J737" s="50" t="b">
        <x:v>0</x:v>
      </x:c>
      <x:c r="K737" s="31"/>
      <x:c r="L737" s="31"/>
    </x:row>
    <x:row r="738">
      <x:c r="A738" s="31"/>
      <x:c r="B738" s="31"/>
      <x:c r="C738" s="31"/>
      <x:c r="D738" s="31" t="n">
        <x:v>734</x:v>
      </x:c>
      <x:c r="E738" s="42" t="n">
        <x:v>-0.004465113562662521</x:v>
      </x:c>
      <x:c r="F738" s="42" t="n">
        <x:v>0.011247489133465412</x:v>
      </x:c>
      <x:c r="G738" s="43" t="n">
        <x:v>0.9705014414157551</x:v>
      </x:c>
      <x:c r="H738" s="32" t="n">
        <x:v>1070797.6314034718</x:v>
      </x:c>
      <x:c r="I738" s="50" t="b">
        <x:v>0</x:v>
      </x:c>
      <x:c r="J738" s="50" t="b">
        <x:v>0</x:v>
      </x:c>
      <x:c r="K738" s="31"/>
      <x:c r="L738" s="31"/>
    </x:row>
    <x:row r="739">
      <x:c r="A739" s="31"/>
      <x:c r="B739" s="31"/>
      <x:c r="C739" s="31"/>
      <x:c r="D739" s="31" t="n">
        <x:v>735</x:v>
      </x:c>
      <x:c r="E739" s="42" t="n">
        <x:v>-0.008392023253220372</x:v>
      </x:c>
      <x:c r="F739" s="42" t="n">
        <x:v>-0.004254148262510923</x:v>
      </x:c>
      <x:c r="G739" s="43" t="n">
        <x:v>1.1064923706069991</x:v>
      </x:c>
      <x:c r="H739" s="32" t="n">
        <x:v>239377.42952742253</x:v>
      </x:c>
      <x:c r="I739" s="50" t="b">
        <x:v>1</x:v>
      </x:c>
      <x:c r="J739" s="50" t="b">
        <x:v>0</x:v>
      </x:c>
      <x:c r="K739" s="31"/>
      <x:c r="L739" s="31"/>
    </x:row>
    <x:row r="740">
      <x:c r="A740" s="31"/>
      <x:c r="B740" s="31"/>
      <x:c r="C740" s="31"/>
      <x:c r="D740" s="31" t="n">
        <x:v>736</x:v>
      </x:c>
      <x:c r="E740" s="42" t="n">
        <x:v>-0.0044939512310427435</x:v>
      </x:c>
      <x:c r="F740" s="42" t="n">
        <x:v>-0.0010207258852901974</x:v>
      </x:c>
      <x:c r="G740" s="43" t="n">
        <x:v>1.002257258531657</x:v>
      </x:c>
      <x:c r="H740" s="32" t="n">
        <x:v>903194.2805004341</x:v>
      </x:c>
      <x:c r="I740" s="50" t="b">
        <x:v>1</x:v>
      </x:c>
      <x:c r="J740" s="50" t="b">
        <x:v>0</x:v>
      </x:c>
      <x:c r="K740" s="31"/>
      <x:c r="L740" s="31"/>
    </x:row>
    <x:row r="741">
      <x:c r="A741" s="31"/>
      <x:c r="B741" s="31"/>
      <x:c r="C741" s="31"/>
      <x:c r="D741" s="31" t="n">
        <x:v>737</x:v>
      </x:c>
      <x:c r="E741" s="42" t="n">
        <x:v>-0.0014778400919401742</x:v>
      </x:c>
      <x:c r="F741" s="42" t="n">
        <x:v>-0.0025024023419460586</x:v>
      </x:c>
      <x:c r="G741" s="43" t="n">
        <x:v>1.0225188404937793</x:v>
      </x:c>
      <x:c r="H741" s="32" t="n">
        <x:v>787038.5766838633</x:v>
      </x:c>
      <x:c r="I741" s="50" t="b">
        <x:v>1</x:v>
      </x:c>
      <x:c r="J741" s="50" t="b">
        <x:v>0</x:v>
      </x:c>
      <x:c r="K741" s="31"/>
      <x:c r="L741" s="31"/>
    </x:row>
    <x:row r="742">
      <x:c r="A742" s="31"/>
      <x:c r="B742" s="31"/>
      <x:c r="C742" s="31"/>
      <x:c r="D742" s="31" t="n">
        <x:v>738</x:v>
      </x:c>
      <x:c r="E742" s="42" t="n">
        <x:v>-0.01073415071342222</x:v>
      </x:c>
      <x:c r="F742" s="42" t="n">
        <x:v>-0.001020832633679986</x:v>
      </x:c>
      <x:c r="G742" s="43" t="n">
        <x:v>0.9942837669524147</x:v>
      </x:c>
      <x:c r="H742" s="32" t="n">
        <x:v>936462.1626373368</x:v>
      </x:c>
      <x:c r="I742" s="50" t="b">
        <x:v>1</x:v>
      </x:c>
      <x:c r="J742" s="50" t="b">
        <x:v>0</x:v>
      </x:c>
      <x:c r="K742" s="31"/>
      <x:c r="L742" s="31"/>
    </x:row>
    <x:row r="743">
      <x:c r="A743" s="31"/>
      <x:c r="B743" s="31"/>
      <x:c r="C743" s="31"/>
      <x:c r="D743" s="31" t="n">
        <x:v>739</x:v>
      </x:c>
      <x:c r="E743" s="42" t="n">
        <x:v>0.014864880848343982</x:v>
      </x:c>
      <x:c r="F743" s="42" t="n">
        <x:v>0.008065802298924694</x:v>
      </x:c>
      <x:c r="G743" s="43" t="n">
        <x:v>0.9999070574857812</x:v>
      </x:c>
      <x:c r="H743" s="32" t="n">
        <x:v>946712.9072127009</x:v>
      </x:c>
      <x:c r="I743" s="50" t="b">
        <x:v>1</x:v>
      </x:c>
      <x:c r="J743" s="50" t="b">
        <x:v>0</x:v>
      </x:c>
      <x:c r="K743" s="31"/>
      <x:c r="L743" s="31"/>
    </x:row>
    <x:row r="744">
      <x:c r="A744" s="31"/>
      <x:c r="B744" s="31"/>
      <x:c r="C744" s="31"/>
      <x:c r="D744" s="31" t="n">
        <x:v>740</x:v>
      </x:c>
      <x:c r="E744" s="42" t="n">
        <x:v>0.018325081148465</x:v>
      </x:c>
      <x:c r="F744" s="42" t="n">
        <x:v>0.0014194582035055587</x:v>
      </x:c>
      <x:c r="G744" s="43" t="n">
        <x:v>0.9916499570927126</x:v>
      </x:c>
      <x:c r="H744" s="32" t="n">
        <x:v>1027283.1329724813</x:v>
      </x:c>
      <x:c r="I744" s="50" t="b">
        <x:v>0</x:v>
      </x:c>
      <x:c r="J744" s="50" t="b">
        <x:v>0</x:v>
      </x:c>
      <x:c r="K744" s="31"/>
      <x:c r="L744" s="31"/>
    </x:row>
    <x:row r="745">
      <x:c r="A745" s="31"/>
      <x:c r="B745" s="31"/>
      <x:c r="C745" s="31"/>
      <x:c r="D745" s="31" t="n">
        <x:v>741</x:v>
      </x:c>
      <x:c r="E745" s="42" t="n">
        <x:v>0.00719182879358718</x:v>
      </x:c>
      <x:c r="F745" s="42" t="n">
        <x:v>-0.0028495301960573434</x:v>
      </x:c>
      <x:c r="G745" s="43" t="n">
        <x:v>0.9770744651126527</x:v>
      </x:c>
      <x:c r="H745" s="32" t="n">
        <x:v>1100740.998949133</x:v>
      </x:c>
      <x:c r="I745" s="50" t="b">
        <x:v>0</x:v>
      </x:c>
      <x:c r="J745" s="50" t="b">
        <x:v>0</x:v>
      </x:c>
      <x:c r="K745" s="31"/>
      <x:c r="L745" s="31"/>
    </x:row>
    <x:row r="746">
      <x:c r="A746" s="31"/>
      <x:c r="B746" s="31"/>
      <x:c r="C746" s="31"/>
      <x:c r="D746" s="31" t="n">
        <x:v>742</x:v>
      </x:c>
      <x:c r="E746" s="42" t="n">
        <x:v>-0.014762652344747378</x:v>
      </x:c>
      <x:c r="F746" s="42" t="n">
        <x:v>0.0068247333670960865</x:v>
      </x:c>
      <x:c r="G746" s="43" t="n">
        <x:v>0.9875153537768738</x:v>
      </x:c>
      <x:c r="H746" s="32" t="n">
        <x:v>946394.6494263652</x:v>
      </x:c>
      <x:c r="I746" s="50" t="b">
        <x:v>1</x:v>
      </x:c>
      <x:c r="J746" s="50" t="b">
        <x:v>0</x:v>
      </x:c>
      <x:c r="K746" s="31"/>
      <x:c r="L746" s="31"/>
    </x:row>
    <x:row r="747">
      <x:c r="A747" s="31"/>
      <x:c r="B747" s="31"/>
      <x:c r="C747" s="31"/>
      <x:c r="D747" s="31" t="n">
        <x:v>743</x:v>
      </x:c>
      <x:c r="E747" s="42" t="n">
        <x:v>-0.009750949995941921</x:v>
      </x:c>
      <x:c r="F747" s="42" t="n">
        <x:v>0.01113030559234936</x:v>
      </x:c>
      <x:c r="G747" s="43" t="n">
        <x:v>1.0077671074547732</x:v>
      </x:c>
      <x:c r="H747" s="32" t="n">
        <x:v>819747.1995542098</x:v>
      </x:c>
      <x:c r="I747" s="50" t="b">
        <x:v>1</x:v>
      </x:c>
      <x:c r="J747" s="50" t="b">
        <x:v>0</x:v>
      </x:c>
      <x:c r="K747" s="31"/>
      <x:c r="L747" s="31"/>
    </x:row>
    <x:row r="748">
      <x:c r="A748" s="31"/>
      <x:c r="B748" s="31"/>
      <x:c r="C748" s="31"/>
      <x:c r="D748" s="31" t="n">
        <x:v>744</x:v>
      </x:c>
      <x:c r="E748" s="42" t="n">
        <x:v>-0.013523258813603231</x:v>
      </x:c>
      <x:c r="F748" s="42" t="n">
        <x:v>0.002831306864574173</x:v>
      </x:c>
      <x:c r="G748" s="43" t="n">
        <x:v>1.0041681318313094</x:v>
      </x:c>
      <x:c r="H748" s="32" t="n">
        <x:v>855203.3853652112</x:v>
      </x:c>
      <x:c r="I748" s="50" t="b">
        <x:v>1</x:v>
      </x:c>
      <x:c r="J748" s="50" t="b">
        <x:v>0</x:v>
      </x:c>
      <x:c r="K748" s="31"/>
      <x:c r="L748" s="31"/>
    </x:row>
    <x:row r="749">
      <x:c r="A749" s="31"/>
      <x:c r="B749" s="31"/>
      <x:c r="C749" s="31"/>
      <x:c r="D749" s="31" t="n">
        <x:v>745</x:v>
      </x:c>
      <x:c r="E749" s="42" t="n">
        <x:v>-0.01328468036035941</x:v>
      </x:c>
      <x:c r="F749" s="42" t="n">
        <x:v>0.008974576159528772</x:v>
      </x:c>
      <x:c r="G749" s="43" t="n">
        <x:v>1.01311382707736</x:v>
      </x:c>
      <x:c r="H749" s="32" t="n">
        <x:v>781956.0471133257</x:v>
      </x:c>
      <x:c r="I749" s="50" t="b">
        <x:v>1</x:v>
      </x:c>
      <x:c r="J749" s="50" t="b">
        <x:v>0</x:v>
      </x:c>
      <x:c r="K749" s="31"/>
      <x:c r="L749" s="31"/>
    </x:row>
    <x:row r="750">
      <x:c r="A750" s="31"/>
      <x:c r="B750" s="31"/>
      <x:c r="C750" s="31"/>
      <x:c r="D750" s="31" t="n">
        <x:v>746</x:v>
      </x:c>
      <x:c r="E750" s="42" t="n">
        <x:v>0.014061396967989675</x:v>
      </x:c>
      <x:c r="F750" s="42" t="n">
        <x:v>-0.012839790624692957</x:v>
      </x:c>
      <x:c r="G750" s="43" t="n">
        <x:v>0.9441751389600784</x:v>
      </x:c>
      <x:c r="H750" s="32" t="n">
        <x:v>1356604.7268950695</x:v>
      </x:c>
      <x:c r="I750" s="50" t="b">
        <x:v>0</x:v>
      </x:c>
      <x:c r="J750" s="50" t="b">
        <x:v>0</x:v>
      </x:c>
      <x:c r="K750" s="31"/>
      <x:c r="L750" s="31"/>
    </x:row>
    <x:row r="751">
      <x:c r="A751" s="31"/>
      <x:c r="B751" s="31"/>
      <x:c r="C751" s="31"/>
      <x:c r="D751" s="31" t="n">
        <x:v>747</x:v>
      </x:c>
      <x:c r="E751" s="42" t="n">
        <x:v>-0.01981236400898707</x:v>
      </x:c>
      <x:c r="F751" s="42" t="n">
        <x:v>-0.00934482167764228</x:v>
      </x:c>
      <x:c r="G751" s="43" t="n">
        <x:v>0.9689111556008764</x:v>
      </x:c>
      <x:c r="H751" s="32" t="n">
        <x:v>1095496.8144028478</x:v>
      </x:c>
      <x:c r="I751" s="50" t="b">
        <x:v>0</x:v>
      </x:c>
      <x:c r="J751" s="50" t="b">
        <x:v>0</x:v>
      </x:c>
      <x:c r="K751" s="31"/>
      <x:c r="L751" s="31"/>
    </x:row>
    <x:row r="752">
      <x:c r="A752" s="31"/>
      <x:c r="B752" s="31"/>
      <x:c r="C752" s="31"/>
      <x:c r="D752" s="31" t="n">
        <x:v>748</x:v>
      </x:c>
      <x:c r="E752" s="42" t="n">
        <x:v>-0.004752519790366975</x:v>
      </x:c>
      <x:c r="F752" s="42" t="n">
        <x:v>0.0008662910935813376</x:v>
      </x:c>
      <x:c r="G752" s="43" t="n">
        <x:v>0.9691385530300695</x:v>
      </x:c>
      <x:c r="H752" s="32" t="n">
        <x:v>1107549.2311406175</x:v>
      </x:c>
      <x:c r="I752" s="50" t="b">
        <x:v>0</x:v>
      </x:c>
      <x:c r="J752" s="50" t="b">
        <x:v>0</x:v>
      </x:c>
      <x:c r="K752" s="31"/>
      <x:c r="L752" s="31"/>
    </x:row>
    <x:row r="753">
      <x:c r="A753" s="31"/>
      <x:c r="B753" s="31"/>
      <x:c r="C753" s="31"/>
      <x:c r="D753" s="31" t="n">
        <x:v>749</x:v>
      </x:c>
      <x:c r="E753" s="42" t="n">
        <x:v>-0.004617600450118627</x:v>
      </x:c>
      <x:c r="F753" s="42" t="n">
        <x:v>-0.008302243787690192</x:v>
      </x:c>
      <x:c r="G753" s="43" t="n">
        <x:v>1.0099823324308985</x:v>
      </x:c>
      <x:c r="H753" s="32" t="n">
        <x:v>874058.6762667224</x:v>
      </x:c>
      <x:c r="I753" s="50" t="b">
        <x:v>1</x:v>
      </x:c>
      <x:c r="J753" s="50" t="b">
        <x:v>0</x:v>
      </x:c>
      <x:c r="K753" s="31"/>
      <x:c r="L753" s="31"/>
    </x:row>
    <x:row r="754">
      <x:c r="A754" s="31"/>
      <x:c r="B754" s="31"/>
      <x:c r="C754" s="31"/>
      <x:c r="D754" s="31" t="n">
        <x:v>750</x:v>
      </x:c>
      <x:c r="E754" s="42" t="n">
        <x:v>0.018901591873739944</x:v>
      </x:c>
      <x:c r="F754" s="42" t="n">
        <x:v>-0.005265517986994724</x:v>
      </x:c>
      <x:c r="G754" s="43" t="n">
        <x:v>1.0336119290556596</x:v>
      </x:c>
      <x:c r="H754" s="32" t="n">
        <x:v>781007.4021348269</x:v>
      </x:c>
      <x:c r="I754" s="50" t="b">
        <x:v>1</x:v>
      </x:c>
      <x:c r="J754" s="50" t="b">
        <x:v>0</x:v>
      </x:c>
      <x:c r="K754" s="31"/>
      <x:c r="L754" s="31"/>
    </x:row>
    <x:row r="755">
      <x:c r="A755" s="31"/>
      <x:c r="B755" s="31"/>
      <x:c r="C755" s="31"/>
      <x:c r="D755" s="31" t="n">
        <x:v>751</x:v>
      </x:c>
      <x:c r="E755" s="42" t="n">
        <x:v>-0.0029232341979706783</x:v>
      </x:c>
      <x:c r="F755" s="42" t="n">
        <x:v>-0.002209739216685951</x:v>
      </x:c>
      <x:c r="G755" s="43" t="n">
        <x:v>1.0285450571711618</x:v>
      </x:c>
      <x:c r="H755" s="32" t="n">
        <x:v>743929.9120145338</x:v>
      </x:c>
      <x:c r="I755" s="50" t="b">
        <x:v>1</x:v>
      </x:c>
      <x:c r="J755" s="50" t="b">
        <x:v>0</x:v>
      </x:c>
      <x:c r="K755" s="31"/>
      <x:c r="L755" s="31"/>
    </x:row>
    <x:row r="756">
      <x:c r="A756" s="31"/>
      <x:c r="B756" s="31"/>
      <x:c r="C756" s="31"/>
      <x:c r="D756" s="31" t="n">
        <x:v>752</x:v>
      </x:c>
      <x:c r="E756" s="42" t="n">
        <x:v>-0.0034496553635407377</x:v>
      </x:c>
      <x:c r="F756" s="42" t="n">
        <x:v>0.008073761876120907</x:v>
      </x:c>
      <x:c r="G756" s="43" t="n">
        <x:v>1.006572920803848</x:v>
      </x:c>
      <x:c r="H756" s="32" t="n">
        <x:v>853378.8810170629</x:v>
      </x:c>
      <x:c r="I756" s="50" t="b">
        <x:v>1</x:v>
      </x:c>
      <x:c r="J756" s="50" t="b">
        <x:v>0</x:v>
      </x:c>
      <x:c r="K756" s="31"/>
      <x:c r="L756" s="31"/>
    </x:row>
    <x:row r="757">
      <x:c r="A757" s="31"/>
      <x:c r="B757" s="31"/>
      <x:c r="C757" s="31"/>
      <x:c r="D757" s="31" t="n">
        <x:v>753</x:v>
      </x:c>
      <x:c r="E757" s="42" t="n">
        <x:v>0.013693322531210021</x:v>
      </x:c>
      <x:c r="F757" s="42" t="n">
        <x:v>0.001784209372966935</x:v>
      </x:c>
      <x:c r="G757" s="43" t="n">
        <x:v>1.0031411482568602</x:v>
      </x:c>
      <x:c r="H757" s="32" t="n">
        <x:v>940398.0349456081</x:v>
      </x:c>
      <x:c r="I757" s="50" t="b">
        <x:v>1</x:v>
      </x:c>
      <x:c r="J757" s="50" t="b">
        <x:v>0</x:v>
      </x:c>
      <x:c r="K757" s="31"/>
      <x:c r="L757" s="31"/>
    </x:row>
    <x:row r="758">
      <x:c r="A758" s="31"/>
      <x:c r="B758" s="31"/>
      <x:c r="C758" s="31"/>
      <x:c r="D758" s="31" t="n">
        <x:v>754</x:v>
      </x:c>
      <x:c r="E758" s="42" t="n">
        <x:v>-0.020709004704420435</x:v>
      </x:c>
      <x:c r="F758" s="42" t="n">
        <x:v>-0.006983061093755855</x:v>
      </x:c>
      <x:c r="G758" s="43" t="n">
        <x:v>1.0384847418827519</x:v>
      </x:c>
      <x:c r="H758" s="32" t="n">
        <x:v>644585.4353298382</x:v>
      </x:c>
      <x:c r="I758" s="50" t="b">
        <x:v>1</x:v>
      </x:c>
      <x:c r="J758" s="50" t="b">
        <x:v>0</x:v>
      </x:c>
      <x:c r="K758" s="31"/>
      <x:c r="L758" s="31"/>
    </x:row>
    <x:row r="759">
      <x:c r="A759" s="31"/>
      <x:c r="B759" s="31"/>
      <x:c r="C759" s="31"/>
      <x:c r="D759" s="31" t="n">
        <x:v>755</x:v>
      </x:c>
      <x:c r="E759" s="42" t="n">
        <x:v>0.0038440415566038336</x:v>
      </x:c>
      <x:c r="F759" s="42" t="n">
        <x:v>0.005377499606716954</x:v>
      </x:c>
      <x:c r="G759" s="43" t="n">
        <x:v>1.0121123547209652</x:v>
      </x:c>
      <x:c r="H759" s="32" t="n">
        <x:v>846006.8253034945</x:v>
      </x:c>
      <x:c r="I759" s="50" t="b">
        <x:v>1</x:v>
      </x:c>
      <x:c r="J759" s="50" t="b">
        <x:v>0</x:v>
      </x:c>
      <x:c r="K759" s="31"/>
      <x:c r="L759" s="31"/>
    </x:row>
    <x:row r="760">
      <x:c r="A760" s="31"/>
      <x:c r="B760" s="31"/>
      <x:c r="C760" s="31"/>
      <x:c r="D760" s="31" t="n">
        <x:v>756</x:v>
      </x:c>
      <x:c r="E760" s="42" t="n">
        <x:v>0.018256439746013105</x:v>
      </x:c>
      <x:c r="F760" s="42" t="n">
        <x:v>-0.00189245532778672</x:v>
      </x:c>
      <x:c r="G760" s="43" t="n">
        <x:v>0.9419914338892036</x:v>
      </x:c>
      <x:c r="H760" s="32" t="n">
        <x:v>1351677.6447572932</x:v>
      </x:c>
      <x:c r="I760" s="50" t="b">
        <x:v>0</x:v>
      </x:c>
      <x:c r="J760" s="50" t="b">
        <x:v>0</x:v>
      </x:c>
      <x:c r="K760" s="31"/>
      <x:c r="L760" s="31"/>
    </x:row>
    <x:row r="761">
      <x:c r="A761" s="31"/>
      <x:c r="B761" s="31"/>
      <x:c r="C761" s="31"/>
      <x:c r="D761" s="31" t="n">
        <x:v>757</x:v>
      </x:c>
      <x:c r="E761" s="42" t="n">
        <x:v>0.009904415703273863</x:v>
      </x:c>
      <x:c r="F761" s="42" t="n">
        <x:v>0.0003876110888845824</x:v>
      </x:c>
      <x:c r="G761" s="43" t="n">
        <x:v>1.030080086230331</x:v>
      </x:c>
      <x:c r="H761" s="32" t="n">
        <x:v>762657.65603042</x:v>
      </x:c>
      <x:c r="I761" s="50" t="b">
        <x:v>1</x:v>
      </x:c>
      <x:c r="J761" s="50" t="b">
        <x:v>0</x:v>
      </x:c>
      <x:c r="K761" s="31"/>
      <x:c r="L761" s="31"/>
    </x:row>
    <x:row r="762">
      <x:c r="A762" s="31"/>
      <x:c r="B762" s="31"/>
      <x:c r="C762" s="31"/>
      <x:c r="D762" s="31" t="n">
        <x:v>758</x:v>
      </x:c>
      <x:c r="E762" s="42" t="n">
        <x:v>0.0067490586247002425</x:v>
      </x:c>
      <x:c r="F762" s="42" t="n">
        <x:v>-0.005757557605252842</x:v>
      </x:c>
      <x:c r="G762" s="43" t="n">
        <x:v>0.9261562663629499</x:v>
      </x:c>
      <x:c r="H762" s="32" t="n">
        <x:v>1430969.7209023978</x:v>
      </x:c>
      <x:c r="I762" s="50" t="b">
        <x:v>0</x:v>
      </x:c>
      <x:c r="J762" s="50" t="b">
        <x:v>0</x:v>
      </x:c>
      <x:c r="K762" s="31"/>
      <x:c r="L762" s="31"/>
    </x:row>
    <x:row r="763">
      <x:c r="A763" s="31"/>
      <x:c r="B763" s="31"/>
      <x:c r="C763" s="31"/>
      <x:c r="D763" s="31" t="n">
        <x:v>759</x:v>
      </x:c>
      <x:c r="E763" s="42" t="n">
        <x:v>-0.028707509144578175</x:v>
      </x:c>
      <x:c r="F763" s="42" t="n">
        <x:v>-0.006867660768920499</x:v>
      </x:c>
      <x:c r="G763" s="43" t="n">
        <x:v>1.00238489692406</x:v>
      </x:c>
      <x:c r="H763" s="32" t="n">
        <x:v>851259.7839868882</x:v>
      </x:c>
      <x:c r="I763" s="50" t="b">
        <x:v>1</x:v>
      </x:c>
      <x:c r="J763" s="50" t="b">
        <x:v>0</x:v>
      </x:c>
      <x:c r="K763" s="31"/>
      <x:c r="L763" s="31"/>
    </x:row>
    <x:row r="764">
      <x:c r="A764" s="31"/>
      <x:c r="B764" s="31"/>
      <x:c r="C764" s="31"/>
      <x:c r="D764" s="31" t="n">
        <x:v>760</x:v>
      </x:c>
      <x:c r="E764" s="42" t="n">
        <x:v>-0.0008799735912286777</x:v>
      </x:c>
      <x:c r="F764" s="42" t="n">
        <x:v>0.0037072508095376423</x:v>
      </x:c>
      <x:c r="G764" s="43" t="n">
        <x:v>1.0009541746870911</x:v>
      </x:c>
      <x:c r="H764" s="32" t="n">
        <x:v>908368.9447315997</x:v>
      </x:c>
      <x:c r="I764" s="50" t="b">
        <x:v>1</x:v>
      </x:c>
      <x:c r="J764" s="50" t="b">
        <x:v>0</x:v>
      </x:c>
      <x:c r="K764" s="31"/>
      <x:c r="L764" s="31"/>
    </x:row>
    <x:row r="765">
      <x:c r="A765" s="31"/>
      <x:c r="B765" s="31"/>
      <x:c r="C765" s="31"/>
      <x:c r="D765" s="31" t="n">
        <x:v>761</x:v>
      </x:c>
      <x:c r="E765" s="42" t="n">
        <x:v>0.0006642326091878572</x:v>
      </x:c>
      <x:c r="F765" s="42" t="n">
        <x:v>-0.004481785578721332</x:v>
      </x:c>
      <x:c r="G765" s="43" t="n">
        <x:v>0.9371929077892063</x:v>
      </x:c>
      <x:c r="H765" s="32" t="n">
        <x:v>1340390.8435743032</x:v>
      </x:c>
      <x:c r="I765" s="50" t="b">
        <x:v>0</x:v>
      </x:c>
      <x:c r="J765" s="50" t="b">
        <x:v>0</x:v>
      </x:c>
      <x:c r="K765" s="31"/>
      <x:c r="L765" s="31"/>
    </x:row>
    <x:row r="766">
      <x:c r="A766" s="31"/>
      <x:c r="B766" s="31"/>
      <x:c r="C766" s="31"/>
      <x:c r="D766" s="31" t="n">
        <x:v>762</x:v>
      </x:c>
      <x:c r="E766" s="42" t="n">
        <x:v>-0.0035052167074599906</x:v>
      </x:c>
      <x:c r="F766" s="42" t="n">
        <x:v>-0.0036415174838581852</x:v>
      </x:c>
      <x:c r="G766" s="43" t="n">
        <x:v>0.9532155003784003</x:v>
      </x:c>
      <x:c r="H766" s="32" t="n">
        <x:v>1224691.3735144592</x:v>
      </x:c>
      <x:c r="I766" s="50" t="b">
        <x:v>0</x:v>
      </x:c>
      <x:c r="J766" s="50" t="b">
        <x:v>0</x:v>
      </x:c>
      <x:c r="K766" s="31"/>
      <x:c r="L766" s="31"/>
    </x:row>
    <x:row r="767">
      <x:c r="A767" s="31"/>
      <x:c r="B767" s="31"/>
      <x:c r="C767" s="31"/>
      <x:c r="D767" s="31" t="n">
        <x:v>763</x:v>
      </x:c>
      <x:c r="E767" s="42" t="n">
        <x:v>-0.003068035879722166</x:v>
      </x:c>
      <x:c r="F767" s="42" t="n">
        <x:v>0.005888877188176631</x:v>
      </x:c>
      <x:c r="G767" s="43" t="n">
        <x:v>1.0623183563549914</x:v>
      </x:c>
      <x:c r="H767" s="32" t="n">
        <x:v>506499.80601432803</x:v>
      </x:c>
      <x:c r="I767" s="50" t="b">
        <x:v>1</x:v>
      </x:c>
      <x:c r="J767" s="50" t="b">
        <x:v>0</x:v>
      </x:c>
      <x:c r="K767" s="31"/>
      <x:c r="L767" s="31"/>
    </x:row>
    <x:row r="768">
      <x:c r="A768" s="31"/>
      <x:c r="B768" s="31"/>
      <x:c r="C768" s="31"/>
      <x:c r="D768" s="31" t="n">
        <x:v>764</x:v>
      </x:c>
      <x:c r="E768" s="42" t="n">
        <x:v>0.006819066173250537</x:v>
      </x:c>
      <x:c r="F768" s="42" t="n">
        <x:v>-0.005997589109421939</x:v>
      </x:c>
      <x:c r="G768" s="43" t="n">
        <x:v>1.0290128688466726</x:v>
      </x:c>
      <x:c r="H768" s="32" t="n">
        <x:v>778620.4497311898</x:v>
      </x:c>
      <x:c r="I768" s="50" t="b">
        <x:v>1</x:v>
      </x:c>
      <x:c r="J768" s="50" t="b">
        <x:v>0</x:v>
      </x:c>
      <x:c r="K768" s="31"/>
      <x:c r="L768" s="31"/>
    </x:row>
    <x:row r="769">
      <x:c r="A769" s="31"/>
      <x:c r="B769" s="31"/>
      <x:c r="C769" s="31"/>
      <x:c r="D769" s="31" t="n">
        <x:v>765</x:v>
      </x:c>
      <x:c r="E769" s="42" t="n">
        <x:v>0.011062792471228126</x:v>
      </x:c>
      <x:c r="F769" s="42" t="n">
        <x:v>0.005945163221265332</x:v>
      </x:c>
      <x:c r="G769" s="43" t="n">
        <x:v>1.0472240214751387</x:v>
      </x:c>
      <x:c r="H769" s="32" t="n">
        <x:v>641536.3232621695</x:v>
      </x:c>
      <x:c r="I769" s="50" t="b">
        <x:v>1</x:v>
      </x:c>
      <x:c r="J769" s="50" t="b">
        <x:v>0</x:v>
      </x:c>
      <x:c r="K769" s="31"/>
      <x:c r="L769" s="31"/>
    </x:row>
    <x:row r="770">
      <x:c r="A770" s="31"/>
      <x:c r="B770" s="31"/>
      <x:c r="C770" s="31"/>
      <x:c r="D770" s="31" t="n">
        <x:v>766</x:v>
      </x:c>
      <x:c r="E770" s="42" t="n">
        <x:v>0.023414430130120838</x:v>
      </x:c>
      <x:c r="F770" s="42" t="n">
        <x:v>-0.004605714764082654</x:v>
      </x:c>
      <x:c r="G770" s="43" t="n">
        <x:v>1.0083409368928655</x:v>
      </x:c>
      <x:c r="H770" s="32" t="n">
        <x:v>952221.1084283043</x:v>
      </x:c>
      <x:c r="I770" s="50" t="b">
        <x:v>1</x:v>
      </x:c>
      <x:c r="J770" s="50" t="b">
        <x:v>0</x:v>
      </x:c>
      <x:c r="K770" s="31"/>
      <x:c r="L770" s="31"/>
    </x:row>
    <x:row r="771">
      <x:c r="A771" s="31"/>
      <x:c r="B771" s="31"/>
      <x:c r="C771" s="31"/>
      <x:c r="D771" s="31" t="n">
        <x:v>767</x:v>
      </x:c>
      <x:c r="E771" s="42" t="n">
        <x:v>0.016438792727131522</x:v>
      </x:c>
      <x:c r="F771" s="42" t="n">
        <x:v>-0.003747934265848746</x:v>
      </x:c>
      <x:c r="G771" s="43" t="n">
        <x:v>0.9780853742748048</x:v>
      </x:c>
      <x:c r="H771" s="32" t="n">
        <x:v>1122560.8665378192</x:v>
      </x:c>
      <x:c r="I771" s="50" t="b">
        <x:v>0</x:v>
      </x:c>
      <x:c r="J771" s="50" t="b">
        <x:v>0</x:v>
      </x:c>
      <x:c r="K771" s="31"/>
      <x:c r="L771" s="31"/>
    </x:row>
    <x:row r="772">
      <x:c r="A772" s="31"/>
      <x:c r="B772" s="31"/>
      <x:c r="C772" s="31"/>
      <x:c r="D772" s="31" t="n">
        <x:v>768</x:v>
      </x:c>
      <x:c r="E772" s="42" t="n">
        <x:v>0.003212186225074886</x:v>
      </x:c>
      <x:c r="F772" s="42" t="n">
        <x:v>0.005512207565951383</x:v>
      </x:c>
      <x:c r="G772" s="43" t="n">
        <x:v>1.055479100222466</x:v>
      </x:c>
      <x:c r="H772" s="32" t="n">
        <x:v>568463.5318929655</x:v>
      </x:c>
      <x:c r="I772" s="50" t="b">
        <x:v>1</x:v>
      </x:c>
      <x:c r="J772" s="50" t="b">
        <x:v>0</x:v>
      </x:c>
      <x:c r="K772" s="31"/>
      <x:c r="L772" s="31"/>
    </x:row>
    <x:row r="773">
      <x:c r="A773" s="31"/>
      <x:c r="B773" s="31"/>
      <x:c r="C773" s="31"/>
      <x:c r="D773" s="31" t="n">
        <x:v>769</x:v>
      </x:c>
      <x:c r="E773" s="42" t="n">
        <x:v>0.010205742857091924</x:v>
      </x:c>
      <x:c r="F773" s="42" t="n">
        <x:v>-0.005849104417640399</x:v>
      </x:c>
      <x:c r="G773" s="43" t="n">
        <x:v>0.9742786542016051</x:v>
      </x:c>
      <x:c r="H773" s="32" t="n">
        <x:v>1135235.0562457945</x:v>
      </x:c>
      <x:c r="I773" s="50" t="b">
        <x:v>0</x:v>
      </x:c>
      <x:c r="J773" s="50" t="b">
        <x:v>0</x:v>
      </x:c>
      <x:c r="K773" s="31"/>
      <x:c r="L773" s="31"/>
    </x:row>
    <x:row r="774">
      <x:c r="A774" s="31"/>
      <x:c r="B774" s="31"/>
      <x:c r="C774" s="31"/>
      <x:c r="D774" s="31" t="n">
        <x:v>770</x:v>
      </x:c>
      <x:c r="E774" s="42" t="n">
        <x:v>-0.004205364487700266</x:v>
      </x:c>
      <x:c r="F774" s="42" t="n">
        <x:v>-0.0020201792271030447</x:v>
      </x:c>
      <x:c r="G774" s="43" t="n">
        <x:v>0.9233293216126983</x:v>
      </x:c>
      <x:c r="H774" s="32" t="n">
        <x:v>1408027.8670767937</x:v>
      </x:c>
      <x:c r="I774" s="50" t="b">
        <x:v>0</x:v>
      </x:c>
      <x:c r="J774" s="50" t="b">
        <x:v>0</x:v>
      </x:c>
      <x:c r="K774" s="31"/>
      <x:c r="L774" s="31"/>
    </x:row>
    <x:row r="775">
      <x:c r="A775" s="31"/>
      <x:c r="B775" s="31"/>
      <x:c r="C775" s="31"/>
      <x:c r="D775" s="31" t="n">
        <x:v>771</x:v>
      </x:c>
      <x:c r="E775" s="42" t="n">
        <x:v>-0.009570247647899408</x:v>
      </x:c>
      <x:c r="F775" s="42" t="n">
        <x:v>0.0020430056546936054</x:v>
      </x:c>
      <x:c r="G775" s="43" t="n">
        <x:v>0.9542164671821771</x:v>
      </x:c>
      <x:c r="H775" s="32" t="n">
        <x:v>1185629.3811737387</x:v>
      </x:c>
      <x:c r="I775" s="50" t="b">
        <x:v>0</x:v>
      </x:c>
      <x:c r="J775" s="50" t="b">
        <x:v>0</x:v>
      </x:c>
      <x:c r="K775" s="31"/>
      <x:c r="L775" s="31"/>
    </x:row>
    <x:row r="776">
      <x:c r="A776" s="31"/>
      <x:c r="B776" s="31"/>
      <x:c r="C776" s="31"/>
      <x:c r="D776" s="31" t="n">
        <x:v>772</x:v>
      </x:c>
      <x:c r="E776" s="42" t="n">
        <x:v>-0.012693628791201339</x:v>
      </x:c>
      <x:c r="F776" s="42" t="n">
        <x:v>0.010399643841941083</x:v>
      </x:c>
      <x:c r="G776" s="43" t="n">
        <x:v>0.9774456510219557</x:v>
      </x:c>
      <x:c r="H776" s="32" t="n">
        <x:v>1006152.723944928</x:v>
      </x:c>
      <x:c r="I776" s="50" t="b">
        <x:v>0</x:v>
      </x:c>
      <x:c r="J776" s="50" t="b">
        <x:v>0</x:v>
      </x:c>
      <x:c r="K776" s="31"/>
      <x:c r="L776" s="31"/>
    </x:row>
    <x:row r="777">
      <x:c r="A777" s="31"/>
      <x:c r="B777" s="31"/>
      <x:c r="C777" s="31"/>
      <x:c r="D777" s="31" t="n">
        <x:v>773</x:v>
      </x:c>
      <x:c r="E777" s="42" t="n">
        <x:v>0.011821016487037449</x:v>
      </x:c>
      <x:c r="F777" s="42" t="n">
        <x:v>-0.0041693735914971036</x:v>
      </x:c>
      <x:c r="G777" s="43" t="n">
        <x:v>0.9557039581224239</x:v>
      </x:c>
      <x:c r="H777" s="32" t="n">
        <x:v>1253018.1134429704</x:v>
      </x:c>
      <x:c r="I777" s="50" t="b">
        <x:v>0</x:v>
      </x:c>
      <x:c r="J777" s="50" t="b">
        <x:v>0</x:v>
      </x:c>
      <x:c r="K777" s="31"/>
      <x:c r="L777" s="31"/>
    </x:row>
    <x:row r="778">
      <x:c r="A778" s="31"/>
      <x:c r="B778" s="31"/>
      <x:c r="C778" s="31"/>
      <x:c r="D778" s="31" t="n">
        <x:v>774</x:v>
      </x:c>
      <x:c r="E778" s="42" t="n">
        <x:v>-0.00011666979942335431</x:v>
      </x:c>
      <x:c r="F778" s="42" t="n">
        <x:v>-0.005187736662367921</x:v>
      </x:c>
      <x:c r="G778" s="43" t="n">
        <x:v>1.013869853095291</x:v>
      </x:c>
      <x:c r="H778" s="32" t="n">
        <x:v>853229.3074097963</x:v>
      </x:c>
      <x:c r="I778" s="50" t="b">
        <x:v>1</x:v>
      </x:c>
      <x:c r="J778" s="50" t="b">
        <x:v>0</x:v>
      </x:c>
      <x:c r="K778" s="31"/>
      <x:c r="L778" s="31"/>
    </x:row>
    <x:row r="779">
      <x:c r="A779" s="31"/>
      <x:c r="B779" s="31"/>
      <x:c r="C779" s="31"/>
      <x:c r="D779" s="31" t="n">
        <x:v>775</x:v>
      </x:c>
      <x:c r="E779" s="42" t="n">
        <x:v>0.007335699525406257</x:v>
      </x:c>
      <x:c r="F779" s="42" t="n">
        <x:v>0.0020311907152518486</x:v>
      </x:c>
      <x:c r="G779" s="43" t="n">
        <x:v>1.0411451115541872</x:v>
      </x:c>
      <x:c r="H779" s="32" t="n">
        <x:v>680661.8899155753</x:v>
      </x:c>
      <x:c r="I779" s="50" t="b">
        <x:v>1</x:v>
      </x:c>
      <x:c r="J779" s="50" t="b">
        <x:v>0</x:v>
      </x:c>
      <x:c r="K779" s="31"/>
      <x:c r="L779" s="31"/>
    </x:row>
    <x:row r="780">
      <x:c r="A780" s="31"/>
      <x:c r="B780" s="31"/>
      <x:c r="C780" s="31"/>
      <x:c r="D780" s="31" t="n">
        <x:v>776</x:v>
      </x:c>
      <x:c r="E780" s="42" t="n">
        <x:v>0.005582680855538123</x:v>
      </x:c>
      <x:c r="F780" s="42" t="n">
        <x:v>-0.006278326350849756</x:v>
      </x:c>
      <x:c r="G780" s="43" t="n">
        <x:v>1.006658482319667</x:v>
      </x:c>
      <x:c r="H780" s="32" t="n">
        <x:v>917926.5685873072</x:v>
      </x:c>
      <x:c r="I780" s="50" t="b">
        <x:v>1</x:v>
      </x:c>
      <x:c r="J780" s="50" t="b">
        <x:v>0</x:v>
      </x:c>
      <x:c r="K780" s="31"/>
      <x:c r="L780" s="31"/>
    </x:row>
    <x:row r="781">
      <x:c r="A781" s="31"/>
      <x:c r="B781" s="31"/>
      <x:c r="C781" s="31"/>
      <x:c r="D781" s="31" t="n">
        <x:v>777</x:v>
      </x:c>
      <x:c r="E781" s="42" t="n">
        <x:v>-0.00284676682336514</x:v>
      </x:c>
      <x:c r="F781" s="42" t="n">
        <x:v>0.005019577513384247</x:v>
      </x:c>
      <x:c r="G781" s="43" t="n">
        <x:v>0.9851336355317029</x:v>
      </x:c>
      <x:c r="H781" s="32" t="n">
        <x:v>999713.0698968037</x:v>
      </x:c>
      <x:c r="I781" s="50" t="b">
        <x:v>1</x:v>
      </x:c>
      <x:c r="J781" s="50" t="b">
        <x:v>0</x:v>
      </x:c>
      <x:c r="K781" s="31"/>
      <x:c r="L781" s="31"/>
    </x:row>
    <x:row r="782">
      <x:c r="A782" s="31"/>
      <x:c r="B782" s="31"/>
      <x:c r="C782" s="31"/>
      <x:c r="D782" s="31" t="n">
        <x:v>778</x:v>
      </x:c>
      <x:c r="E782" s="42" t="n">
        <x:v>0.02978230537190413</x:v>
      </x:c>
      <x:c r="F782" s="42" t="n">
        <x:v>0.003193307755072348</x:v>
      </x:c>
      <x:c r="G782" s="43" t="n">
        <x:v>0.93983768387036</x:v>
      </x:c>
      <x:c r="H782" s="32" t="n">
        <x:v>1383281.650906115</x:v>
      </x:c>
      <x:c r="I782" s="50" t="b">
        <x:v>0</x:v>
      </x:c>
      <x:c r="J782" s="50" t="b">
        <x:v>0</x:v>
      </x:c>
      <x:c r="K782" s="31"/>
      <x:c r="L782" s="31"/>
    </x:row>
    <x:row r="783">
      <x:c r="A783" s="31"/>
      <x:c r="B783" s="31"/>
      <x:c r="C783" s="31"/>
      <x:c r="D783" s="31" t="n">
        <x:v>779</x:v>
      </x:c>
      <x:c r="E783" s="42" t="n">
        <x:v>-0.006525941015976573</x:v>
      </x:c>
      <x:c r="F783" s="42" t="n">
        <x:v>-0.0016262993806053976</x:v>
      </x:c>
      <x:c r="G783" s="43" t="n">
        <x:v>0.9438005450164879</x:v>
      </x:c>
      <x:c r="H783" s="32" t="n">
        <x:v>1270465.3506705323</x:v>
      </x:c>
      <x:c r="I783" s="50" t="b">
        <x:v>0</x:v>
      </x:c>
      <x:c r="J783" s="50" t="b">
        <x:v>0</x:v>
      </x:c>
      <x:c r="K783" s="31"/>
      <x:c r="L783" s="31"/>
    </x:row>
    <x:row r="784">
      <x:c r="A784" s="31"/>
      <x:c r="B784" s="31"/>
      <x:c r="C784" s="31"/>
      <x:c r="D784" s="31" t="n">
        <x:v>780</x:v>
      </x:c>
      <x:c r="E784" s="42" t="n">
        <x:v>0.007666827055801856</x:v>
      </x:c>
      <x:c r="F784" s="42" t="n">
        <x:v>-0.0037547611106036856</x:v>
      </x:c>
      <x:c r="G784" s="43" t="n">
        <x:v>0.9776616011367176</x:v>
      </x:c>
      <x:c r="H784" s="32" t="n">
        <x:v>1100854.167878017</x:v>
      </x:c>
      <x:c r="I784" s="50" t="b">
        <x:v>0</x:v>
      </x:c>
      <x:c r="J784" s="50" t="b">
        <x:v>0</x:v>
      </x:c>
      <x:c r="K784" s="31"/>
      <x:c r="L784" s="31"/>
    </x:row>
    <x:row r="785">
      <x:c r="A785" s="31"/>
      <x:c r="B785" s="31"/>
      <x:c r="C785" s="31"/>
      <x:c r="D785" s="31" t="n">
        <x:v>781</x:v>
      </x:c>
      <x:c r="E785" s="42" t="n">
        <x:v>-0.007113108475584289</x:v>
      </x:c>
      <x:c r="F785" s="42" t="n">
        <x:v>-0.0016926701727834029</x:v>
      </x:c>
      <x:c r="G785" s="43" t="n">
        <x:v>0.9928742319977564</x:v>
      </x:c>
      <x:c r="H785" s="32" t="n">
        <x:v>957363.0338887853</x:v>
      </x:c>
      <x:c r="I785" s="50" t="b">
        <x:v>1</x:v>
      </x:c>
      <x:c r="J785" s="50" t="b">
        <x:v>0</x:v>
      </x:c>
      <x:c r="K785" s="31"/>
      <x:c r="L785" s="31"/>
    </x:row>
    <x:row r="786">
      <x:c r="A786" s="31"/>
      <x:c r="B786" s="31"/>
      <x:c r="C786" s="31"/>
      <x:c r="D786" s="31" t="n">
        <x:v>782</x:v>
      </x:c>
      <x:c r="E786" s="42" t="n">
        <x:v>-0.000919665383898945</x:v>
      </x:c>
      <x:c r="F786" s="42" t="n">
        <x:v>0.0003264416051957277</x:v>
      </x:c>
      <x:c r="G786" s="43" t="n">
        <x:v>0.982807506980846</x:v>
      </x:c>
      <x:c r="H786" s="32" t="n">
        <x:v>1032913.2110288941</x:v>
      </x:c>
      <x:c r="I786" s="50" t="b">
        <x:v>0</x:v>
      </x:c>
      <x:c r="J786" s="50" t="b">
        <x:v>0</x:v>
      </x:c>
      <x:c r="K786" s="31"/>
      <x:c r="L786" s="31"/>
    </x:row>
    <x:row r="787">
      <x:c r="A787" s="31"/>
      <x:c r="B787" s="31"/>
      <x:c r="C787" s="31"/>
      <x:c r="D787" s="31" t="n">
        <x:v>783</x:v>
      </x:c>
      <x:c r="E787" s="42" t="n">
        <x:v>-0.006996348463845104</x:v>
      </x:c>
      <x:c r="F787" s="42" t="n">
        <x:v>0.013320095081213781</x:v>
      </x:c>
      <x:c r="G787" s="43" t="n">
        <x:v>1.0397574990816232</x:v>
      </x:c>
      <x:c r="H787" s="32" t="n">
        <x:v>618157.7230594275</x:v>
      </x:c>
      <x:c r="I787" s="50" t="b">
        <x:v>1</x:v>
      </x:c>
      <x:c r="J787" s="50" t="b">
        <x:v>0</x:v>
      </x:c>
      <x:c r="K787" s="31"/>
      <x:c r="L787" s="31"/>
    </x:row>
    <x:row r="788">
      <x:c r="A788" s="31"/>
      <x:c r="B788" s="31"/>
      <x:c r="C788" s="31"/>
      <x:c r="D788" s="31" t="n">
        <x:v>784</x:v>
      </x:c>
      <x:c r="E788" s="42" t="n">
        <x:v>-0.005810654838062857</x:v>
      </x:c>
      <x:c r="F788" s="42" t="n">
        <x:v>0.002693267927133503</x:v>
      </x:c>
      <x:c r="G788" s="43" t="n">
        <x:v>0.9604272646653089</x:v>
      </x:c>
      <x:c r="H788" s="32" t="n">
        <x:v>1154841.3089655265</x:v>
      </x:c>
      <x:c r="I788" s="50" t="b">
        <x:v>0</x:v>
      </x:c>
      <x:c r="J788" s="50" t="b">
        <x:v>0</x:v>
      </x:c>
      <x:c r="K788" s="31"/>
      <x:c r="L788" s="31"/>
    </x:row>
    <x:row r="789">
      <x:c r="A789" s="31"/>
      <x:c r="B789" s="31"/>
      <x:c r="C789" s="31"/>
      <x:c r="D789" s="31" t="n">
        <x:v>785</x:v>
      </x:c>
      <x:c r="E789" s="42" t="n">
        <x:v>-0.01870476257791467</x:v>
      </x:c>
      <x:c r="F789" s="42" t="n">
        <x:v>0.013431699879451435</x:v>
      </x:c>
      <x:c r="G789" s="43" t="n">
        <x:v>1.028858774198405</x:v>
      </x:c>
      <x:c r="H789" s="32" t="n">
        <x:v>654471.0602062002</x:v>
      </x:c>
      <x:c r="I789" s="50" t="b">
        <x:v>1</x:v>
      </x:c>
      <x:c r="J789" s="50" t="b">
        <x:v>0</x:v>
      </x:c>
      <x:c r="K789" s="31"/>
      <x:c r="L789" s="31"/>
    </x:row>
    <x:row r="790">
      <x:c r="A790" s="31"/>
      <x:c r="B790" s="31"/>
      <x:c r="C790" s="31"/>
      <x:c r="D790" s="31" t="n">
        <x:v>786</x:v>
      </x:c>
      <x:c r="E790" s="42" t="n">
        <x:v>0.005905060925691672</x:v>
      </x:c>
      <x:c r="F790" s="42" t="n">
        <x:v>-0.008005992067719417</x:v>
      </x:c>
      <x:c r="G790" s="43" t="n">
        <x:v>0.9968424292956104</x:v>
      </x:c>
      <x:c r="H790" s="32" t="n">
        <x:v>985971.8051885804</x:v>
      </x:c>
      <x:c r="I790" s="50" t="b">
        <x:v>1</x:v>
      </x:c>
      <x:c r="J790" s="50" t="b">
        <x:v>0</x:v>
      </x:c>
      <x:c r="K790" s="31"/>
      <x:c r="L790" s="31"/>
    </x:row>
    <x:row r="791">
      <x:c r="A791" s="31"/>
      <x:c r="B791" s="31"/>
      <x:c r="C791" s="31"/>
      <x:c r="D791" s="31" t="n">
        <x:v>787</x:v>
      </x:c>
      <x:c r="E791" s="42" t="n">
        <x:v>-0.0053043022978095395</x:v>
      </x:c>
      <x:c r="F791" s="42" t="n">
        <x:v>0.010850787446483098</x:v>
      </x:c>
      <x:c r="G791" s="43" t="n">
        <x:v>1.0456430716570222</x:v>
      </x:c>
      <x:c r="H791" s="32" t="n">
        <x:v>592363.389421961</x:v>
      </x:c>
      <x:c r="I791" s="50" t="b">
        <x:v>1</x:v>
      </x:c>
      <x:c r="J791" s="50" t="b">
        <x:v>0</x:v>
      </x:c>
      <x:c r="K791" s="31"/>
      <x:c r="L791" s="31"/>
    </x:row>
    <x:row r="792">
      <x:c r="A792" s="31"/>
      <x:c r="B792" s="31"/>
      <x:c r="C792" s="31"/>
      <x:c r="D792" s="31" t="n">
        <x:v>788</x:v>
      </x:c>
      <x:c r="E792" s="42" t="n">
        <x:v>0.006339418672595821</x:v>
      </x:c>
      <x:c r="F792" s="42" t="n">
        <x:v>-0.004489480277806943</x:v>
      </x:c>
      <x:c r="G792" s="43" t="n">
        <x:v>0.979665755082716</x:v>
      </x:c>
      <x:c r="H792" s="32" t="n">
        <x:v>1086476.6073515278</x:v>
      </x:c>
      <x:c r="I792" s="50" t="b">
        <x:v>0</x:v>
      </x:c>
      <x:c r="J792" s="50" t="b">
        <x:v>0</x:v>
      </x:c>
      <x:c r="K792" s="31"/>
      <x:c r="L792" s="31"/>
    </x:row>
    <x:row r="793">
      <x:c r="A793" s="31"/>
      <x:c r="B793" s="31"/>
      <x:c r="C793" s="31"/>
      <x:c r="D793" s="31" t="n">
        <x:v>789</x:v>
      </x:c>
      <x:c r="E793" s="42" t="n">
        <x:v>-0.001423037394309784</x:v>
      </x:c>
      <x:c r="F793" s="42" t="n">
        <x:v>0.009090596485767414</x:v>
      </x:c>
      <x:c r="G793" s="43" t="n">
        <x:v>0.9663634204887964</x:v>
      </x:c>
      <x:c r="H793" s="32" t="n">
        <x:v>1111548.4398955447</x:v>
      </x:c>
      <x:c r="I793" s="50" t="b">
        <x:v>0</x:v>
      </x:c>
      <x:c r="J793" s="50" t="b">
        <x:v>0</x:v>
      </x:c>
      <x:c r="K793" s="31"/>
      <x:c r="L793" s="31"/>
    </x:row>
    <x:row r="794">
      <x:c r="A794" s="31"/>
      <x:c r="B794" s="31"/>
      <x:c r="C794" s="31"/>
      <x:c r="D794" s="31" t="n">
        <x:v>790</x:v>
      </x:c>
      <x:c r="E794" s="42" t="n">
        <x:v>-0.008038207182147223</x:v>
      </x:c>
      <x:c r="F794" s="42" t="n">
        <x:v>0.0019169562252650209</x:v>
      </x:c>
      <x:c r="G794" s="43" t="n">
        <x:v>0.9980345461343307</x:v>
      </x:c>
      <x:c r="H794" s="32" t="n">
        <x:v>911968.8765931344</x:v>
      </x:c>
      <x:c r="I794" s="50" t="b">
        <x:v>1</x:v>
      </x:c>
      <x:c r="J794" s="50" t="b">
        <x:v>0</x:v>
      </x:c>
      <x:c r="K794" s="31"/>
      <x:c r="L794" s="31"/>
    </x:row>
    <x:row r="795">
      <x:c r="A795" s="31"/>
      <x:c r="B795" s="31"/>
      <x:c r="C795" s="31"/>
      <x:c r="D795" s="31" t="n">
        <x:v>791</x:v>
      </x:c>
      <x:c r="E795" s="42" t="n">
        <x:v>-0.01570415046086689</x:v>
      </x:c>
      <x:c r="F795" s="42" t="n">
        <x:v>0.005339650347454195</x:v>
      </x:c>
      <x:c r="G795" s="43" t="n">
        <x:v>0.9600660215939706</x:v>
      </x:c>
      <x:c r="H795" s="32" t="n">
        <x:v>1122230.4298148577</x:v>
      </x:c>
      <x:c r="I795" s="50" t="b">
        <x:v>0</x:v>
      </x:c>
      <x:c r="J795" s="50" t="b">
        <x:v>0</x:v>
      </x:c>
      <x:c r="K795" s="31"/>
      <x:c r="L795" s="31"/>
    </x:row>
    <x:row r="796">
      <x:c r="A796" s="31"/>
      <x:c r="B796" s="31"/>
      <x:c r="C796" s="31"/>
      <x:c r="D796" s="31" t="n">
        <x:v>792</x:v>
      </x:c>
      <x:c r="E796" s="42" t="n">
        <x:v>0.0029573787950405066</x:v>
      </x:c>
      <x:c r="F796" s="42" t="n">
        <x:v>-0.004866854551018364</x:v>
      </x:c>
      <x:c r="G796" s="43" t="n">
        <x:v>0.9629501814092833</x:v>
      </x:c>
      <x:c r="H796" s="32" t="n">
        <x:v>1184268.7853110167</x:v>
      </x:c>
      <x:c r="I796" s="50" t="b">
        <x:v>0</x:v>
      </x:c>
      <x:c r="J796" s="50" t="b">
        <x:v>0</x:v>
      </x:c>
      <x:c r="K796" s="31"/>
      <x:c r="L796" s="31"/>
    </x:row>
    <x:row r="797">
      <x:c r="A797" s="31"/>
      <x:c r="B797" s="31"/>
      <x:c r="C797" s="31"/>
      <x:c r="D797" s="31" t="n">
        <x:v>793</x:v>
      </x:c>
      <x:c r="E797" s="42" t="n">
        <x:v>-0.007805979235553984</x:v>
      </x:c>
      <x:c r="F797" s="42" t="n">
        <x:v>0.007616170253738444</x:v>
      </x:c>
      <x:c r="G797" s="43" t="n">
        <x:v>0.9855005446549756</x:v>
      </x:c>
      <x:c r="H797" s="32" t="n">
        <x:v>976351.1859818439</x:v>
      </x:c>
      <x:c r="I797" s="50" t="b">
        <x:v>1</x:v>
      </x:c>
      <x:c r="J797" s="50" t="b">
        <x:v>0</x:v>
      </x:c>
      <x:c r="K797" s="31"/>
      <x:c r="L797" s="31"/>
    </x:row>
    <x:row r="798">
      <x:c r="A798" s="31"/>
      <x:c r="B798" s="31"/>
      <x:c r="C798" s="31"/>
      <x:c r="D798" s="31" t="n">
        <x:v>794</x:v>
      </x:c>
      <x:c r="E798" s="42" t="n">
        <x:v>0.0018370893247479812</x:v>
      </x:c>
      <x:c r="F798" s="42" t="n">
        <x:v>0.000664121237164525</x:v>
      </x:c>
      <x:c r="G798" s="43" t="n">
        <x:v>1.0512469718086606</x:v>
      </x:c>
      <x:c r="H798" s="32" t="n">
        <x:v>605007.6876921024</x:v>
      </x:c>
      <x:c r="I798" s="50" t="b">
        <x:v>1</x:v>
      </x:c>
      <x:c r="J798" s="50" t="b">
        <x:v>0</x:v>
      </x:c>
      <x:c r="K798" s="31"/>
      <x:c r="L798" s="31"/>
    </x:row>
    <x:row r="799">
      <x:c r="A799" s="31"/>
      <x:c r="B799" s="31"/>
      <x:c r="C799" s="31"/>
      <x:c r="D799" s="31" t="n">
        <x:v>795</x:v>
      </x:c>
      <x:c r="E799" s="42" t="n">
        <x:v>0.006272061957187886</x:v>
      </x:c>
      <x:c r="F799" s="42" t="n">
        <x:v>0.00724444078260818</x:v>
      </x:c>
      <x:c r="G799" s="43" t="n">
        <x:v>1.0389289261152252</x:v>
      </x:c>
      <x:c r="H799" s="32" t="n">
        <x:v>677264.3811493507</x:v>
      </x:c>
      <x:c r="I799" s="50" t="b">
        <x:v>1</x:v>
      </x:c>
      <x:c r="J799" s="50" t="b">
        <x:v>0</x:v>
      </x:c>
      <x:c r="K799" s="31"/>
      <x:c r="L799" s="31"/>
    </x:row>
    <x:row r="800">
      <x:c r="A800" s="31"/>
      <x:c r="B800" s="31"/>
      <x:c r="C800" s="31"/>
      <x:c r="D800" s="31" t="n">
        <x:v>796</x:v>
      </x:c>
      <x:c r="E800" s="42" t="n">
        <x:v>0.00887781245958432</x:v>
      </x:c>
      <x:c r="F800" s="42" t="n">
        <x:v>0.0018036659308695519</x:v>
      </x:c>
      <x:c r="G800" s="43" t="n">
        <x:v>0.9714337397575393</x:v>
      </x:c>
      <x:c r="H800" s="32" t="n">
        <x:v>1128304.2982191956</x:v>
      </x:c>
      <x:c r="I800" s="50" t="b">
        <x:v>0</x:v>
      </x:c>
      <x:c r="J800" s="50" t="b">
        <x:v>0</x:v>
      </x:c>
      <x:c r="K800" s="31"/>
      <x:c r="L800" s="31"/>
    </x:row>
    <x:row r="801">
      <x:c r="A801" s="31"/>
      <x:c r="B801" s="31"/>
      <x:c r="C801" s="31"/>
      <x:c r="D801" s="31" t="n">
        <x:v>797</x:v>
      </x:c>
      <x:c r="E801" s="42" t="n">
        <x:v>0.007232958733152779</x:v>
      </x:c>
      <x:c r="F801" s="42" t="n">
        <x:v>-0.00351886350743565</x:v>
      </x:c>
      <x:c r="G801" s="43" t="n">
        <x:v>1.005355771281442</x:v>
      </x:c>
      <x:c r="H801" s="32" t="n">
        <x:v>923112.2653582136</x:v>
      </x:c>
      <x:c r="I801" s="50" t="b">
        <x:v>1</x:v>
      </x:c>
      <x:c r="J801" s="50" t="b">
        <x:v>0</x:v>
      </x:c>
      <x:c r="K801" s="31"/>
      <x:c r="L801" s="31"/>
    </x:row>
    <x:row r="802">
      <x:c r="A802" s="31"/>
      <x:c r="B802" s="31"/>
      <x:c r="C802" s="31"/>
      <x:c r="D802" s="31" t="n">
        <x:v>798</x:v>
      </x:c>
      <x:c r="E802" s="42" t="n">
        <x:v>0.03662948770358819</x:v>
      </x:c>
      <x:c r="F802" s="42" t="n">
        <x:v>0.014009733533880119</x:v>
      </x:c>
      <x:c r="G802" s="43" t="n">
        <x:v>1.0268002484434973</x:v>
      </x:c>
      <x:c r="H802" s="32" t="n">
        <x:v>819959.299383073</x:v>
      </x:c>
      <x:c r="I802" s="50" t="b">
        <x:v>1</x:v>
      </x:c>
      <x:c r="J802" s="50" t="b">
        <x:v>0</x:v>
      </x:c>
      <x:c r="K802" s="31"/>
      <x:c r="L802" s="31"/>
    </x:row>
    <x:row r="803">
      <x:c r="A803" s="31"/>
      <x:c r="B803" s="31"/>
      <x:c r="C803" s="31"/>
      <x:c r="D803" s="31" t="n">
        <x:v>799</x:v>
      </x:c>
      <x:c r="E803" s="42" t="n">
        <x:v>0.02287307869021364</x:v>
      </x:c>
      <x:c r="F803" s="42" t="n">
        <x:v>0.005405391566721532</x:v>
      </x:c>
      <x:c r="G803" s="43" t="n">
        <x:v>0.9074748133555788</x:v>
      </x:c>
      <x:c r="H803" s="32" t="n">
        <x:v>1563419.429037247</x:v>
      </x:c>
      <x:c r="I803" s="50" t="b">
        <x:v>0</x:v>
      </x:c>
      <x:c r="J803" s="50" t="b">
        <x:v>0</x:v>
      </x:c>
      <x:c r="K803" s="31"/>
      <x:c r="L803" s="31"/>
    </x:row>
    <x:row r="804">
      <x:c r="A804" s="31"/>
      <x:c r="B804" s="31"/>
      <x:c r="C804" s="31"/>
      <x:c r="D804" s="31" t="n">
        <x:v>800</x:v>
      </x:c>
      <x:c r="E804" s="42" t="n">
        <x:v>0.005647218957726503</x:v>
      </x:c>
      <x:c r="F804" s="42" t="n">
        <x:v>0.005214891899533984</x:v>
      </x:c>
      <x:c r="G804" s="43" t="n">
        <x:v>1.0059005937641923</x:v>
      </x:c>
      <x:c r="H804" s="32" t="n">
        <x:v>890927.7131482634</x:v>
      </x:c>
      <x:c r="I804" s="50" t="b">
        <x:v>1</x:v>
      </x:c>
      <x:c r="J804" s="50" t="b">
        <x:v>0</x:v>
      </x:c>
      <x:c r="K804" s="31"/>
      <x:c r="L804" s="31"/>
    </x:row>
    <x:row r="805">
      <x:c r="A805" s="31"/>
      <x:c r="B805" s="31"/>
      <x:c r="C805" s="31"/>
      <x:c r="D805" s="31" t="n">
        <x:v>801</x:v>
      </x:c>
      <x:c r="E805" s="42" t="n">
        <x:v>-0.0001314731988118987</x:v>
      </x:c>
      <x:c r="F805" s="42" t="n">
        <x:v>0.0007591372767668353</x:v>
      </x:c>
      <x:c r="G805" s="43" t="n">
        <x:v>0.9714329421677815</x:v>
      </x:c>
      <x:c r="H805" s="32" t="n">
        <x:v>1106139.2858080321</x:v>
      </x:c>
      <x:c r="I805" s="50" t="b">
        <x:v>0</x:v>
      </x:c>
      <x:c r="J805" s="50" t="b">
        <x:v>0</x:v>
      </x:c>
      <x:c r="K805" s="31"/>
      <x:c r="L805" s="31"/>
    </x:row>
    <x:row r="806">
      <x:c r="A806" s="31"/>
      <x:c r="B806" s="31"/>
      <x:c r="C806" s="31"/>
      <x:c r="D806" s="31" t="n">
        <x:v>802</x:v>
      </x:c>
      <x:c r="E806" s="42" t="n">
        <x:v>0.018889819208464012</x:v>
      </x:c>
      <x:c r="F806" s="42" t="n">
        <x:v>-0.0025148356027012205</x:v>
      </x:c>
      <x:c r="G806" s="43" t="n">
        <x:v>0.9218719096432367</x:v>
      </x:c>
      <x:c r="H806" s="32" t="n">
        <x:v>1482946.30800382</x:v>
      </x:c>
      <x:c r="I806" s="50" t="b">
        <x:v>0</x:v>
      </x:c>
      <x:c r="J806" s="50" t="b">
        <x:v>0</x:v>
      </x:c>
      <x:c r="K806" s="31"/>
      <x:c r="L806" s="31"/>
    </x:row>
    <x:row r="807">
      <x:c r="A807" s="31"/>
      <x:c r="B807" s="31"/>
      <x:c r="C807" s="31"/>
      <x:c r="D807" s="31" t="n">
        <x:v>803</x:v>
      </x:c>
      <x:c r="E807" s="42" t="n">
        <x:v>0.006313723613198348</x:v>
      </x:c>
      <x:c r="F807" s="42" t="n">
        <x:v>0.004006641987105299</x:v>
      </x:c>
      <x:c r="G807" s="43" t="n">
        <x:v>1.032164571849106</x:v>
      </x:c>
      <x:c r="H807" s="32" t="n">
        <x:v>729351.2723079885</x:v>
      </x:c>
      <x:c r="I807" s="50" t="b">
        <x:v>1</x:v>
      </x:c>
      <x:c r="J807" s="50" t="b">
        <x:v>0</x:v>
      </x:c>
      <x:c r="K807" s="31"/>
      <x:c r="L807" s="31"/>
    </x:row>
    <x:row r="808">
      <x:c r="A808" s="31"/>
      <x:c r="B808" s="31"/>
      <x:c r="C808" s="31"/>
      <x:c r="D808" s="31" t="n">
        <x:v>804</x:v>
      </x:c>
      <x:c r="E808" s="42" t="n">
        <x:v>-0.016720963162831132</x:v>
      </x:c>
      <x:c r="F808" s="42" t="n">
        <x:v>-0.0022849120241780164</x:v>
      </x:c>
      <x:c r="G808" s="43" t="n">
        <x:v>0.9866191447324595</x:v>
      </x:c>
      <x:c r="H808" s="32" t="n">
        <x:v>971992.1098825901</x:v>
      </x:c>
      <x:c r="I808" s="50" t="b">
        <x:v>1</x:v>
      </x:c>
      <x:c r="J808" s="50" t="b">
        <x:v>0</x:v>
      </x:c>
      <x:c r="K808" s="31"/>
      <x:c r="L808" s="31"/>
    </x:row>
    <x:row r="809">
      <x:c r="A809" s="31"/>
      <x:c r="B809" s="31"/>
      <x:c r="C809" s="31"/>
      <x:c r="D809" s="31" t="n">
        <x:v>805</x:v>
      </x:c>
      <x:c r="E809" s="42" t="n">
        <x:v>0.03150855979285034</x:v>
      </x:c>
      <x:c r="F809" s="42" t="n">
        <x:v>0.0010005118498095762</x:v>
      </x:c>
      <x:c r="G809" s="43" t="n">
        <x:v>0.9694295272726219</x:v>
      </x:c>
      <x:c r="H809" s="32" t="n">
        <x:v>1206261.2509695003</x:v>
      </x:c>
      <x:c r="I809" s="50" t="b">
        <x:v>0</x:v>
      </x:c>
      <x:c r="J809" s="50" t="b">
        <x:v>0</x:v>
      </x:c>
      <x:c r="K809" s="31"/>
      <x:c r="L809" s="31"/>
    </x:row>
    <x:row r="810">
      <x:c r="A810" s="31"/>
      <x:c r="B810" s="31"/>
      <x:c r="C810" s="31"/>
      <x:c r="D810" s="31" t="n">
        <x:v>806</x:v>
      </x:c>
      <x:c r="E810" s="42" t="n">
        <x:v>-0.004036106964275492</x:v>
      </x:c>
      <x:c r="F810" s="42" t="n">
        <x:v>-0.0014391721567381676</x:v>
      </x:c>
      <x:c r="G810" s="43" t="n">
        <x:v>0.9774146807406561</x:v>
      </x:c>
      <x:c r="H810" s="32" t="n">
        <x:v>1063401.4178316812</x:v>
      </x:c>
      <x:c r="I810" s="50" t="b">
        <x:v>0</x:v>
      </x:c>
      <x:c r="J810" s="50" t="b">
        <x:v>0</x:v>
      </x:c>
      <x:c r="K810" s="31"/>
      <x:c r="L810" s="31"/>
    </x:row>
    <x:row r="811">
      <x:c r="A811" s="31"/>
      <x:c r="B811" s="31"/>
      <x:c r="C811" s="31"/>
      <x:c r="D811" s="31" t="n">
        <x:v>807</x:v>
      </x:c>
      <x:c r="E811" s="42" t="n">
        <x:v>0.0026099605483418695</x:v>
      </x:c>
      <x:c r="F811" s="42" t="n">
        <x:v>-0.011023904388299989</x:v>
      </x:c>
      <x:c r="G811" s="43" t="n">
        <x:v>0.9497949841064013</x:v>
      </x:c>
      <x:c r="H811" s="32" t="n">
        <x:v>1283984.843380394</x:v>
      </x:c>
      <x:c r="I811" s="50" t="b">
        <x:v>0</x:v>
      </x:c>
      <x:c r="J811" s="50" t="b">
        <x:v>0</x:v>
      </x:c>
      <x:c r="K811" s="31"/>
      <x:c r="L811" s="31"/>
    </x:row>
    <x:row r="812">
      <x:c r="A812" s="31"/>
      <x:c r="B812" s="31"/>
      <x:c r="C812" s="31"/>
      <x:c r="D812" s="31" t="n">
        <x:v>808</x:v>
      </x:c>
      <x:c r="E812" s="42" t="n">
        <x:v>0.010103099689163252</x:v>
      </x:c>
      <x:c r="F812" s="42" t="n">
        <x:v>0.00497558208952123</x:v>
      </x:c>
      <x:c r="G812" s="43" t="n">
        <x:v>1.0612028310151118</x:v>
      </x:c>
      <x:c r="H812" s="32" t="n">
        <x:v>552788.5069328274</x:v>
      </x:c>
      <x:c r="I812" s="50" t="b">
        <x:v>1</x:v>
      </x:c>
      <x:c r="J812" s="50" t="b">
        <x:v>0</x:v>
      </x:c>
      <x:c r="K812" s="31"/>
      <x:c r="L812" s="31"/>
    </x:row>
    <x:row r="813">
      <x:c r="A813" s="31"/>
      <x:c r="B813" s="31"/>
      <x:c r="C813" s="31"/>
      <x:c r="D813" s="31" t="n">
        <x:v>809</x:v>
      </x:c>
      <x:c r="E813" s="42" t="n">
        <x:v>0.002938713388451057</x:v>
      </x:c>
      <x:c r="F813" s="42" t="n">
        <x:v>0.00044360647853846106</x:v>
      </x:c>
      <x:c r="G813" s="43" t="n">
        <x:v>0.9615175303084771</x:v>
      </x:c>
      <x:c r="H813" s="32" t="n">
        <x:v>1178533.3928831804</x:v>
      </x:c>
      <x:c r="I813" s="50" t="b">
        <x:v>0</x:v>
      </x:c>
      <x:c r="J813" s="50" t="b">
        <x:v>0</x:v>
      </x:c>
      <x:c r="K813" s="31"/>
      <x:c r="L813" s="31"/>
    </x:row>
    <x:row r="814">
      <x:c r="A814" s="31"/>
      <x:c r="B814" s="31"/>
      <x:c r="C814" s="31"/>
      <x:c r="D814" s="31" t="n">
        <x:v>810</x:v>
      </x:c>
      <x:c r="E814" s="42" t="n">
        <x:v>0.0012953511324581394</x:v>
      </x:c>
      <x:c r="F814" s="42" t="n">
        <x:v>-0.0055921826877469915</x:v>
      </x:c>
      <x:c r="G814" s="43" t="n">
        <x:v>1.0270071303705546</x:v>
      </x:c>
      <x:c r="H814" s="32" t="n">
        <x:v>774854.4685579218</x:v>
      </x:c>
      <x:c r="I814" s="50" t="b">
        <x:v>1</x:v>
      </x:c>
      <x:c r="J814" s="50" t="b">
        <x:v>0</x:v>
      </x:c>
      <x:c r="K814" s="31"/>
      <x:c r="L814" s="31"/>
    </x:row>
    <x:row r="815">
      <x:c r="A815" s="31"/>
      <x:c r="B815" s="31"/>
      <x:c r="C815" s="31"/>
      <x:c r="D815" s="31" t="n">
        <x:v>811</x:v>
      </x:c>
      <x:c r="E815" s="42" t="n">
        <x:v>-0.004721131186637752</x:v>
      </x:c>
      <x:c r="F815" s="42" t="n">
        <x:v>0.004689445518977069</x:v>
      </x:c>
      <x:c r="G815" s="43" t="n">
        <x:v>0.9361780878702783</x:v>
      </x:c>
      <x:c r="H815" s="32" t="n">
        <x:v>1306317.0642312372</x:v>
      </x:c>
      <x:c r="I815" s="50" t="b">
        <x:v>0</x:v>
      </x:c>
      <x:c r="J815" s="50" t="b">
        <x:v>0</x:v>
      </x:c>
      <x:c r="K815" s="31"/>
      <x:c r="L815" s="31"/>
    </x:row>
    <x:row r="816">
      <x:c r="A816" s="31"/>
      <x:c r="B816" s="31"/>
      <x:c r="C816" s="31"/>
      <x:c r="D816" s="31" t="n">
        <x:v>812</x:v>
      </x:c>
      <x:c r="E816" s="42" t="n">
        <x:v>-0.0005347611062135304</x:v>
      </x:c>
      <x:c r="F816" s="42" t="n">
        <x:v>0.008014981796422533</x:v>
      </x:c>
      <x:c r="G816" s="43" t="n">
        <x:v>1.026205512934373</x:v>
      </x:c>
      <x:c r="H816" s="32" t="n">
        <x:v>736975.3050599458</x:v>
      </x:c>
      <x:c r="I816" s="50" t="b">
        <x:v>1</x:v>
      </x:c>
      <x:c r="J816" s="50" t="b">
        <x:v>0</x:v>
      </x:c>
      <x:c r="K816" s="31"/>
      <x:c r="L816" s="31"/>
    </x:row>
    <x:row r="817">
      <x:c r="A817" s="31"/>
      <x:c r="B817" s="31"/>
      <x:c r="C817" s="31"/>
      <x:c r="D817" s="31" t="n">
        <x:v>813</x:v>
      </x:c>
      <x:c r="E817" s="42" t="n">
        <x:v>0.011570953984837108</x:v>
      </x:c>
      <x:c r="F817" s="42" t="n">
        <x:v>-0.008239551622486725</x:v>
      </x:c>
      <x:c r="G817" s="43" t="n">
        <x:v>1.0337471016769617</x:v>
      </x:c>
      <x:c r="H817" s="32" t="n">
        <x:v>768022.2557470973</x:v>
      </x:c>
      <x:c r="I817" s="50" t="b">
        <x:v>1</x:v>
      </x:c>
      <x:c r="J817" s="50" t="b">
        <x:v>0</x:v>
      </x:c>
      <x:c r="K817" s="31"/>
      <x:c r="L817" s="31"/>
    </x:row>
    <x:row r="818">
      <x:c r="A818" s="31"/>
      <x:c r="B818" s="31"/>
      <x:c r="C818" s="31"/>
      <x:c r="D818" s="31" t="n">
        <x:v>814</x:v>
      </x:c>
      <x:c r="E818" s="42" t="n">
        <x:v>-0.005194691598785399</x:v>
      </x:c>
      <x:c r="F818" s="42" t="n">
        <x:v>-0.0022776781848042062</x:v>
      </x:c>
      <x:c r="G818" s="43" t="n">
        <x:v>0.9672269006507173</x:v>
      </x:c>
      <x:c r="H818" s="32" t="n">
        <x:v>1127210.0907827904</x:v>
      </x:c>
      <x:c r="I818" s="50" t="b">
        <x:v>0</x:v>
      </x:c>
      <x:c r="J818" s="50" t="b">
        <x:v>0</x:v>
      </x:c>
      <x:c r="K818" s="31"/>
      <x:c r="L818" s="31"/>
    </x:row>
    <x:row r="819">
      <x:c r="A819" s="31"/>
      <x:c r="B819" s="31"/>
      <x:c r="C819" s="31"/>
      <x:c r="D819" s="31" t="n">
        <x:v>815</x:v>
      </x:c>
      <x:c r="E819" s="42" t="n">
        <x:v>-0.0025227988581710144</x:v>
      </x:c>
      <x:c r="F819" s="42" t="n">
        <x:v>0.002724094457156437</x:v>
      </x:c>
      <x:c r="G819" s="43" t="n">
        <x:v>0.9465738236546889</x:v>
      </x:c>
      <x:c r="H819" s="32" t="n">
        <x:v>1251886.4844545831</x:v>
      </x:c>
      <x:c r="I819" s="50" t="b">
        <x:v>0</x:v>
      </x:c>
      <x:c r="J819" s="50" t="b">
        <x:v>0</x:v>
      </x:c>
      <x:c r="K819" s="31"/>
      <x:c r="L819" s="31"/>
    </x:row>
    <x:row r="820">
      <x:c r="A820" s="31"/>
      <x:c r="B820" s="31"/>
      <x:c r="C820" s="31"/>
      <x:c r="D820" s="31" t="n">
        <x:v>816</x:v>
      </x:c>
      <x:c r="E820" s="42" t="n">
        <x:v>-0.01416377271649843</x:v>
      </x:c>
      <x:c r="F820" s="42" t="n">
        <x:v>-0.004650021055831881</x:v>
      </x:c>
      <x:c r="G820" s="43" t="n">
        <x:v>1.0169108597982937</x:v>
      </x:c>
      <x:c r="H820" s="32" t="n">
        <x:v>793319.5954655858</x:v>
      </x:c>
      <x:c r="I820" s="50" t="b">
        <x:v>1</x:v>
      </x:c>
      <x:c r="J820" s="50" t="b">
        <x:v>0</x:v>
      </x:c>
      <x:c r="K820" s="31"/>
      <x:c r="L820" s="31"/>
    </x:row>
    <x:row r="821">
      <x:c r="A821" s="31"/>
      <x:c r="B821" s="31"/>
      <x:c r="C821" s="31"/>
      <x:c r="D821" s="31" t="n">
        <x:v>817</x:v>
      </x:c>
      <x:c r="E821" s="42" t="n">
        <x:v>0.009913726721624942</x:v>
      </x:c>
      <x:c r="F821" s="42" t="n">
        <x:v>0.004619639680478073</x:v>
      </x:c>
      <x:c r="G821" s="43" t="n">
        <x:v>0.9913142660033207</x:v>
      </x:c>
      <x:c r="H821" s="32" t="n">
        <x:v>997094.0415625388</x:v>
      </x:c>
      <x:c r="I821" s="50" t="b">
        <x:v>1</x:v>
      </x:c>
      <x:c r="J821" s="50" t="b">
        <x:v>0</x:v>
      </x:c>
      <x:c r="K821" s="31"/>
      <x:c r="L821" s="31"/>
    </x:row>
    <x:row r="822">
      <x:c r="A822" s="31"/>
      <x:c r="B822" s="31"/>
      <x:c r="C822" s="31"/>
      <x:c r="D822" s="31" t="n">
        <x:v>818</x:v>
      </x:c>
      <x:c r="E822" s="42" t="n">
        <x:v>-0.010646518428879113</x:v>
      </x:c>
      <x:c r="F822" s="42" t="n">
        <x:v>-0.0030113584672437754</x:v>
      </x:c>
      <x:c r="G822" s="43" t="n">
        <x:v>1.070417987080267</x:v>
      </x:c>
      <x:c r="H822" s="32" t="n">
        <x:v>458740.5435893899</x:v>
      </x:c>
      <x:c r="I822" s="50" t="b">
        <x:v>1</x:v>
      </x:c>
      <x:c r="J822" s="50" t="b">
        <x:v>0</x:v>
      </x:c>
      <x:c r="K822" s="31"/>
      <x:c r="L822" s="31"/>
    </x:row>
    <x:row r="823">
      <x:c r="A823" s="31"/>
      <x:c r="B823" s="31"/>
      <x:c r="C823" s="31"/>
      <x:c r="D823" s="31" t="n">
        <x:v>819</x:v>
      </x:c>
      <x:c r="E823" s="42" t="n">
        <x:v>0.0003920258362370486</x:v>
      </x:c>
      <x:c r="F823" s="42" t="n">
        <x:v>0.008609305495642212</x:v>
      </x:c>
      <x:c r="G823" s="43" t="n">
        <x:v>0.9183061957732448</x:v>
      </x:c>
      <x:c r="H823" s="32" t="n">
        <x:v>1423137.805209536</x:v>
      </x:c>
      <x:c r="I823" s="50" t="b">
        <x:v>0</x:v>
      </x:c>
      <x:c r="J823" s="50" t="b">
        <x:v>0</x:v>
      </x:c>
      <x:c r="K823" s="31"/>
      <x:c r="L823" s="31"/>
    </x:row>
    <x:row r="824">
      <x:c r="A824" s="31"/>
      <x:c r="B824" s="31"/>
      <x:c r="C824" s="31"/>
      <x:c r="D824" s="31" t="n">
        <x:v>820</x:v>
      </x:c>
      <x:c r="E824" s="42" t="n">
        <x:v>0.005798506280147675</x:v>
      </x:c>
      <x:c r="F824" s="42" t="n">
        <x:v>0.0056025531945178625</x:v>
      </x:c>
      <x:c r="G824" s="43" t="n">
        <x:v>1.0032066557471044</x:v>
      </x:c>
      <x:c r="H824" s="32" t="n">
        <x:v>907378.1752882224</x:v>
      </x:c>
      <x:c r="I824" s="50" t="b">
        <x:v>1</x:v>
      </x:c>
      <x:c r="J824" s="50" t="b">
        <x:v>0</x:v>
      </x:c>
      <x:c r="K824" s="31"/>
      <x:c r="L824" s="31"/>
    </x:row>
    <x:row r="825">
      <x:c r="A825" s="31"/>
      <x:c r="B825" s="31"/>
      <x:c r="C825" s="31"/>
      <x:c r="D825" s="31" t="n">
        <x:v>821</x:v>
      </x:c>
      <x:c r="E825" s="42" t="n">
        <x:v>0.006823242104049554</x:v>
      </x:c>
      <x:c r="F825" s="42" t="n">
        <x:v>-0.0015803893871460454</x:v>
      </x:c>
      <x:c r="G825" s="43" t="n">
        <x:v>0.942376721899042</x:v>
      </x:c>
      <x:c r="H825" s="32" t="n">
        <x:v>1316537.591491135</x:v>
      </x:c>
      <x:c r="I825" s="50" t="b">
        <x:v>0</x:v>
      </x:c>
      <x:c r="J825" s="50" t="b">
        <x:v>0</x:v>
      </x:c>
      <x:c r="K825" s="31"/>
      <x:c r="L825" s="31"/>
    </x:row>
    <x:row r="826">
      <x:c r="A826" s="31"/>
      <x:c r="B826" s="31"/>
      <x:c r="C826" s="31"/>
      <x:c r="D826" s="31" t="n">
        <x:v>822</x:v>
      </x:c>
      <x:c r="E826" s="42" t="n">
        <x:v>-0.003986473269422627</x:v>
      </x:c>
      <x:c r="F826" s="42" t="n">
        <x:v>0.004365989829757337</x:v>
      </x:c>
      <x:c r="G826" s="43" t="n">
        <x:v>0.9681594459402777</x:v>
      </x:c>
      <x:c r="H826" s="32" t="n">
        <x:v>1106158.073056147</x:v>
      </x:c>
      <x:c r="I826" s="50" t="b">
        <x:v>0</x:v>
      </x:c>
      <x:c r="J826" s="50" t="b">
        <x:v>0</x:v>
      </x:c>
      <x:c r="K826" s="31"/>
      <x:c r="L826" s="31"/>
    </x:row>
    <x:row r="827">
      <x:c r="A827" s="31"/>
      <x:c r="B827" s="31"/>
      <x:c r="C827" s="31"/>
      <x:c r="D827" s="31" t="n">
        <x:v>823</x:v>
      </x:c>
      <x:c r="E827" s="42" t="n">
        <x:v>0.008799862243760078</x:v>
      </x:c>
      <x:c r="F827" s="42" t="n">
        <x:v>0.007527208287915078</x:v>
      </x:c>
      <x:c r="G827" s="43" t="n">
        <x:v>1.0565069795035695</x:v>
      </x:c>
      <x:c r="H827" s="32" t="n">
        <x:v>571880.391366154</x:v>
      </x:c>
      <x:c r="I827" s="50" t="b">
        <x:v>1</x:v>
      </x:c>
      <x:c r="J827" s="50" t="b">
        <x:v>0</x:v>
      </x:c>
      <x:c r="K827" s="31"/>
      <x:c r="L827" s="31"/>
    </x:row>
    <x:row r="828">
      <x:c r="A828" s="31"/>
      <x:c r="B828" s="31"/>
      <x:c r="C828" s="31"/>
      <x:c r="D828" s="31" t="n">
        <x:v>824</x:v>
      </x:c>
      <x:c r="E828" s="42" t="n">
        <x:v>-0.02230259883997817</x:v>
      </x:c>
      <x:c r="F828" s="42" t="n">
        <x:v>0.005545474384577433</x:v>
      </x:c>
      <x:c r="G828" s="43" t="n">
        <x:v>1.0204293561928726</x:v>
      </x:c>
      <x:c r="H828" s="32" t="n">
        <x:v>719940.6609826754</x:v>
      </x:c>
      <x:c r="I828" s="50" t="b">
        <x:v>1</x:v>
      </x:c>
      <x:c r="J828" s="50" t="b">
        <x:v>0</x:v>
      </x:c>
      <x:c r="K828" s="31"/>
      <x:c r="L828" s="31"/>
    </x:row>
    <x:row r="829">
      <x:c r="A829" s="31"/>
      <x:c r="B829" s="31"/>
      <x:c r="C829" s="31"/>
      <x:c r="D829" s="31" t="n">
        <x:v>825</x:v>
      </x:c>
      <x:c r="E829" s="42" t="n">
        <x:v>0.01493051236245434</x:v>
      </x:c>
      <x:c r="F829" s="42" t="n">
        <x:v>-0.004896772258889587</x:v>
      </x:c>
      <x:c r="G829" s="43" t="n">
        <x:v>0.9443178643852685</x:v>
      </x:c>
      <x:c r="H829" s="32" t="n">
        <x:v>1336007.9536396065</x:v>
      </x:c>
      <x:c r="I829" s="50" t="b">
        <x:v>0</x:v>
      </x:c>
      <x:c r="J829" s="50" t="b">
        <x:v>0</x:v>
      </x:c>
      <x:c r="K829" s="31"/>
      <x:c r="L829" s="31"/>
    </x:row>
    <x:row r="830">
      <x:c r="A830" s="31"/>
      <x:c r="B830" s="31"/>
      <x:c r="C830" s="31"/>
      <x:c r="D830" s="31" t="n">
        <x:v>826</x:v>
      </x:c>
      <x:c r="E830" s="42" t="n">
        <x:v>0.008503196777252867</x:v>
      </x:c>
      <x:c r="F830" s="42" t="n">
        <x:v>-0.006629100975740158</x:v>
      </x:c>
      <x:c r="G830" s="43" t="n">
        <x:v>0.9835738856054153</x:v>
      </x:c>
      <x:c r="H830" s="32" t="n">
        <x:v>1073635.8166406793</x:v>
      </x:c>
      <x:c r="I830" s="50" t="b">
        <x:v>0</x:v>
      </x:c>
      <x:c r="J830" s="50" t="b">
        <x:v>0</x:v>
      </x:c>
      <x:c r="K830" s="31"/>
      <x:c r="L830" s="31"/>
    </x:row>
    <x:row r="831">
      <x:c r="A831" s="31"/>
      <x:c r="B831" s="31"/>
      <x:c r="C831" s="31"/>
      <x:c r="D831" s="31" t="n">
        <x:v>827</x:v>
      </x:c>
      <x:c r="E831" s="42" t="n">
        <x:v>-0.015521989236788642</x:v>
      </x:c>
      <x:c r="F831" s="42" t="n">
        <x:v>-0.0009626857142770723</x:v>
      </x:c>
      <x:c r="G831" s="43" t="n">
        <x:v>0.9816260638925676</x:v>
      </x:c>
      <x:c r="H831" s="32" t="n">
        <x:v>1003358.6337154323</x:v>
      </x:c>
      <x:c r="I831" s="50" t="b">
        <x:v>0</x:v>
      </x:c>
      <x:c r="J831" s="50" t="b">
        <x:v>0</x:v>
      </x:c>
      <x:c r="K831" s="31"/>
      <x:c r="L831" s="31"/>
    </x:row>
    <x:row r="832">
      <x:c r="A832" s="31"/>
      <x:c r="B832" s="31"/>
      <x:c r="C832" s="31"/>
      <x:c r="D832" s="31" t="n">
        <x:v>828</x:v>
      </x:c>
      <x:c r="E832" s="42" t="n">
        <x:v>0.0017392793763512083</x:v>
      </x:c>
      <x:c r="F832" s="42" t="n">
        <x:v>0.003899562459117157</x:v>
      </x:c>
      <x:c r="G832" s="43" t="n">
        <x:v>1.043508702042835</x:v>
      </x:c>
      <x:c r="H832" s="32" t="n">
        <x:v>644873.0026494669</x:v>
      </x:c>
      <x:c r="I832" s="50" t="b">
        <x:v>1</x:v>
      </x:c>
      <x:c r="J832" s="50" t="b">
        <x:v>0</x:v>
      </x:c>
      <x:c r="K832" s="31"/>
      <x:c r="L832" s="31"/>
    </x:row>
    <x:row r="833">
      <x:c r="A833" s="31"/>
      <x:c r="B833" s="31"/>
      <x:c r="C833" s="31"/>
      <x:c r="D833" s="31" t="n">
        <x:v>829</x:v>
      </x:c>
      <x:c r="E833" s="42" t="n">
        <x:v>0.023465235291070155</x:v>
      </x:c>
      <x:c r="F833" s="42" t="n">
        <x:v>0.0012662357029370984</x:v>
      </x:c>
      <x:c r="G833" s="43" t="n">
        <x:v>1.0547275724756757</x:v>
      </x:c>
      <x:c r="H833" s="32" t="n">
        <x:v>641429.8331480818</x:v>
      </x:c>
      <x:c r="I833" s="50" t="b">
        <x:v>1</x:v>
      </x:c>
      <x:c r="J833" s="50" t="b">
        <x:v>0</x:v>
      </x:c>
      <x:c r="K833" s="31"/>
      <x:c r="L833" s="31"/>
    </x:row>
    <x:row r="834">
      <x:c r="A834" s="31"/>
      <x:c r="B834" s="31"/>
      <x:c r="C834" s="31"/>
      <x:c r="D834" s="31" t="n">
        <x:v>830</x:v>
      </x:c>
      <x:c r="E834" s="42" t="n">
        <x:v>-0.012920684591136215</x:v>
      </x:c>
      <x:c r="F834" s="42" t="n">
        <x:v>0.0007215614630576907</x:v>
      </x:c>
      <x:c r="G834" s="43" t="n">
        <x:v>1.065243898789808</x:v>
      </x:c>
      <x:c r="H834" s="32" t="n">
        <x:v>474878.8113767108</x:v>
      </x:c>
      <x:c r="I834" s="50" t="b">
        <x:v>1</x:v>
      </x:c>
      <x:c r="J834" s="50" t="b">
        <x:v>0</x:v>
      </x:c>
      <x:c r="K834" s="31"/>
      <x:c r="L834" s="31"/>
    </x:row>
    <x:row r="835">
      <x:c r="A835" s="31"/>
      <x:c r="B835" s="31"/>
      <x:c r="C835" s="31"/>
      <x:c r="D835" s="31" t="n">
        <x:v>831</x:v>
      </x:c>
      <x:c r="E835" s="42" t="n">
        <x:v>0.012616463248303601</x:v>
      </x:c>
      <x:c r="F835" s="42" t="n">
        <x:v>0.005096274315999022</x:v>
      </x:c>
      <x:c r="G835" s="43" t="n">
        <x:v>1.0356288116191228</x:v>
      </x:c>
      <x:c r="H835" s="32" t="n">
        <x:v>721861.6960374883</x:v>
      </x:c>
      <x:c r="I835" s="50" t="b">
        <x:v>1</x:v>
      </x:c>
      <x:c r="J835" s="50" t="b">
        <x:v>0</x:v>
      </x:c>
      <x:c r="K835" s="31"/>
      <x:c r="L835" s="31"/>
    </x:row>
    <x:row r="836">
      <x:c r="A836" s="31"/>
      <x:c r="B836" s="31"/>
      <x:c r="C836" s="31"/>
      <x:c r="D836" s="31" t="n">
        <x:v>832</x:v>
      </x:c>
      <x:c r="E836" s="42" t="n">
        <x:v>0.012281823695118457</x:v>
      </x:c>
      <x:c r="F836" s="42" t="n">
        <x:v>-0.0003979011051219684</x:v>
      </x:c>
      <x:c r="G836" s="43" t="n">
        <x:v>0.9892163270316362</x:v>
      </x:c>
      <x:c r="H836" s="32" t="n">
        <x:v>1030975.5262678964</x:v>
      </x:c>
      <x:c r="I836" s="50" t="b">
        <x:v>0</x:v>
      </x:c>
      <x:c r="J836" s="50" t="b">
        <x:v>0</x:v>
      </x:c>
      <x:c r="K836" s="31"/>
      <x:c r="L836" s="31"/>
    </x:row>
    <x:row r="837">
      <x:c r="A837" s="31"/>
      <x:c r="B837" s="31"/>
      <x:c r="C837" s="31"/>
      <x:c r="D837" s="31" t="n">
        <x:v>833</x:v>
      </x:c>
      <x:c r="E837" s="42" t="n">
        <x:v>-0.01697275550925942</x:v>
      </x:c>
      <x:c r="F837" s="42" t="n">
        <x:v>-0.0078062916583655755</x:v>
      </x:c>
      <x:c r="G837" s="43" t="n">
        <x:v>1.08684542683014</x:v>
      </x:c>
      <x:c r="H837" s="32" t="n">
        <x:v>350152.2484778492</x:v>
      </x:c>
      <x:c r="I837" s="50" t="b">
        <x:v>1</x:v>
      </x:c>
      <x:c r="J837" s="50" t="b">
        <x:v>0</x:v>
      </x:c>
      <x:c r="K837" s="31"/>
      <x:c r="L837" s="31"/>
    </x:row>
    <x:row r="838">
      <x:c r="A838" s="31"/>
      <x:c r="B838" s="31"/>
      <x:c r="C838" s="31"/>
      <x:c r="D838" s="31" t="n">
        <x:v>834</x:v>
      </x:c>
      <x:c r="E838" s="42" t="n">
        <x:v>0.008688947020200847</x:v>
      </x:c>
      <x:c r="F838" s="42" t="n">
        <x:v>-0.002666409862231389</x:v>
      </x:c>
      <x:c r="G838" s="43" t="n">
        <x:v>1.0084265647828377</x:v>
      </x:c>
      <x:c r="H838" s="32" t="n">
        <x:v>905290.503854667</x:v>
      </x:c>
      <x:c r="I838" s="50" t="b">
        <x:v>1</x:v>
      </x:c>
      <x:c r="J838" s="50" t="b">
        <x:v>0</x:v>
      </x:c>
      <x:c r="K838" s="31"/>
      <x:c r="L838" s="31"/>
    </x:row>
    <x:row r="839">
      <x:c r="A839" s="31"/>
      <x:c r="B839" s="31"/>
      <x:c r="C839" s="31"/>
      <x:c r="D839" s="31" t="n">
        <x:v>835</x:v>
      </x:c>
      <x:c r="E839" s="42" t="n">
        <x:v>0.011138408441226988</x:v>
      </x:c>
      <x:c r="F839" s="42" t="n">
        <x:v>0.003258925509893708</x:v>
      </x:c>
      <x:c r="G839" s="43" t="n">
        <x:v>1.0029552149399112</x:v>
      </x:c>
      <x:c r="H839" s="32" t="n">
        <x:v>930362.2781327271</x:v>
      </x:c>
      <x:c r="I839" s="50" t="b">
        <x:v>1</x:v>
      </x:c>
      <x:c r="J839" s="50" t="b">
        <x:v>0</x:v>
      </x:c>
      <x:c r="K839" s="31"/>
      <x:c r="L839" s="31"/>
    </x:row>
    <x:row r="840">
      <x:c r="A840" s="31"/>
      <x:c r="B840" s="31"/>
      <x:c r="C840" s="31"/>
      <x:c r="D840" s="31" t="n">
        <x:v>836</x:v>
      </x:c>
      <x:c r="E840" s="42" t="n">
        <x:v>-0.02063368739121188</x:v>
      </x:c>
      <x:c r="F840" s="42" t="n">
        <x:v>0.0030518281142413255</x:v>
      </x:c>
      <x:c r="G840" s="43" t="n">
        <x:v>1.051647938012664</x:v>
      </x:c>
      <x:c r="H840" s="32" t="n">
        <x:v>533267.1282180588</x:v>
      </x:c>
      <x:c r="I840" s="50" t="b">
        <x:v>1</x:v>
      </x:c>
      <x:c r="J840" s="50" t="b">
        <x:v>0</x:v>
      </x:c>
      <x:c r="K840" s="31"/>
      <x:c r="L840" s="31"/>
    </x:row>
    <x:row r="841">
      <x:c r="A841" s="31"/>
      <x:c r="B841" s="31"/>
      <x:c r="C841" s="31"/>
      <x:c r="D841" s="31" t="n">
        <x:v>837</x:v>
      </x:c>
      <x:c r="E841" s="42" t="n">
        <x:v>0.013034141276356518</x:v>
      </x:c>
      <x:c r="F841" s="42" t="n">
        <x:v>0.0028750688713453927</x:v>
      </x:c>
      <x:c r="G841" s="43" t="n">
        <x:v>1.0230955700914486</x:v>
      </x:c>
      <x:c r="H841" s="32" t="n">
        <x:v>808802.0467774968</x:v>
      </x:c>
      <x:c r="I841" s="50" t="b">
        <x:v>1</x:v>
      </x:c>
      <x:c r="J841" s="50" t="b">
        <x:v>0</x:v>
      </x:c>
      <x:c r="K841" s="31"/>
      <x:c r="L841" s="31"/>
    </x:row>
    <x:row r="842">
      <x:c r="A842" s="31"/>
      <x:c r="B842" s="31"/>
      <x:c r="C842" s="31"/>
      <x:c r="D842" s="31" t="n">
        <x:v>838</x:v>
      </x:c>
      <x:c r="E842" s="42" t="n">
        <x:v>-0.0031352923480777155</x:v>
      </x:c>
      <x:c r="F842" s="42" t="n">
        <x:v>0.0019116841228407867</x:v>
      </x:c>
      <x:c r="G842" s="43" t="n">
        <x:v>0.9301332086745062</x:v>
      </x:c>
      <x:c r="H842" s="32" t="n">
        <x:v>1356852.50625834</x:v>
      </x:c>
      <x:c r="I842" s="50" t="b">
        <x:v>0</x:v>
      </x:c>
      <x:c r="J842" s="50" t="b">
        <x:v>0</x:v>
      </x:c>
      <x:c r="K842" s="31"/>
      <x:c r="L842" s="31"/>
    </x:row>
    <x:row r="843">
      <x:c r="A843" s="31"/>
      <x:c r="B843" s="31"/>
      <x:c r="C843" s="31"/>
      <x:c r="D843" s="31" t="n">
        <x:v>839</x:v>
      </x:c>
      <x:c r="E843" s="42" t="n">
        <x:v>0.002143294177500219</x:v>
      </x:c>
      <x:c r="F843" s="42" t="n">
        <x:v>0.005039048966643764</x:v>
      </x:c>
      <x:c r="G843" s="43" t="n">
        <x:v>1.0365189563179384</x:v>
      </x:c>
      <x:c r="H843" s="32" t="n">
        <x:v>687215.6365421305</x:v>
      </x:c>
      <x:c r="I843" s="50" t="b">
        <x:v>1</x:v>
      </x:c>
      <x:c r="J843" s="50" t="b">
        <x:v>0</x:v>
      </x:c>
      <x:c r="K843" s="31"/>
      <x:c r="L843" s="31"/>
    </x:row>
    <x:row r="844">
      <x:c r="A844" s="31"/>
      <x:c r="B844" s="31"/>
      <x:c r="C844" s="31"/>
      <x:c r="D844" s="31" t="n">
        <x:v>840</x:v>
      </x:c>
      <x:c r="E844" s="42" t="n">
        <x:v>0.0027868404363591698</x:v>
      </x:c>
      <x:c r="F844" s="42" t="n">
        <x:v>-0.010303825850673314</x:v>
      </x:c>
      <x:c r="G844" s="43" t="n">
        <x:v>0.9833105145620488</x:v>
      </x:c>
      <x:c r="H844" s="32" t="n">
        <x:v>1069625.4828519218</x:v>
      </x:c>
      <x:c r="I844" s="50" t="b">
        <x:v>0</x:v>
      </x:c>
      <x:c r="J844" s="50" t="b">
        <x:v>0</x:v>
      </x:c>
      <x:c r="K844" s="31"/>
      <x:c r="L844" s="31"/>
    </x:row>
    <x:row r="845">
      <x:c r="A845" s="31"/>
      <x:c r="B845" s="31"/>
      <x:c r="C845" s="31"/>
      <x:c r="D845" s="31" t="n">
        <x:v>841</x:v>
      </x:c>
      <x:c r="E845" s="42" t="n">
        <x:v>-0.010221099267249205</x:v>
      </x:c>
      <x:c r="F845" s="42" t="n">
        <x:v>-0.007036755191963767</x:v>
      </x:c>
      <x:c r="G845" s="43" t="n">
        <x:v>0.9921425416783844</x:v>
      </x:c>
      <x:c r="H845" s="32" t="n">
        <x:v>968234.0034690453</x:v>
      </x:c>
      <x:c r="I845" s="50" t="b">
        <x:v>1</x:v>
      </x:c>
      <x:c r="J845" s="50" t="b">
        <x:v>0</x:v>
      </x:c>
      <x:c r="K845" s="31"/>
      <x:c r="L845" s="31"/>
    </x:row>
    <x:row r="846">
      <x:c r="A846" s="31"/>
      <x:c r="B846" s="31"/>
      <x:c r="C846" s="31"/>
      <x:c r="D846" s="31" t="n">
        <x:v>842</x:v>
      </x:c>
      <x:c r="E846" s="42" t="n">
        <x:v>-0.009663402177503768</x:v>
      </x:c>
      <x:c r="F846" s="42" t="n">
        <x:v>-0.004026359407672994</x:v>
      </x:c>
      <x:c r="G846" s="43" t="n">
        <x:v>1.019846028154625</x:v>
      </x:c>
      <x:c r="H846" s="32" t="n">
        <x:v>785470.1027631641</x:v>
      </x:c>
      <x:c r="I846" s="50" t="b">
        <x:v>1</x:v>
      </x:c>
      <x:c r="J846" s="50" t="b">
        <x:v>0</x:v>
      </x:c>
      <x:c r="K846" s="31"/>
      <x:c r="L846" s="31"/>
    </x:row>
    <x:row r="847">
      <x:c r="A847" s="31"/>
      <x:c r="B847" s="31"/>
      <x:c r="C847" s="31"/>
      <x:c r="D847" s="31" t="n">
        <x:v>843</x:v>
      </x:c>
      <x:c r="E847" s="42" t="n">
        <x:v>-0.0002884120570986474</x:v>
      </x:c>
      <x:c r="F847" s="42" t="n">
        <x:v>0.0053839413313211334</x:v>
      </x:c>
      <x:c r="G847" s="43" t="n">
        <x:v>0.9570196337755013</x:v>
      </x:c>
      <x:c r="H847" s="32" t="n">
        <x:v>1184363.9146228526</x:v>
      </x:c>
      <x:c r="I847" s="50" t="b">
        <x:v>0</x:v>
      </x:c>
      <x:c r="J847" s="50" t="b">
        <x:v>0</x:v>
      </x:c>
      <x:c r="K847" s="31"/>
      <x:c r="L847" s="31"/>
    </x:row>
    <x:row r="848">
      <x:c r="A848" s="31"/>
      <x:c r="B848" s="31"/>
      <x:c r="C848" s="31"/>
      <x:c r="D848" s="31" t="n">
        <x:v>844</x:v>
      </x:c>
      <x:c r="E848" s="42" t="n">
        <x:v>-0.002918736849331888</x:v>
      </x:c>
      <x:c r="F848" s="42" t="n">
        <x:v>0.0039143969823624905</x:v>
      </x:c>
      <x:c r="G848" s="43" t="n">
        <x:v>0.9641052339983583</x:v>
      </x:c>
      <x:c r="H848" s="32" t="n">
        <x:v>1136134.2768897181</x:v>
      </x:c>
      <x:c r="I848" s="50" t="b">
        <x:v>0</x:v>
      </x:c>
      <x:c r="J848" s="50" t="b">
        <x:v>0</x:v>
      </x:c>
      <x:c r="K848" s="31"/>
      <x:c r="L848" s="31"/>
    </x:row>
    <x:row r="849">
      <x:c r="A849" s="31"/>
      <x:c r="B849" s="31"/>
      <x:c r="C849" s="31"/>
      <x:c r="D849" s="31" t="n">
        <x:v>845</x:v>
      </x:c>
      <x:c r="E849" s="42" t="n">
        <x:v>0.0027028364385289845</x:v>
      </x:c>
      <x:c r="F849" s="42" t="n">
        <x:v>-0.004901264095703471</x:v>
      </x:c>
      <x:c r="G849" s="43" t="n">
        <x:v>1.0238638153138828</x:v>
      </x:c>
      <x:c r="H849" s="32" t="n">
        <x:v>796811.3246851943</x:v>
      </x:c>
      <x:c r="I849" s="50" t="b">
        <x:v>1</x:v>
      </x:c>
      <x:c r="J849" s="50" t="b">
        <x:v>0</x:v>
      </x:c>
      <x:c r="K849" s="31"/>
      <x:c r="L849" s="31"/>
    </x:row>
    <x:row r="850">
      <x:c r="A850" s="31"/>
      <x:c r="B850" s="31"/>
      <x:c r="C850" s="31"/>
      <x:c r="D850" s="31" t="n">
        <x:v>846</x:v>
      </x:c>
      <x:c r="E850" s="42" t="n">
        <x:v>0.003875547889803346</x:v>
      </x:c>
      <x:c r="F850" s="42" t="n">
        <x:v>-0.006517206542636826</x:v>
      </x:c>
      <x:c r="G850" s="43" t="n">
        <x:v>1.041812045958412</x:v>
      </x:c>
      <x:c r="H850" s="32" t="n">
        <x:v>690589.6285842487</x:v>
      </x:c>
      <x:c r="I850" s="50" t="b">
        <x:v>1</x:v>
      </x:c>
      <x:c r="J850" s="50" t="b">
        <x:v>0</x:v>
      </x:c>
      <x:c r="K850" s="31"/>
      <x:c r="L850" s="31"/>
    </x:row>
    <x:row r="851">
      <x:c r="A851" s="31"/>
      <x:c r="B851" s="31"/>
      <x:c r="C851" s="31"/>
      <x:c r="D851" s="31" t="n">
        <x:v>847</x:v>
      </x:c>
      <x:c r="E851" s="42" t="n">
        <x:v>0.0009229332651450113</x:v>
      </x:c>
      <x:c r="F851" s="42" t="n">
        <x:v>-0.009638637417120732</x:v>
      </x:c>
      <x:c r="G851" s="43" t="n">
        <x:v>1.022955898112849</x:v>
      </x:c>
      <x:c r="H851" s="32" t="n">
        <x:v>810809.4256379306</x:v>
      </x:c>
      <x:c r="I851" s="50" t="b">
        <x:v>1</x:v>
      </x:c>
      <x:c r="J851" s="50" t="b">
        <x:v>0</x:v>
      </x:c>
      <x:c r="K851" s="31"/>
      <x:c r="L851" s="31"/>
    </x:row>
    <x:row r="852">
      <x:c r="A852" s="31"/>
      <x:c r="B852" s="31"/>
      <x:c r="C852" s="31"/>
      <x:c r="D852" s="31" t="n">
        <x:v>848</x:v>
      </x:c>
      <x:c r="E852" s="42" t="n">
        <x:v>-0.021855426261497588</x:v>
      </x:c>
      <x:c r="F852" s="42" t="n">
        <x:v>-0.0003563388619097456</x:v>
      </x:c>
      <x:c r="G852" s="43" t="n">
        <x:v>0.9862480179623836</x:v>
      </x:c>
      <x:c r="H852" s="32" t="n">
        <x:v>954688.9097211108</x:v>
      </x:c>
      <x:c r="I852" s="50" t="b">
        <x:v>1</x:v>
      </x:c>
      <x:c r="J852" s="50" t="b">
        <x:v>0</x:v>
      </x:c>
      <x:c r="K852" s="31"/>
      <x:c r="L852" s="31"/>
    </x:row>
    <x:row r="853">
      <x:c r="A853" s="31"/>
      <x:c r="B853" s="31"/>
      <x:c r="C853" s="31"/>
      <x:c r="D853" s="31" t="n">
        <x:v>849</x:v>
      </x:c>
      <x:c r="E853" s="42" t="n">
        <x:v>0.013501058449832227</x:v>
      </x:c>
      <x:c r="F853" s="42" t="n">
        <x:v>0.01880455230899353</x:v>
      </x:c>
      <x:c r="G853" s="43" t="n">
        <x:v>0.9823009003783238</x:v>
      </x:c>
      <x:c r="H853" s="32" t="n">
        <x:v>1024836.6954578669</x:v>
      </x:c>
      <x:c r="I853" s="50" t="b">
        <x:v>0</x:v>
      </x:c>
      <x:c r="J853" s="50" t="b">
        <x:v>0</x:v>
      </x:c>
      <x:c r="K853" s="31"/>
      <x:c r="L853" s="31"/>
    </x:row>
    <x:row r="854">
      <x:c r="A854" s="31"/>
      <x:c r="B854" s="31"/>
      <x:c r="C854" s="31"/>
      <x:c r="D854" s="31" t="n">
        <x:v>850</x:v>
      </x:c>
      <x:c r="E854" s="42" t="n">
        <x:v>-0.021778579074134313</x:v>
      </x:c>
      <x:c r="F854" s="42" t="n">
        <x:v>0.011154274313397045</x:v>
      </x:c>
      <x:c r="G854" s="43" t="n">
        <x:v>1.0118642592775158</x:v>
      </x:c>
      <x:c r="H854" s="32" t="n">
        <x:v>760181.494146128</x:v>
      </x:c>
      <x:c r="I854" s="50" t="b">
        <x:v>1</x:v>
      </x:c>
      <x:c r="J854" s="50" t="b">
        <x:v>0</x:v>
      </x:c>
      <x:c r="K854" s="31"/>
      <x:c r="L854" s="31"/>
    </x:row>
    <x:row r="855">
      <x:c r="A855" s="31"/>
      <x:c r="B855" s="31"/>
      <x:c r="C855" s="31"/>
      <x:c r="D855" s="31" t="n">
        <x:v>851</x:v>
      </x:c>
      <x:c r="E855" s="42" t="n">
        <x:v>0.010006661451088205</x:v>
      </x:c>
      <x:c r="F855" s="42" t="n">
        <x:v>0.010889812421921701</x:v>
      </x:c>
      <x:c r="G855" s="43" t="n">
        <x:v>0.9976270913962825</x:v>
      </x:c>
      <x:c r="H855" s="32" t="n">
        <x:v>939808.6504613638</x:v>
      </x:c>
      <x:c r="I855" s="50" t="b">
        <x:v>1</x:v>
      </x:c>
      <x:c r="J855" s="50" t="b">
        <x:v>0</x:v>
      </x:c>
      <x:c r="K855" s="31"/>
      <x:c r="L855" s="31"/>
    </x:row>
    <x:row r="856">
      <x:c r="A856" s="31"/>
      <x:c r="B856" s="31"/>
      <x:c r="C856" s="31"/>
      <x:c r="D856" s="31" t="n">
        <x:v>852</x:v>
      </x:c>
      <x:c r="E856" s="42" t="n">
        <x:v>0.003691095543472918</x:v>
      </x:c>
      <x:c r="F856" s="42" t="n">
        <x:v>0.003211082898899309</x:v>
      </x:c>
      <x:c r="G856" s="43" t="n">
        <x:v>1.0437104613162806</x:v>
      </x:c>
      <x:c r="H856" s="32" t="n">
        <x:v>650941.0100541797</x:v>
      </x:c>
      <x:c r="I856" s="50" t="b">
        <x:v>1</x:v>
      </x:c>
      <x:c r="J856" s="50" t="b">
        <x:v>0</x:v>
      </x:c>
      <x:c r="K856" s="31"/>
      <x:c r="L856" s="31"/>
    </x:row>
    <x:row r="857">
      <x:c r="A857" s="31"/>
      <x:c r="B857" s="31"/>
      <x:c r="C857" s="31"/>
      <x:c r="D857" s="31" t="n">
        <x:v>853</x:v>
      </x:c>
      <x:c r="E857" s="42" t="n">
        <x:v>0.02376921776662215</x:v>
      </x:c>
      <x:c r="F857" s="42" t="n">
        <x:v>0.007309407055103724</x:v>
      </x:c>
      <x:c r="G857" s="43" t="n">
        <x:v>0.8912475654237035</x:v>
      </x:c>
      <x:c r="H857" s="32" t="n">
        <x:v>1663668.4996701297</x:v>
      </x:c>
      <x:c r="I857" s="50" t="b">
        <x:v>0</x:v>
      </x:c>
      <x:c r="J857" s="50" t="b">
        <x:v>0</x:v>
      </x:c>
      <x:c r="K857" s="31"/>
      <x:c r="L857" s="31"/>
    </x:row>
    <x:row r="858">
      <x:c r="A858" s="31"/>
      <x:c r="B858" s="31"/>
      <x:c r="C858" s="31"/>
      <x:c r="D858" s="31" t="n">
        <x:v>854</x:v>
      </x:c>
      <x:c r="E858" s="42" t="n">
        <x:v>-0.004113575799250509</x:v>
      </x:c>
      <x:c r="F858" s="42" t="n">
        <x:v>0.0067057183425140495</x:v>
      </x:c>
      <x:c r="G858" s="43" t="n">
        <x:v>1.0491948439526477</x:v>
      </x:c>
      <x:c r="H858" s="32" t="n">
        <x:v>584659.4252131663</x:v>
      </x:c>
      <x:c r="I858" s="50" t="b">
        <x:v>1</x:v>
      </x:c>
      <x:c r="J858" s="50" t="b">
        <x:v>0</x:v>
      </x:c>
      <x:c r="K858" s="31"/>
      <x:c r="L858" s="31"/>
    </x:row>
    <x:row r="859">
      <x:c r="A859" s="31"/>
      <x:c r="B859" s="31"/>
      <x:c r="C859" s="31"/>
      <x:c r="D859" s="31" t="n">
        <x:v>855</x:v>
      </x:c>
      <x:c r="E859" s="42" t="n">
        <x:v>0.004413162405875225</x:v>
      </x:c>
      <x:c r="F859" s="42" t="n">
        <x:v>0.0037849471165339855</x:v>
      </x:c>
      <x:c r="G859" s="43" t="n">
        <x:v>0.9712185770829187</x:v>
      </x:c>
      <x:c r="H859" s="32" t="n">
        <x:v>1111728.3410998397</x:v>
      </x:c>
      <x:c r="I859" s="50" t="b">
        <x:v>0</x:v>
      </x:c>
      <x:c r="J859" s="50" t="b">
        <x:v>0</x:v>
      </x:c>
      <x:c r="K859" s="31"/>
      <x:c r="L859" s="31"/>
    </x:row>
    <x:row r="860">
      <x:c r="A860" s="31"/>
      <x:c r="B860" s="31"/>
      <x:c r="C860" s="31"/>
      <x:c r="D860" s="31" t="n">
        <x:v>856</x:v>
      </x:c>
      <x:c r="E860" s="42" t="n">
        <x:v>-0.007809786913990471</x:v>
      </x:c>
      <x:c r="F860" s="42" t="n">
        <x:v>-0.007562540815151928</x:v>
      </x:c>
      <x:c r="G860" s="43" t="n">
        <x:v>0.9611561515710627</x:v>
      </x:c>
      <x:c r="H860" s="32" t="n">
        <x:v>1173195.0034166737</x:v>
      </x:c>
      <x:c r="I860" s="50" t="b">
        <x:v>0</x:v>
      </x:c>
      <x:c r="J860" s="50" t="b">
        <x:v>0</x:v>
      </x:c>
      <x:c r="K860" s="31"/>
      <x:c r="L860" s="31"/>
    </x:row>
    <x:row r="861">
      <x:c r="A861" s="31"/>
      <x:c r="B861" s="31"/>
      <x:c r="C861" s="31"/>
      <x:c r="D861" s="31" t="n">
        <x:v>857</x:v>
      </x:c>
      <x:c r="E861" s="42" t="n">
        <x:v>-0.015891934656576994</x:v>
      </x:c>
      <x:c r="F861" s="42" t="n">
        <x:v>0.01383989220255245</x:v>
      </x:c>
      <x:c r="G861" s="43" t="n">
        <x:v>0.9681365921070267</x:v>
      </x:c>
      <x:c r="H861" s="32" t="n">
        <x:v>1046793.2781548563</x:v>
      </x:c>
      <x:c r="I861" s="50" t="b">
        <x:v>0</x:v>
      </x:c>
      <x:c r="J861" s="50" t="b">
        <x:v>0</x:v>
      </x:c>
      <x:c r="K861" s="31"/>
      <x:c r="L861" s="31"/>
    </x:row>
    <x:row r="862">
      <x:c r="A862" s="31"/>
      <x:c r="B862" s="31"/>
      <x:c r="C862" s="31"/>
      <x:c r="D862" s="31" t="n">
        <x:v>858</x:v>
      </x:c>
      <x:c r="E862" s="42" t="n">
        <x:v>-0.015212295802860263</x:v>
      </x:c>
      <x:c r="F862" s="42" t="n">
        <x:v>0.0006660933887081642</x:v>
      </x:c>
      <x:c r="G862" s="43" t="n">
        <x:v>0.9186111950388924</x:v>
      </x:c>
      <x:c r="H862" s="32" t="n">
        <x:v>1399875.9756619341</x:v>
      </x:c>
      <x:c r="I862" s="50" t="b">
        <x:v>0</x:v>
      </x:c>
      <x:c r="J862" s="50" t="b">
        <x:v>0</x:v>
      </x:c>
      <x:c r="K862" s="31"/>
      <x:c r="L862" s="31"/>
    </x:row>
    <x:row r="863">
      <x:c r="A863" s="31"/>
      <x:c r="B863" s="31"/>
      <x:c r="C863" s="31"/>
      <x:c r="D863" s="31" t="n">
        <x:v>859</x:v>
      </x:c>
      <x:c r="E863" s="42" t="n">
        <x:v>-0.010177617996277704</x:v>
      </x:c>
      <x:c r="F863" s="42" t="n">
        <x:v>-0.006568303598098579</x:v>
      </x:c>
      <x:c r="G863" s="43" t="n">
        <x:v>1.0296449826207026</x:v>
      </x:c>
      <x:c r="H863" s="32" t="n">
        <x:v>728884.0288747626</x:v>
      </x:c>
      <x:c r="I863" s="50" t="b">
        <x:v>1</x:v>
      </x:c>
      <x:c r="J863" s="50" t="b">
        <x:v>0</x:v>
      </x:c>
      <x:c r="K863" s="31"/>
      <x:c r="L863" s="31"/>
    </x:row>
    <x:row r="864">
      <x:c r="A864" s="31"/>
      <x:c r="B864" s="31"/>
      <x:c r="C864" s="31"/>
      <x:c r="D864" s="31" t="n">
        <x:v>860</x:v>
      </x:c>
      <x:c r="E864" s="42" t="n">
        <x:v>0.01604456934870386</x:v>
      </x:c>
      <x:c r="F864" s="42" t="n">
        <x:v>-0.005675946112684026</x:v>
      </x:c>
      <x:c r="G864" s="43" t="n">
        <x:v>1.0190397448979278</x:v>
      </x:c>
      <x:c r="H864" s="32" t="n">
        <x:v>866740.9422296255</x:v>
      </x:c>
      <x:c r="I864" s="50" t="b">
        <x:v>1</x:v>
      </x:c>
      <x:c r="J864" s="50" t="b">
        <x:v>0</x:v>
      </x:c>
      <x:c r="K864" s="31"/>
      <x:c r="L864" s="31"/>
    </x:row>
    <x:row r="865">
      <x:c r="A865" s="31"/>
      <x:c r="B865" s="31"/>
      <x:c r="C865" s="31"/>
      <x:c r="D865" s="31" t="n">
        <x:v>861</x:v>
      </x:c>
      <x:c r="E865" s="42" t="n">
        <x:v>0.008431979861070964</x:v>
      </x:c>
      <x:c r="F865" s="42" t="n">
        <x:v>-0.0004241356313790356</x:v>
      </x:c>
      <x:c r="G865" s="43" t="n">
        <x:v>0.9984162085329102</x:v>
      </x:c>
      <x:c r="H865" s="32" t="n">
        <x:v>961906.6618530361</x:v>
      </x:c>
      <x:c r="I865" s="50" t="b">
        <x:v>1</x:v>
      </x:c>
      <x:c r="J865" s="50" t="b">
        <x:v>0</x:v>
      </x:c>
      <x:c r="K865" s="31"/>
      <x:c r="L865" s="31"/>
    </x:row>
    <x:row r="866">
      <x:c r="A866" s="31"/>
      <x:c r="B866" s="31"/>
      <x:c r="C866" s="31"/>
      <x:c r="D866" s="31" t="n">
        <x:v>862</x:v>
      </x:c>
      <x:c r="E866" s="42" t="n">
        <x:v>-0.02105431613832722</x:v>
      </x:c>
      <x:c r="F866" s="42" t="n">
        <x:v>0.0005566755565341933</x:v>
      </x:c>
      <x:c r="G866" s="43" t="n">
        <x:v>1.061446459069918</x:v>
      </x:c>
      <x:c r="H866" s="32" t="n">
        <x:v>476814.0629242128</x:v>
      </x:c>
      <x:c r="I866" s="50" t="b">
        <x:v>1</x:v>
      </x:c>
      <x:c r="J866" s="50" t="b">
        <x:v>0</x:v>
      </x:c>
      <x:c r="K866" s="31"/>
      <x:c r="L866" s="31"/>
    </x:row>
    <x:row r="867">
      <x:c r="A867" s="31"/>
      <x:c r="B867" s="31"/>
      <x:c r="C867" s="31"/>
      <x:c r="D867" s="31" t="n">
        <x:v>863</x:v>
      </x:c>
      <x:c r="E867" s="42" t="n">
        <x:v>0.0054344811430761045</x:v>
      </x:c>
      <x:c r="F867" s="42" t="n">
        <x:v>-0.004218633585873439</x:v>
      </x:c>
      <x:c r="G867" s="43" t="n">
        <x:v>0.9301418540247277</x:v>
      </x:c>
      <x:c r="H867" s="32" t="n">
        <x:v>1397715.6318636746</x:v>
      </x:c>
      <x:c r="I867" s="50" t="b">
        <x:v>0</x:v>
      </x:c>
      <x:c r="J867" s="50" t="b">
        <x:v>0</x:v>
      </x:c>
      <x:c r="K867" s="31"/>
      <x:c r="L867" s="31"/>
    </x:row>
    <x:row r="868">
      <x:c r="A868" s="31"/>
      <x:c r="B868" s="31"/>
      <x:c r="C868" s="31"/>
      <x:c r="D868" s="31" t="n">
        <x:v>864</x:v>
      </x:c>
      <x:c r="E868" s="42" t="n">
        <x:v>-0.009706806591920058</x:v>
      </x:c>
      <x:c r="F868" s="42" t="n">
        <x:v>-0.013603170748151528</x:v>
      </x:c>
      <x:c r="G868" s="43" t="n">
        <x:v>1.022326535166848</x:v>
      </x:c>
      <x:c r="H868" s="32" t="n">
        <x:v>796253.5759693176</x:v>
      </x:c>
      <x:c r="I868" s="50" t="b">
        <x:v>1</x:v>
      </x:c>
      <x:c r="J868" s="50" t="b">
        <x:v>0</x:v>
      </x:c>
      <x:c r="K868" s="31"/>
      <x:c r="L868" s="31"/>
    </x:row>
    <x:row r="869">
      <x:c r="A869" s="31"/>
      <x:c r="B869" s="31"/>
      <x:c r="C869" s="31"/>
      <x:c r="D869" s="31" t="n">
        <x:v>865</x:v>
      </x:c>
      <x:c r="E869" s="42" t="n">
        <x:v>-0.009127773842108538</x:v>
      </x:c>
      <x:c r="F869" s="42" t="n">
        <x:v>0.0020971599683407495</x:v>
      </x:c>
      <x:c r="G869" s="43" t="n">
        <x:v>0.9538336977593067</x:v>
      </x:c>
      <x:c r="H869" s="32" t="n">
        <x:v>1189141.1340111792</x:v>
      </x:c>
      <x:c r="I869" s="50" t="b">
        <x:v>0</x:v>
      </x:c>
      <x:c r="J869" s="50" t="b">
        <x:v>0</x:v>
      </x:c>
      <x:c r="K869" s="31"/>
      <x:c r="L869" s="31"/>
    </x:row>
    <x:row r="870">
      <x:c r="A870" s="31"/>
      <x:c r="B870" s="31"/>
      <x:c r="C870" s="31"/>
      <x:c r="D870" s="31" t="n">
        <x:v>866</x:v>
      </x:c>
      <x:c r="E870" s="42" t="n">
        <x:v>0.0010655426969226698</x:v>
      </x:c>
      <x:c r="F870" s="42" t="n">
        <x:v>0.0028954976704405654</x:v>
      </x:c>
      <x:c r="G870" s="43" t="n">
        <x:v>0.956710318880038</x:v>
      </x:c>
      <x:c r="H870" s="32" t="n">
        <x:v>1197023.6844344698</x:v>
      </x:c>
      <x:c r="I870" s="50" t="b">
        <x:v>0</x:v>
      </x:c>
      <x:c r="J870" s="50" t="b">
        <x:v>0</x:v>
      </x:c>
      <x:c r="K870" s="31"/>
      <x:c r="L870" s="31"/>
    </x:row>
    <x:row r="871">
      <x:c r="A871" s="31"/>
      <x:c r="B871" s="31"/>
      <x:c r="C871" s="31"/>
      <x:c r="D871" s="31" t="n">
        <x:v>867</x:v>
      </x:c>
      <x:c r="E871" s="42" t="n">
        <x:v>-0.02002879013357043</x:v>
      </x:c>
      <x:c r="F871" s="42" t="n">
        <x:v>0.006374886395219806</x:v>
      </x:c>
      <x:c r="G871" s="43" t="n">
        <x:v>0.92395173528663</x:v>
      </x:c>
      <x:c r="H871" s="32" t="n">
        <x:v>1336662.3921557928</x:v>
      </x:c>
      <x:c r="I871" s="50" t="b">
        <x:v>0</x:v>
      </x:c>
      <x:c r="J871" s="50" t="b">
        <x:v>0</x:v>
      </x:c>
      <x:c r="K871" s="31"/>
      <x:c r="L871" s="31"/>
    </x:row>
    <x:row r="872">
      <x:c r="A872" s="31"/>
      <x:c r="B872" s="31"/>
      <x:c r="C872" s="31"/>
      <x:c r="D872" s="31" t="n">
        <x:v>868</x:v>
      </x:c>
      <x:c r="E872" s="42" t="n">
        <x:v>-0.017336566531201088</x:v>
      </x:c>
      <x:c r="F872" s="42" t="n">
        <x:v>-0.00998111867482153</x:v>
      </x:c>
      <x:c r="G872" s="43" t="n">
        <x:v>1.0126356175832005</x:v>
      </x:c>
      <x:c r="H872" s="32" t="n">
        <x:v>826478.097860662</x:v>
      </x:c>
      <x:c r="I872" s="50" t="b">
        <x:v>1</x:v>
      </x:c>
      <x:c r="J872" s="50" t="b">
        <x:v>0</x:v>
      </x:c>
      <x:c r="K872" s="31"/>
      <x:c r="L872" s="31"/>
    </x:row>
    <x:row r="873">
      <x:c r="A873" s="31"/>
      <x:c r="B873" s="31"/>
      <x:c r="C873" s="31"/>
      <x:c r="D873" s="31" t="n">
        <x:v>869</x:v>
      </x:c>
      <x:c r="E873" s="42" t="n">
        <x:v>0.0014807233951587963</x:v>
      </x:c>
      <x:c r="F873" s="42" t="n">
        <x:v>-0.00010802395575026783</x:v>
      </x:c>
      <x:c r="G873" s="43" t="n">
        <x:v>1.0085442765063697</x:v>
      </x:c>
      <x:c r="H873" s="32" t="n">
        <x:v>877357.3769224142</x:v>
      </x:c>
      <x:c r="I873" s="50" t="b">
        <x:v>1</x:v>
      </x:c>
      <x:c r="J873" s="50" t="b">
        <x:v>0</x:v>
      </x:c>
      <x:c r="K873" s="31"/>
      <x:c r="L873" s="31"/>
    </x:row>
    <x:row r="874">
      <x:c r="A874" s="31"/>
      <x:c r="B874" s="31"/>
      <x:c r="C874" s="31"/>
      <x:c r="D874" s="31" t="n">
        <x:v>870</x:v>
      </x:c>
      <x:c r="E874" s="42" t="n">
        <x:v>0.021028366598957262</x:v>
      </x:c>
      <x:c r="F874" s="42" t="n">
        <x:v>-0.0003661354863803239</x:v>
      </x:c>
      <x:c r="G874" s="43" t="n">
        <x:v>0.9887870563269532</x:v>
      </x:c>
      <x:c r="H874" s="32" t="n">
        <x:v>1057959.475012198</x:v>
      </x:c>
      <x:c r="I874" s="50" t="b">
        <x:v>0</x:v>
      </x:c>
      <x:c r="J874" s="50" t="b">
        <x:v>0</x:v>
      </x:c>
      <x:c r="K874" s="31"/>
      <x:c r="L874" s="31"/>
    </x:row>
    <x:row r="875">
      <x:c r="A875" s="31"/>
      <x:c r="B875" s="31"/>
      <x:c r="C875" s="31"/>
      <x:c r="D875" s="31" t="n">
        <x:v>871</x:v>
      </x:c>
      <x:c r="E875" s="42" t="n">
        <x:v>0.00036055131762350565</x:v>
      </x:c>
      <x:c r="F875" s="42" t="n">
        <x:v>0.006350015251103657</x:v>
      </x:c>
      <x:c r="G875" s="43" t="n">
        <x:v>0.9733306383341936</x:v>
      </x:c>
      <x:c r="H875" s="32" t="n">
        <x:v>1079894.799525831</x:v>
      </x:c>
      <x:c r="I875" s="50" t="b">
        <x:v>0</x:v>
      </x:c>
      <x:c r="J875" s="50" t="b">
        <x:v>0</x:v>
      </x:c>
      <x:c r="K875" s="31"/>
      <x:c r="L875" s="31"/>
    </x:row>
    <x:row r="876">
      <x:c r="A876" s="31"/>
      <x:c r="B876" s="31"/>
      <x:c r="C876" s="31"/>
      <x:c r="D876" s="31" t="n">
        <x:v>872</x:v>
      </x:c>
      <x:c r="E876" s="42" t="n">
        <x:v>0.020656370356813225</x:v>
      </x:c>
      <x:c r="F876" s="42" t="n">
        <x:v>0.002804336472391649</x:v>
      </x:c>
      <x:c r="G876" s="43" t="n">
        <x:v>1.0409519947179546</x:v>
      </x:c>
      <x:c r="H876" s="32" t="n">
        <x:v>716814.6327734863</x:v>
      </x:c>
      <x:c r="I876" s="50" t="b">
        <x:v>1</x:v>
      </x:c>
      <x:c r="J876" s="50" t="b">
        <x:v>0</x:v>
      </x:c>
      <x:c r="K876" s="31"/>
      <x:c r="L876" s="31"/>
    </x:row>
    <x:row r="877">
      <x:c r="A877" s="31"/>
      <x:c r="B877" s="31"/>
      <x:c r="C877" s="31"/>
      <x:c r="D877" s="31" t="n">
        <x:v>873</x:v>
      </x:c>
      <x:c r="E877" s="42" t="n">
        <x:v>0.010487669324611813</x:v>
      </x:c>
      <x:c r="F877" s="42" t="n">
        <x:v>0.0005202344000115751</x:v>
      </x:c>
      <x:c r="G877" s="43" t="n">
        <x:v>1.0032583711781953</x:v>
      </x:c>
      <x:c r="H877" s="32" t="n">
        <x:v>934248.8819712662</x:v>
      </x:c>
      <x:c r="I877" s="50" t="b">
        <x:v>1</x:v>
      </x:c>
      <x:c r="J877" s="50" t="b">
        <x:v>0</x:v>
      </x:c>
      <x:c r="K877" s="31"/>
      <x:c r="L877" s="31"/>
    </x:row>
    <x:row r="878">
      <x:c r="A878" s="31"/>
      <x:c r="B878" s="31"/>
      <x:c r="C878" s="31"/>
      <x:c r="D878" s="31" t="n">
        <x:v>874</x:v>
      </x:c>
      <x:c r="E878" s="42" t="n">
        <x:v>0.002357936543851975</x:v>
      </x:c>
      <x:c r="F878" s="42" t="n">
        <x:v>0.004895044357816578</x:v>
      </x:c>
      <x:c r="G878" s="43" t="n">
        <x:v>0.9986828103755659</x:v>
      </x:c>
      <x:c r="H878" s="32" t="n">
        <x:v>928500.2617176322</x:v>
      </x:c>
      <x:c r="I878" s="50" t="b">
        <x:v>1</x:v>
      </x:c>
      <x:c r="J878" s="50" t="b">
        <x:v>0</x:v>
      </x:c>
      <x:c r="K878" s="31"/>
      <x:c r="L878" s="31"/>
    </x:row>
    <x:row r="879">
      <x:c r="A879" s="31"/>
      <x:c r="B879" s="31"/>
      <x:c r="C879" s="31"/>
      <x:c r="D879" s="31" t="n">
        <x:v>875</x:v>
      </x:c>
      <x:c r="E879" s="42" t="n">
        <x:v>-0.007764703272300268</x:v>
      </x:c>
      <x:c r="F879" s="42" t="n">
        <x:v>-0.003278931725608987</x:v>
      </x:c>
      <x:c r="G879" s="43" t="n">
        <x:v>1.0045469006117649</x:v>
      </x:c>
      <x:c r="H879" s="32" t="n">
        <x:v>885834.9869072569</x:v>
      </x:c>
      <x:c r="I879" s="50" t="b">
        <x:v>1</x:v>
      </x:c>
      <x:c r="J879" s="50" t="b">
        <x:v>0</x:v>
      </x:c>
      <x:c r="K879" s="31"/>
      <x:c r="L879" s="31"/>
    </x:row>
    <x:row r="880">
      <x:c r="A880" s="31"/>
      <x:c r="B880" s="31"/>
      <x:c r="C880" s="31"/>
      <x:c r="D880" s="31" t="n">
        <x:v>876</x:v>
      </x:c>
      <x:c r="E880" s="42" t="n">
        <x:v>0.012353501864712166</x:v>
      </x:c>
      <x:c r="F880" s="42" t="n">
        <x:v>0.00031061874920505387</x:v>
      </x:c>
      <x:c r="G880" s="43" t="n">
        <x:v>1.1065876898905025</x:v>
      </x:c>
      <x:c r="H880" s="32" t="n">
        <x:v>283811.5834262633</x:v>
      </x:c>
      <x:c r="I880" s="50" t="b">
        <x:v>1</x:v>
      </x:c>
      <x:c r="J880" s="50" t="b">
        <x:v>0</x:v>
      </x:c>
      <x:c r="K880" s="31"/>
      <x:c r="L880" s="31"/>
    </x:row>
    <x:row r="881">
      <x:c r="A881" s="31"/>
      <x:c r="B881" s="31"/>
      <x:c r="C881" s="31"/>
      <x:c r="D881" s="31" t="n">
        <x:v>877</x:v>
      </x:c>
      <x:c r="E881" s="42" t="n">
        <x:v>-0.00050549260828537</x:v>
      </x:c>
      <x:c r="F881" s="42" t="n">
        <x:v>-0.011107536819422137</x:v>
      </x:c>
      <x:c r="G881" s="43" t="n">
        <x:v>1.0033856267937884</x:v>
      </x:c>
      <x:c r="H881" s="32" t="n">
        <x:v>935207.1677022404</x:v>
      </x:c>
      <x:c r="I881" s="50" t="b">
        <x:v>1</x:v>
      </x:c>
      <x:c r="J881" s="50" t="b">
        <x:v>0</x:v>
      </x:c>
      <x:c r="K881" s="31"/>
      <x:c r="L881" s="31"/>
    </x:row>
    <x:row r="882">
      <x:c r="A882" s="31"/>
      <x:c r="B882" s="31"/>
      <x:c r="C882" s="31"/>
      <x:c r="D882" s="31" t="n">
        <x:v>878</x:v>
      </x:c>
      <x:c r="E882" s="42" t="n">
        <x:v>-0.00902653631176884</x:v>
      </x:c>
      <x:c r="F882" s="42" t="n">
        <x:v>0.007279811210976537</x:v>
      </x:c>
      <x:c r="G882" s="43" t="n">
        <x:v>1.0675765460805189</x:v>
      </x:c>
      <x:c r="H882" s="32" t="n">
        <x:v>452649.2635423471</x:v>
      </x:c>
      <x:c r="I882" s="50" t="b">
        <x:v>1</x:v>
      </x:c>
      <x:c r="J882" s="50" t="b">
        <x:v>0</x:v>
      </x:c>
      <x:c r="K882" s="31"/>
      <x:c r="L882" s="31"/>
    </x:row>
    <x:row r="883">
      <x:c r="A883" s="31"/>
      <x:c r="B883" s="31"/>
      <x:c r="C883" s="31"/>
      <x:c r="D883" s="31" t="n">
        <x:v>879</x:v>
      </x:c>
      <x:c r="E883" s="42" t="n">
        <x:v>0.005652709076351054</x:v>
      </x:c>
      <x:c r="F883" s="42" t="n">
        <x:v>-0.009115007831243695</x:v>
      </x:c>
      <x:c r="G883" s="43" t="n">
        <x:v>0.9730663769835868</x:v>
      </x:c>
      <x:c r="H883" s="32" t="n">
        <x:v>1139351.1192415596</x:v>
      </x:c>
      <x:c r="I883" s="50" t="b">
        <x:v>0</x:v>
      </x:c>
      <x:c r="J883" s="50" t="b">
        <x:v>0</x:v>
      </x:c>
      <x:c r="K883" s="31"/>
      <x:c r="L883" s="31"/>
    </x:row>
    <x:row r="884">
      <x:c r="A884" s="31"/>
      <x:c r="B884" s="31"/>
      <x:c r="C884" s="31"/>
      <x:c r="D884" s="31" t="n">
        <x:v>880</x:v>
      </x:c>
      <x:c r="E884" s="42" t="n">
        <x:v>0.012917594597284837</x:v>
      </x:c>
      <x:c r="F884" s="42" t="n">
        <x:v>-0.004865015694148423</x:v>
      </x:c>
      <x:c r="G884" s="43" t="n">
        <x:v>0.999874908936899</x:v>
      </x:c>
      <x:c r="H884" s="32" t="n">
        <x:v>977489.9773352686</x:v>
      </x:c>
      <x:c r="I884" s="50" t="b">
        <x:v>1</x:v>
      </x:c>
      <x:c r="J884" s="50" t="b">
        <x:v>0</x:v>
      </x:c>
      <x:c r="K884" s="31"/>
      <x:c r="L884" s="31"/>
    </x:row>
    <x:row r="885">
      <x:c r="A885" s="31"/>
      <x:c r="B885" s="31"/>
      <x:c r="C885" s="31"/>
      <x:c r="D885" s="31" t="n">
        <x:v>881</x:v>
      </x:c>
      <x:c r="E885" s="42" t="n">
        <x:v>-0.022101204733661114</x:v>
      </x:c>
      <x:c r="F885" s="42" t="n">
        <x:v>-0.0016586245279555036</x:v>
      </x:c>
      <x:c r="G885" s="43" t="n">
        <x:v>1.0346987886303602</x:v>
      </x:c>
      <x:c r="H885" s="32" t="n">
        <x:v>649933.0129568626</x:v>
      </x:c>
      <x:c r="I885" s="50" t="b">
        <x:v>1</x:v>
      </x:c>
      <x:c r="J885" s="50" t="b">
        <x:v>0</x:v>
      </x:c>
      <x:c r="K885" s="31"/>
      <x:c r="L885" s="31"/>
    </x:row>
    <x:row r="886">
      <x:c r="A886" s="31"/>
      <x:c r="B886" s="31"/>
      <x:c r="C886" s="31"/>
      <x:c r="D886" s="31" t="n">
        <x:v>882</x:v>
      </x:c>
      <x:c r="E886" s="42" t="n">
        <x:v>-0.008575656972441248</x:v>
      </x:c>
      <x:c r="F886" s="42" t="n">
        <x:v>0.008098353049271154</x:v>
      </x:c>
      <x:c r="G886" s="43" t="n">
        <x:v>1.0956597456302137</x:v>
      </x:c>
      <x:c r="H886" s="32" t="n">
        <x:v>273277.66036444285</x:v>
      </x:c>
      <x:c r="I886" s="50" t="b">
        <x:v>1</x:v>
      </x:c>
      <x:c r="J886" s="50" t="b">
        <x:v>0</x:v>
      </x:c>
      <x:c r="K886" s="31"/>
      <x:c r="L886" s="31"/>
    </x:row>
    <x:row r="887">
      <x:c r="A887" s="31"/>
      <x:c r="B887" s="31"/>
      <x:c r="C887" s="31"/>
      <x:c r="D887" s="31" t="n">
        <x:v>883</x:v>
      </x:c>
      <x:c r="E887" s="42" t="n">
        <x:v>-0.011047333827343946</x:v>
      </x:c>
      <x:c r="F887" s="42" t="n">
        <x:v>0.011385164612514185</x:v>
      </x:c>
      <x:c r="G887" s="43" t="n">
        <x:v>1.0011661443306747</x:v>
      </x:c>
      <x:c r="H887" s="32" t="n">
        <x:v>857350.071519595</x:v>
      </x:c>
      <x:c r="I887" s="50" t="b">
        <x:v>1</x:v>
      </x:c>
      <x:c r="J887" s="50" t="b">
        <x:v>0</x:v>
      </x:c>
      <x:c r="K887" s="31"/>
      <x:c r="L887" s="31"/>
    </x:row>
    <x:row r="888">
      <x:c r="A888" s="31"/>
      <x:c r="B888" s="31"/>
      <x:c r="C888" s="31"/>
      <x:c r="D888" s="31" t="n">
        <x:v>884</x:v>
      </x:c>
      <x:c r="E888" s="42" t="n">
        <x:v>-0.02405060832142081</x:v>
      </x:c>
      <x:c r="F888" s="42" t="n">
        <x:v>0.0018642703765594008</x:v>
      </x:c>
      <x:c r="G888" s="43" t="n">
        <x:v>0.9976177977303692</x:v>
      </x:c>
      <x:c r="H888" s="32" t="n">
        <x:v>870191.30283153</x:v>
      </x:c>
      <x:c r="I888" s="50" t="b">
        <x:v>1</x:v>
      </x:c>
      <x:c r="J888" s="50" t="b">
        <x:v>0</x:v>
      </x:c>
      <x:c r="K888" s="31"/>
      <x:c r="L888" s="31"/>
    </x:row>
    <x:row r="889">
      <x:c r="A889" s="31"/>
      <x:c r="B889" s="31"/>
      <x:c r="C889" s="31"/>
      <x:c r="D889" s="31" t="n">
        <x:v>885</x:v>
      </x:c>
      <x:c r="E889" s="42" t="n">
        <x:v>-0.007986016580736749</x:v>
      </x:c>
      <x:c r="F889" s="42" t="n">
        <x:v>-0.0018951795611146782</x:v>
      </x:c>
      <x:c r="G889" s="43" t="n">
        <x:v>0.9060824986808412</x:v>
      </x:c>
      <x:c r="H889" s="32" t="n">
        <x:v>1506685.9391400083</x:v>
      </x:c>
      <x:c r="I889" s="50" t="b">
        <x:v>0</x:v>
      </x:c>
      <x:c r="J889" s="50" t="b">
        <x:v>0</x:v>
      </x:c>
      <x:c r="K889" s="31"/>
      <x:c r="L889" s="31"/>
    </x:row>
    <x:row r="890">
      <x:c r="A890" s="31"/>
      <x:c r="B890" s="31"/>
      <x:c r="C890" s="31"/>
      <x:c r="D890" s="31" t="n">
        <x:v>886</x:v>
      </x:c>
      <x:c r="E890" s="42" t="n">
        <x:v>-0.010322568255365773</x:v>
      </x:c>
      <x:c r="F890" s="42" t="n">
        <x:v>-0.0005094870876988205</x:v>
      </x:c>
      <x:c r="G890" s="43" t="n">
        <x:v>0.9915748186535528</x:v>
      </x:c>
      <x:c r="H890" s="32" t="n">
        <x:v>953388.2101228242</x:v>
      </x:c>
      <x:c r="I890" s="50" t="b">
        <x:v>1</x:v>
      </x:c>
      <x:c r="J890" s="50" t="b">
        <x:v>0</x:v>
      </x:c>
      <x:c r="K890" s="31"/>
      <x:c r="L890" s="31"/>
    </x:row>
    <x:row r="891">
      <x:c r="A891" s="31"/>
      <x:c r="B891" s="31"/>
      <x:c r="C891" s="31"/>
      <x:c r="D891" s="31" t="n">
        <x:v>887</x:v>
      </x:c>
      <x:c r="E891" s="42" t="n">
        <x:v>-0.0071639990730880876</x:v>
      </x:c>
      <x:c r="F891" s="42" t="n">
        <x:v>-0.0010526507631123778</x:v>
      </x:c>
      <x:c r="G891" s="43" t="n">
        <x:v>0.9298304829111099</x:v>
      </x:c>
      <x:c r="H891" s="32" t="n">
        <x:v>1355812.3266476656</x:v>
      </x:c>
      <x:c r="I891" s="50" t="b">
        <x:v>0</x:v>
      </x:c>
      <x:c r="J891" s="50" t="b">
        <x:v>0</x:v>
      </x:c>
      <x:c r="K891" s="31"/>
      <x:c r="L891" s="31"/>
    </x:row>
    <x:row r="892">
      <x:c r="A892" s="31"/>
      <x:c r="B892" s="31"/>
      <x:c r="C892" s="31"/>
      <x:c r="D892" s="31" t="n">
        <x:v>888</x:v>
      </x:c>
      <x:c r="E892" s="42" t="n">
        <x:v>0.014088679635406899</x:v>
      </x:c>
      <x:c r="F892" s="42" t="n">
        <x:v>-0.0018046471642414025</x:v>
      </x:c>
      <x:c r="G892" s="43" t="n">
        <x:v>1.0170712800203998</x:v>
      </x:c>
      <x:c r="H892" s="32" t="n">
        <x:v>863021.9795173905</x:v>
      </x:c>
      <x:c r="I892" s="50" t="b">
        <x:v>1</x:v>
      </x:c>
      <x:c r="J892" s="50" t="b">
        <x:v>0</x:v>
      </x:c>
      <x:c r="K892" s="31"/>
      <x:c r="L892" s="31"/>
    </x:row>
    <x:row r="893">
      <x:c r="A893" s="31"/>
      <x:c r="B893" s="31"/>
      <x:c r="C893" s="31"/>
      <x:c r="D893" s="31" t="n">
        <x:v>889</x:v>
      </x:c>
      <x:c r="E893" s="42" t="n">
        <x:v>-0.03259029532171205</x:v>
      </x:c>
      <x:c r="F893" s="42" t="n">
        <x:v>-0.008343085506522576</x:v>
      </x:c>
      <x:c r="G893" s="43" t="n">
        <x:v>1.065112548071362</x:v>
      </x:c>
      <x:c r="H893" s="32" t="n">
        <x:v>446193.8297631487</x:v>
      </x:c>
      <x:c r="I893" s="50" t="b">
        <x:v>1</x:v>
      </x:c>
      <x:c r="J893" s="50" t="b">
        <x:v>0</x:v>
      </x:c>
      <x:c r="K893" s="31"/>
      <x:c r="L893" s="31"/>
    </x:row>
    <x:row r="894">
      <x:c r="A894" s="31"/>
      <x:c r="B894" s="31"/>
      <x:c r="C894" s="31"/>
      <x:c r="D894" s="31" t="n">
        <x:v>890</x:v>
      </x:c>
      <x:c r="E894" s="42" t="n">
        <x:v>0.026585327623546477</x:v>
      </x:c>
      <x:c r="F894" s="42" t="n">
        <x:v>-0.009656849724401293</x:v>
      </x:c>
      <x:c r="G894" s="43" t="n">
        <x:v>0.9537311555195691</x:v>
      </x:c>
      <x:c r="H894" s="32" t="n">
        <x:v>1321918.1059386</x:v>
      </x:c>
      <x:c r="I894" s="50" t="b">
        <x:v>0</x:v>
      </x:c>
      <x:c r="J894" s="50" t="b">
        <x:v>0</x:v>
      </x:c>
      <x:c r="K894" s="31"/>
      <x:c r="L894" s="31"/>
    </x:row>
    <x:row r="895">
      <x:c r="A895" s="31"/>
      <x:c r="B895" s="31"/>
      <x:c r="C895" s="31"/>
      <x:c r="D895" s="31" t="n">
        <x:v>891</x:v>
      </x:c>
      <x:c r="E895" s="42" t="n">
        <x:v>0.01431562029594479</x:v>
      </x:c>
      <x:c r="F895" s="42" t="n">
        <x:v>-0.00219465550146972</x:v>
      </x:c>
      <x:c r="G895" s="43" t="n">
        <x:v>0.8747981276946877</x:v>
      </x:c>
      <x:c r="H895" s="32" t="n">
        <x:v>1768274.54989488</x:v>
      </x:c>
      <x:c r="I895" s="50" t="b">
        <x:v>0</x:v>
      </x:c>
      <x:c r="J895" s="50" t="b">
        <x:v>0</x:v>
      </x:c>
      <x:c r="K895" s="31"/>
      <x:c r="L895" s="31"/>
    </x:row>
    <x:row r="896">
      <x:c r="A896" s="31"/>
      <x:c r="B896" s="31"/>
      <x:c r="C896" s="31"/>
      <x:c r="D896" s="31" t="n">
        <x:v>892</x:v>
      </x:c>
      <x:c r="E896" s="42" t="n">
        <x:v>0.0021113370852224433</x:v>
      </x:c>
      <x:c r="F896" s="42" t="n">
        <x:v>0.0014443413485246794</x:v>
      </x:c>
      <x:c r="G896" s="43" t="n">
        <x:v>0.9649956663837945</x:v>
      </x:c>
      <x:c r="H896" s="32" t="n">
        <x:v>1151356.177516702</x:v>
      </x:c>
      <x:c r="I896" s="50" t="b">
        <x:v>0</x:v>
      </x:c>
      <x:c r="J896" s="50" t="b">
        <x:v>0</x:v>
      </x:c>
      <x:c r="K896" s="31"/>
      <x:c r="L896" s="31"/>
    </x:row>
    <x:row r="897">
      <x:c r="A897" s="31"/>
      <x:c r="B897" s="31"/>
      <x:c r="C897" s="31"/>
      <x:c r="D897" s="31" t="n">
        <x:v>893</x:v>
      </x:c>
      <x:c r="E897" s="42" t="n">
        <x:v>-0.022980145875367505</x:v>
      </x:c>
      <x:c r="F897" s="42" t="n">
        <x:v>-0.003298247996992756</x:v>
      </x:c>
      <x:c r="G897" s="43" t="n">
        <x:v>1.0015524025792426</x:v>
      </x:c>
      <x:c r="H897" s="32" t="n">
        <x:v>862553.4157157458</x:v>
      </x:c>
      <x:c r="I897" s="50" t="b">
        <x:v>1</x:v>
      </x:c>
      <x:c r="J897" s="50" t="b">
        <x:v>0</x:v>
      </x:c>
      <x:c r="K897" s="31"/>
      <x:c r="L897" s="31"/>
    </x:row>
    <x:row r="898">
      <x:c r="A898" s="31"/>
      <x:c r="B898" s="31"/>
      <x:c r="C898" s="31"/>
      <x:c r="D898" s="31" t="n">
        <x:v>894</x:v>
      </x:c>
      <x:c r="E898" s="42" t="n">
        <x:v>-0.007684564847122026</x:v>
      </x:c>
      <x:c r="F898" s="42" t="n">
        <x:v>0.001689486479196842</x:v>
      </x:c>
      <x:c r="G898" s="43" t="n">
        <x:v>0.9250351392969645</x:v>
      </x:c>
      <x:c r="H898" s="32" t="n">
        <x:v>1377184.3486282174</x:v>
      </x:c>
      <x:c r="I898" s="50" t="b">
        <x:v>0</x:v>
      </x:c>
      <x:c r="J898" s="50" t="b">
        <x:v>0</x:v>
      </x:c>
      <x:c r="K898" s="31"/>
      <x:c r="L898" s="31"/>
    </x:row>
    <x:row r="899">
      <x:c r="A899" s="31"/>
      <x:c r="B899" s="31"/>
      <x:c r="C899" s="31"/>
      <x:c r="D899" s="31" t="n">
        <x:v>895</x:v>
      </x:c>
      <x:c r="E899" s="42" t="n">
        <x:v>0.01641243696353462</x:v>
      </x:c>
      <x:c r="F899" s="42" t="n">
        <x:v>0.008191585882131525</x:v>
      </x:c>
      <x:c r="G899" s="43" t="n">
        <x:v>1.0307514523482844</x:v>
      </x:c>
      <x:c r="H899" s="32" t="n">
        <x:v>754786.6903151895</x:v>
      </x:c>
      <x:c r="I899" s="50" t="b">
        <x:v>1</x:v>
      </x:c>
      <x:c r="J899" s="50" t="b">
        <x:v>0</x:v>
      </x:c>
      <x:c r="K899" s="31"/>
      <x:c r="L899" s="31"/>
    </x:row>
    <x:row r="900">
      <x:c r="A900" s="31"/>
      <x:c r="B900" s="31"/>
      <x:c r="C900" s="31"/>
      <x:c r="D900" s="31" t="n">
        <x:v>896</x:v>
      </x:c>
      <x:c r="E900" s="42" t="n">
        <x:v>-0.01972306118414804</x:v>
      </x:c>
      <x:c r="F900" s="42" t="n">
        <x:v>-0.004283099624463714</x:v>
      </x:c>
      <x:c r="G900" s="43" t="n">
        <x:v>0.9968728881498695</x:v>
      </x:c>
      <x:c r="H900" s="32" t="n">
        <x:v>904079.1702789553</x:v>
      </x:c>
      <x:c r="I900" s="50" t="b">
        <x:v>1</x:v>
      </x:c>
      <x:c r="J900" s="50" t="b">
        <x:v>0</x:v>
      </x:c>
      <x:c r="K900" s="31"/>
      <x:c r="L900" s="31"/>
    </x:row>
    <x:row r="901">
      <x:c r="A901" s="31"/>
      <x:c r="B901" s="31"/>
      <x:c r="C901" s="31"/>
      <x:c r="D901" s="31" t="n">
        <x:v>897</x:v>
      </x:c>
      <x:c r="E901" s="42" t="n">
        <x:v>0.01554657827236165</x:v>
      </x:c>
      <x:c r="F901" s="42" t="n">
        <x:v>0.001527735471232325</x:v>
      </x:c>
      <x:c r="G901" s="43" t="n">
        <x:v>0.9250921759368903</x:v>
      </x:c>
      <x:c r="H901" s="32" t="n">
        <x:v>1441936.764908425</x:v>
      </x:c>
      <x:c r="I901" s="50" t="b">
        <x:v>0</x:v>
      </x:c>
      <x:c r="J901" s="50" t="b">
        <x:v>0</x:v>
      </x:c>
      <x:c r="K901" s="31"/>
      <x:c r="L901" s="31"/>
    </x:row>
    <x:row r="902">
      <x:c r="A902" s="31"/>
      <x:c r="B902" s="31"/>
      <x:c r="C902" s="31"/>
      <x:c r="D902" s="31" t="n">
        <x:v>898</x:v>
      </x:c>
      <x:c r="E902" s="42" t="n">
        <x:v>0.001329450123946766</x:v>
      </x:c>
      <x:c r="F902" s="42" t="n">
        <x:v>-0.007984244596489451</x:v>
      </x:c>
      <x:c r="G902" s="43" t="n">
        <x:v>1.0256415505766119</x:v>
      </x:c>
      <x:c r="H902" s="32" t="n">
        <x:v>790280.1400368733</x:v>
      </x:c>
      <x:c r="I902" s="50" t="b">
        <x:v>1</x:v>
      </x:c>
      <x:c r="J902" s="50" t="b">
        <x:v>0</x:v>
      </x:c>
      <x:c r="K902" s="31"/>
      <x:c r="L902" s="31"/>
    </x:row>
    <x:row r="903">
      <x:c r="A903" s="31"/>
      <x:c r="B903" s="31"/>
      <x:c r="C903" s="31"/>
      <x:c r="D903" s="31" t="n">
        <x:v>899</x:v>
      </x:c>
      <x:c r="E903" s="42" t="n">
        <x:v>-0.0008895181461399471</x:v>
      </x:c>
      <x:c r="F903" s="42" t="n">
        <x:v>0.008765282071743251</x:v>
      </x:c>
      <x:c r="G903" s="43" t="n">
        <x:v>0.9478268425917669</x:v>
      </x:c>
      <x:c r="H903" s="32" t="n">
        <x:v>1231659.4202099924</x:v>
      </x:c>
      <x:c r="I903" s="50" t="b">
        <x:v>0</x:v>
      </x:c>
      <x:c r="J903" s="50" t="b">
        <x:v>0</x:v>
      </x:c>
      <x:c r="K903" s="31"/>
      <x:c r="L903" s="31"/>
    </x:row>
    <x:row r="904">
      <x:c r="A904" s="31"/>
      <x:c r="B904" s="31"/>
      <x:c r="C904" s="31"/>
      <x:c r="D904" s="31" t="n">
        <x:v>900</x:v>
      </x:c>
      <x:c r="E904" s="42" t="n">
        <x:v>-0.008991574955896855</x:v>
      </x:c>
      <x:c r="F904" s="42" t="n">
        <x:v>0.000019921197735928662</x:v>
      </x:c>
      <x:c r="G904" s="43" t="n">
        <x:v>1.0552771439311746</x:v>
      </x:c>
      <x:c r="H904" s="32" t="n">
        <x:v>551064.5584636899</x:v>
      </x:c>
      <x:c r="I904" s="50" t="b">
        <x:v>1</x:v>
      </x:c>
      <x:c r="J904" s="50" t="b">
        <x:v>0</x:v>
      </x:c>
      <x:c r="K904" s="31"/>
      <x:c r="L904" s="31"/>
    </x:row>
    <x:row r="905">
      <x:c r="A905" s="31"/>
      <x:c r="B905" s="31"/>
      <x:c r="C905" s="31"/>
      <x:c r="D905" s="31" t="n">
        <x:v>901</x:v>
      </x:c>
      <x:c r="E905" s="42" t="n">
        <x:v>0.024183809666117943</x:v>
      </x:c>
      <x:c r="F905" s="42" t="n">
        <x:v>-0.005668994772263937</x:v>
      </x:c>
      <x:c r="G905" s="43" t="n">
        <x:v>0.9757532785469337</x:v>
      </x:c>
      <x:c r="H905" s="32" t="n">
        <x:v>1164277.066897295</x:v>
      </x:c>
      <x:c r="I905" s="50" t="b">
        <x:v>0</x:v>
      </x:c>
      <x:c r="J905" s="50" t="b">
        <x:v>0</x:v>
      </x:c>
      <x:c r="K905" s="31"/>
      <x:c r="L905" s="31"/>
    </x:row>
    <x:row r="906">
      <x:c r="A906" s="31"/>
      <x:c r="B906" s="31"/>
      <x:c r="C906" s="31"/>
      <x:c r="D906" s="31" t="n">
        <x:v>902</x:v>
      </x:c>
      <x:c r="E906" s="42" t="n">
        <x:v>-0.01366195377875124</x:v>
      </x:c>
      <x:c r="F906" s="42" t="n">
        <x:v>0.005960417057574753</x:v>
      </x:c>
      <x:c r="G906" s="43" t="n">
        <x:v>1.0146632570399554</x:v>
      </x:c>
      <x:c r="H906" s="32" t="n">
        <x:v>779455.8992507309</x:v>
      </x:c>
      <x:c r="I906" s="50" t="b">
        <x:v>1</x:v>
      </x:c>
      <x:c r="J906" s="50" t="b">
        <x:v>0</x:v>
      </x:c>
      <x:c r="K906" s="31"/>
      <x:c r="L906" s="31"/>
    </x:row>
    <x:row r="907">
      <x:c r="A907" s="31"/>
      <x:c r="B907" s="31"/>
      <x:c r="C907" s="31"/>
      <x:c r="D907" s="31" t="n">
        <x:v>903</x:v>
      </x:c>
      <x:c r="E907" s="42" t="n">
        <x:v>0.0013528727845785182</x:v>
      </x:c>
      <x:c r="F907" s="42" t="n">
        <x:v>-0.005199673221741311</x:v>
      </x:c>
      <x:c r="G907" s="43" t="n">
        <x:v>1.0027918770275122</x:v>
      </x:c>
      <x:c r="H907" s="32" t="n">
        <x:v>927706.0312129089</x:v>
      </x:c>
      <x:c r="I907" s="50" t="b">
        <x:v>1</x:v>
      </x:c>
      <x:c r="J907" s="50" t="b">
        <x:v>0</x:v>
      </x:c>
      <x:c r="K907" s="31"/>
      <x:c r="L907" s="31"/>
    </x:row>
    <x:row r="908">
      <x:c r="A908" s="31"/>
      <x:c r="B908" s="31"/>
      <x:c r="C908" s="31"/>
      <x:c r="D908" s="31" t="n">
        <x:v>904</x:v>
      </x:c>
      <x:c r="E908" s="42" t="n">
        <x:v>-0.006980359718123636</x:v>
      </x:c>
      <x:c r="F908" s="42" t="n">
        <x:v>0.004532144584117282</x:v>
      </x:c>
      <x:c r="G908" s="43" t="n">
        <x:v>1.036058280513963</x:v>
      </x:c>
      <x:c r="H908" s="32" t="n">
        <x:v>666156.3408895504</x:v>
      </x:c>
      <x:c r="I908" s="50" t="b">
        <x:v>1</x:v>
      </x:c>
      <x:c r="J908" s="50" t="b">
        <x:v>0</x:v>
      </x:c>
      <x:c r="K908" s="31"/>
      <x:c r="L908" s="31"/>
    </x:row>
    <x:row r="909">
      <x:c r="A909" s="31"/>
      <x:c r="B909" s="31"/>
      <x:c r="C909" s="31"/>
      <x:c r="D909" s="31" t="n">
        <x:v>905</x:v>
      </x:c>
      <x:c r="E909" s="42" t="n">
        <x:v>0.011019590134252476</x:v>
      </x:c>
      <x:c r="F909" s="42" t="n">
        <x:v>0.007901465494808258</x:v>
      </x:c>
      <x:c r="G909" s="43" t="n">
        <x:v>0.9931828584838619</x:v>
      </x:c>
      <x:c r="H909" s="32" t="n">
        <x:v>979170.3163424181</x:v>
      </x:c>
      <x:c r="I909" s="50" t="b">
        <x:v>1</x:v>
      </x:c>
      <x:c r="J909" s="50" t="b">
        <x:v>0</x:v>
      </x:c>
      <x:c r="K909" s="31"/>
      <x:c r="L909" s="31"/>
    </x:row>
    <x:row r="910">
      <x:c r="A910" s="31"/>
      <x:c r="B910" s="31"/>
      <x:c r="C910" s="31"/>
      <x:c r="D910" s="31" t="n">
        <x:v>906</x:v>
      </x:c>
      <x:c r="E910" s="42" t="n">
        <x:v>-0.017681479421188414</x:v>
      </x:c>
      <x:c r="F910" s="42" t="n">
        <x:v>-0.011657019560792719</x:v>
      </x:c>
      <x:c r="G910" s="43" t="n">
        <x:v>1.0268430750184177</x:v>
      </x:c>
      <x:c r="H910" s="32" t="n">
        <x:v>739955.5156110076</x:v>
      </x:c>
      <x:c r="I910" s="50" t="b">
        <x:v>1</x:v>
      </x:c>
      <x:c r="J910" s="50" t="b">
        <x:v>0</x:v>
      </x:c>
      <x:c r="K910" s="31"/>
      <x:c r="L910" s="31"/>
    </x:row>
    <x:row r="911">
      <x:c r="A911" s="31"/>
      <x:c r="B911" s="31"/>
      <x:c r="C911" s="31"/>
      <x:c r="D911" s="31" t="n">
        <x:v>907</x:v>
      </x:c>
      <x:c r="E911" s="42" t="n">
        <x:v>0.01603983018987224</x:v>
      </x:c>
      <x:c r="F911" s="42" t="n">
        <x:v>0.0010451902752860824</x:v>
      </x:c>
      <x:c r="G911" s="43" t="n">
        <x:v>1.024313102094074</x:v>
      </x:c>
      <x:c r="H911" s="32" t="n">
        <x:v>814529.7656197462</x:v>
      </x:c>
      <x:c r="I911" s="50" t="b">
        <x:v>1</x:v>
      </x:c>
      <x:c r="J911" s="50" t="b">
        <x:v>0</x:v>
      </x:c>
      <x:c r="K911" s="31"/>
      <x:c r="L911" s="31"/>
    </x:row>
    <x:row r="912">
      <x:c r="A912" s="31"/>
      <x:c r="B912" s="31"/>
      <x:c r="C912" s="31"/>
      <x:c r="D912" s="31" t="n">
        <x:v>908</x:v>
      </x:c>
      <x:c r="E912" s="42" t="n">
        <x:v>0.014094709594767855</x:v>
      </x:c>
      <x:c r="F912" s="42" t="n">
        <x:v>0.008552801275251275</x:v>
      </x:c>
      <x:c r="G912" s="43" t="n">
        <x:v>1.0146059255581061</x:v>
      </x:c>
      <x:c r="H912" s="32" t="n">
        <x:v>849865.3235946409</x:v>
      </x:c>
      <x:c r="I912" s="50" t="b">
        <x:v>1</x:v>
      </x:c>
      <x:c r="J912" s="50" t="b">
        <x:v>0</x:v>
      </x:c>
      <x:c r="K912" s="31"/>
      <x:c r="L912" s="31"/>
    </x:row>
    <x:row r="913">
      <x:c r="A913" s="31"/>
      <x:c r="B913" s="31"/>
      <x:c r="C913" s="31"/>
      <x:c r="D913" s="31" t="n">
        <x:v>909</x:v>
      </x:c>
      <x:c r="E913" s="42" t="n">
        <x:v>-0.00934161345575383</x:v>
      </x:c>
      <x:c r="F913" s="42" t="n">
        <x:v>0.00756797730938707</x:v>
      </x:c>
      <x:c r="G913" s="43" t="n">
        <x:v>1.0493211769884305</x:v>
      </x:c>
      <x:c r="H913" s="32" t="n">
        <x:v>566904.6453125081</x:v>
      </x:c>
      <x:c r="I913" s="50" t="b">
        <x:v>1</x:v>
      </x:c>
      <x:c r="J913" s="50" t="b">
        <x:v>0</x:v>
      </x:c>
      <x:c r="K913" s="31"/>
      <x:c r="L913" s="31"/>
    </x:row>
    <x:row r="914">
      <x:c r="A914" s="31"/>
      <x:c r="B914" s="31"/>
      <x:c r="C914" s="31"/>
      <x:c r="D914" s="31" t="n">
        <x:v>910</x:v>
      </x:c>
      <x:c r="E914" s="42" t="n">
        <x:v>-0.011582750918886503</x:v>
      </x:c>
      <x:c r="F914" s="42" t="n">
        <x:v>-0.012153607138058317</x:v>
      </x:c>
      <x:c r="G914" s="43" t="n">
        <x:v>0.984264614399293</x:v>
      </x:c>
      <x:c r="H914" s="32" t="n">
        <x:v>1028717.1043224246</x:v>
      </x:c>
      <x:c r="I914" s="50" t="b">
        <x:v>0</x:v>
      </x:c>
      <x:c r="J914" s="50" t="b">
        <x:v>0</x:v>
      </x:c>
      <x:c r="K914" s="31"/>
      <x:c r="L914" s="31"/>
    </x:row>
    <x:row r="915">
      <x:c r="A915" s="31"/>
      <x:c r="B915" s="31"/>
      <x:c r="C915" s="31"/>
      <x:c r="D915" s="31" t="n">
        <x:v>911</x:v>
      </x:c>
      <x:c r="E915" s="42" t="n">
        <x:v>0.006011301824234821</x:v>
      </x:c>
      <x:c r="F915" s="42" t="n">
        <x:v>0.011434990014381693</x:v>
      </x:c>
      <x:c r="G915" s="43" t="n">
        <x:v>1.0456626664076691</x:v>
      </x:c>
      <x:c r="H915" s="32" t="n">
        <x:v>622110.0429797049</x:v>
      </x:c>
      <x:c r="I915" s="50" t="b">
        <x:v>1</x:v>
      </x:c>
      <x:c r="J915" s="50" t="b">
        <x:v>0</x:v>
      </x:c>
      <x:c r="K915" s="31"/>
      <x:c r="L915" s="31"/>
    </x:row>
    <x:row r="916">
      <x:c r="A916" s="31"/>
      <x:c r="B916" s="31"/>
      <x:c r="C916" s="31"/>
      <x:c r="D916" s="31" t="n">
        <x:v>912</x:v>
      </x:c>
      <x:c r="E916" s="42" t="n">
        <x:v>-0.02381740767115215</x:v>
      </x:c>
      <x:c r="F916" s="42" t="n">
        <x:v>-0.003658155071659818</x:v>
      </x:c>
      <x:c r="G916" s="43" t="n">
        <x:v>1.1201500834051243</x:v>
      </x:c>
      <x:c r="H916" s="32" t="n">
        <x:v>108045.42076872173</x:v>
      </x:c>
      <x:c r="I916" s="50" t="b">
        <x:v>1</x:v>
      </x:c>
      <x:c r="J916" s="50" t="b">
        <x:v>0</x:v>
      </x:c>
      <x:c r="K916" s="31"/>
      <x:c r="L916" s="31"/>
    </x:row>
    <x:row r="917">
      <x:c r="A917" s="31"/>
      <x:c r="B917" s="31"/>
      <x:c r="C917" s="31"/>
      <x:c r="D917" s="31" t="n">
        <x:v>913</x:v>
      </x:c>
      <x:c r="E917" s="42" t="n">
        <x:v>0.012858966171602003</x:v>
      </x:c>
      <x:c r="F917" s="42" t="n">
        <x:v>0.00009181433482747076</x:v>
      </x:c>
      <x:c r="G917" s="43" t="n">
        <x:v>1.0001956216007954</x:v>
      </x:c>
      <x:c r="H917" s="32" t="n">
        <x:v>961492.584998761</x:v>
      </x:c>
      <x:c r="I917" s="50" t="b">
        <x:v>1</x:v>
      </x:c>
      <x:c r="J917" s="50" t="b">
        <x:v>0</x:v>
      </x:c>
      <x:c r="K917" s="31"/>
      <x:c r="L917" s="31"/>
    </x:row>
    <x:row r="918">
      <x:c r="A918" s="31"/>
      <x:c r="B918" s="31"/>
      <x:c r="C918" s="31"/>
      <x:c r="D918" s="31" t="n">
        <x:v>914</x:v>
      </x:c>
      <x:c r="E918" s="42" t="n">
        <x:v>-0.03199420164590669</x:v>
      </x:c>
      <x:c r="F918" s="42" t="n">
        <x:v>0.005851142441046886</x:v>
      </x:c>
      <x:c r="G918" s="43" t="n">
        <x:v>1.0319541771212184</x:v>
      </x:c>
      <x:c r="H918" s="32" t="n">
        <x:v>618922.2608328306</x:v>
      </x:c>
      <x:c r="I918" s="50" t="b">
        <x:v>1</x:v>
      </x:c>
      <x:c r="J918" s="50" t="b">
        <x:v>0</x:v>
      </x:c>
      <x:c r="K918" s="31"/>
      <x:c r="L918" s="31"/>
    </x:row>
    <x:row r="919">
      <x:c r="A919" s="31"/>
      <x:c r="B919" s="31"/>
      <x:c r="C919" s="31"/>
      <x:c r="D919" s="31" t="n">
        <x:v>915</x:v>
      </x:c>
      <x:c r="E919" s="42" t="n">
        <x:v>0.006727661385610737</x:v>
      </x:c>
      <x:c r="F919" s="42" t="n">
        <x:v>-0.0057925269319019385</x:v>
      </x:c>
      <x:c r="G919" s="43" t="n">
        <x:v>0.9969695805031358</x:v>
      </x:c>
      <x:c r="H919" s="32" t="n">
        <x:v>981292.8023129379</x:v>
      </x:c>
      <x:c r="I919" s="50" t="b">
        <x:v>1</x:v>
      </x:c>
      <x:c r="J919" s="50" t="b">
        <x:v>0</x:v>
      </x:c>
      <x:c r="K919" s="31"/>
      <x:c r="L919" s="31"/>
    </x:row>
    <x:row r="920">
      <x:c r="A920" s="31"/>
      <x:c r="B920" s="31"/>
      <x:c r="C920" s="31"/>
      <x:c r="D920" s="31" t="n">
        <x:v>916</x:v>
      </x:c>
      <x:c r="E920" s="42" t="n">
        <x:v>0.008762816203633443</x:v>
      </x:c>
      <x:c r="F920" s="42" t="n">
        <x:v>-0.0007429693906279545</x:v>
      </x:c>
      <x:c r="G920" s="43" t="n">
        <x:v>1.065786244251225</x:v>
      </x:c>
      <x:c r="H920" s="32" t="n">
        <x:v>535867.5927929406</x:v>
      </x:c>
      <x:c r="I920" s="50" t="b">
        <x:v>1</x:v>
      </x:c>
      <x:c r="J920" s="50" t="b">
        <x:v>0</x:v>
      </x:c>
      <x:c r="K920" s="31"/>
      <x:c r="L920" s="31"/>
    </x:row>
    <x:row r="921">
      <x:c r="A921" s="31"/>
      <x:c r="B921" s="31"/>
      <x:c r="C921" s="31"/>
      <x:c r="D921" s="31" t="n">
        <x:v>917</x:v>
      </x:c>
      <x:c r="E921" s="42" t="n">
        <x:v>0.0028613600646797835</x:v>
      </x:c>
      <x:c r="F921" s="42" t="n">
        <x:v>0.0011686162448074253</x:v>
      </x:c>
      <x:c r="G921" s="43" t="n">
        <x:v>1.0076021611061687</x:v>
      </x:c>
      <x:c r="H921" s="32" t="n">
        <x:v>883629.9534232286</x:v>
      </x:c>
      <x:c r="I921" s="50" t="b">
        <x:v>1</x:v>
      </x:c>
      <x:c r="J921" s="50" t="b">
        <x:v>0</x:v>
      </x:c>
      <x:c r="K921" s="31"/>
      <x:c r="L921" s="31"/>
    </x:row>
    <x:row r="922">
      <x:c r="A922" s="31"/>
      <x:c r="B922" s="31"/>
      <x:c r="C922" s="31"/>
      <x:c r="D922" s="31" t="n">
        <x:v>918</x:v>
      </x:c>
      <x:c r="E922" s="42" t="n">
        <x:v>-0.020734567771333576</x:v>
      </x:c>
      <x:c r="F922" s="42" t="n">
        <x:v>0.003600851612073215</x:v>
      </x:c>
      <x:c r="G922" s="43" t="n">
        <x:v>0.8834913663473423</x:v>
      </x:c>
      <x:c r="H922" s="32" t="n">
        <x:v>1599371.4297157433</x:v>
      </x:c>
      <x:c r="I922" s="50" t="b">
        <x:v>0</x:v>
      </x:c>
      <x:c r="J922" s="50" t="b">
        <x:v>0</x:v>
      </x:c>
      <x:c r="K922" s="31"/>
      <x:c r="L922" s="31"/>
    </x:row>
    <x:row r="923">
      <x:c r="A923" s="31"/>
      <x:c r="B923" s="31"/>
      <x:c r="C923" s="31"/>
      <x:c r="D923" s="31" t="n">
        <x:v>919</x:v>
      </x:c>
      <x:c r="E923" s="42" t="n">
        <x:v>-0.0009847726242076184</x:v>
      </x:c>
      <x:c r="F923" s="42" t="n">
        <x:v>0.012290840206664435</x:v>
      </x:c>
      <x:c r="G923" s="43" t="n">
        <x:v>0.9761297041021176</x:v>
      </x:c>
      <x:c r="H923" s="32" t="n">
        <x:v>1041837.5925582392</x:v>
      </x:c>
      <x:c r="I923" s="50" t="b">
        <x:v>0</x:v>
      </x:c>
      <x:c r="J923" s="50" t="b">
        <x:v>0</x:v>
      </x:c>
      <x:c r="K923" s="31"/>
      <x:c r="L923" s="31"/>
    </x:row>
    <x:row r="924">
      <x:c r="A924" s="31"/>
      <x:c r="B924" s="31"/>
      <x:c r="C924" s="31"/>
      <x:c r="D924" s="31" t="n">
        <x:v>920</x:v>
      </x:c>
      <x:c r="E924" s="42" t="n">
        <x:v>-0.014871279938278147</x:v>
      </x:c>
      <x:c r="F924" s="42" t="n">
        <x:v>-0.009397035257332785</x:v>
      </x:c>
      <x:c r="G924" s="43" t="n">
        <x:v>0.9212489816896026</x:v>
      </x:c>
      <x:c r="H924" s="32" t="n">
        <x:v>1412084.3291414687</x:v>
      </x:c>
      <x:c r="I924" s="50" t="b">
        <x:v>0</x:v>
      </x:c>
      <x:c r="J924" s="50" t="b">
        <x:v>0</x:v>
      </x:c>
      <x:c r="K924" s="31"/>
      <x:c r="L924" s="31"/>
    </x:row>
    <x:row r="925">
      <x:c r="A925" s="31"/>
      <x:c r="B925" s="31"/>
      <x:c r="C925" s="31"/>
      <x:c r="D925" s="31" t="n">
        <x:v>921</x:v>
      </x:c>
      <x:c r="E925" s="42" t="n">
        <x:v>-0.009979731803549973</x:v>
      </x:c>
      <x:c r="F925" s="42" t="n">
        <x:v>-0.005499717083876133</x:v>
      </x:c>
      <x:c r="G925" s="43" t="n">
        <x:v>0.9551265952323895</x:v>
      </x:c>
      <x:c r="H925" s="32" t="n">
        <x:v>1199704.9511896663</x:v>
      </x:c>
      <x:c r="I925" s="50" t="b">
        <x:v>0</x:v>
      </x:c>
      <x:c r="J925" s="50" t="b">
        <x:v>0</x:v>
      </x:c>
      <x:c r="K925" s="31"/>
      <x:c r="L925" s="31"/>
    </x:row>
    <x:row r="926">
      <x:c r="A926" s="31"/>
      <x:c r="B926" s="31"/>
      <x:c r="C926" s="31"/>
      <x:c r="D926" s="31" t="n">
        <x:v>922</x:v>
      </x:c>
      <x:c r="E926" s="42" t="n">
        <x:v>0.0047936130518267984</x:v>
      </x:c>
      <x:c r="F926" s="42" t="n">
        <x:v>0.007473669247370237</x:v>
      </x:c>
      <x:c r="G926" s="43" t="n">
        <x:v>0.9784426178417859</x:v>
      </x:c>
      <x:c r="H926" s="32" t="n">
        <x:v>1056641.918999163</x:v>
      </x:c>
      <x:c r="I926" s="50" t="b">
        <x:v>0</x:v>
      </x:c>
      <x:c r="J926" s="50" t="b">
        <x:v>0</x:v>
      </x:c>
      <x:c r="K926" s="31"/>
      <x:c r="L926" s="31"/>
    </x:row>
    <x:row r="927">
      <x:c r="A927" s="31"/>
      <x:c r="B927" s="31"/>
      <x:c r="C927" s="31"/>
      <x:c r="D927" s="31" t="n">
        <x:v>923</x:v>
      </x:c>
      <x:c r="E927" s="42" t="n">
        <x:v>0.00020488168415578313</x:v>
      </x:c>
      <x:c r="F927" s="42" t="n">
        <x:v>-0.0037614720228000306</x:v>
      </x:c>
      <x:c r="G927" s="43" t="n">
        <x:v>1.0243134488463457</x:v>
      </x:c>
      <x:c r="H927" s="32" t="n">
        <x:v>783830.0843815062</x:v>
      </x:c>
      <x:c r="I927" s="50" t="b">
        <x:v>1</x:v>
      </x:c>
      <x:c r="J927" s="50" t="b">
        <x:v>0</x:v>
      </x:c>
      <x:c r="K927" s="31"/>
      <x:c r="L927" s="31"/>
    </x:row>
    <x:row r="928">
      <x:c r="A928" s="31"/>
      <x:c r="B928" s="31"/>
      <x:c r="C928" s="31"/>
      <x:c r="D928" s="31" t="n">
        <x:v>924</x:v>
      </x:c>
      <x:c r="E928" s="42" t="n">
        <x:v>0.0015939477990677322</x:v>
      </x:c>
      <x:c r="F928" s="42" t="n">
        <x:v>-0.0016638433642201496</x:v>
      </x:c>
      <x:c r="G928" s="43" t="n">
        <x:v>0.9876921843210569</x:v>
      </x:c>
      <x:c r="H928" s="32" t="n">
        <x:v>1014428.7507930617</x:v>
      </x:c>
      <x:c r="I928" s="50" t="b">
        <x:v>0</x:v>
      </x:c>
      <x:c r="J928" s="50" t="b">
        <x:v>0</x:v>
      </x:c>
      <x:c r="K928" s="31"/>
      <x:c r="L928" s="31"/>
    </x:row>
    <x:row r="929">
      <x:c r="A929" s="31"/>
      <x:c r="B929" s="31"/>
      <x:c r="C929" s="31"/>
      <x:c r="D929" s="31" t="n">
        <x:v>925</x:v>
      </x:c>
      <x:c r="E929" s="42" t="n">
        <x:v>0.023258656142908066</x:v>
      </x:c>
      <x:c r="F929" s="42" t="n">
        <x:v>0.0005464323328261619</x:v>
      </x:c>
      <x:c r="G929" s="43" t="n">
        <x:v>1.044354202348223</x:v>
      </x:c>
      <x:c r="H929" s="32" t="n">
        <x:v>708736.6511716645</x:v>
      </x:c>
      <x:c r="I929" s="50" t="b">
        <x:v>1</x:v>
      </x:c>
      <x:c r="J929" s="50" t="b">
        <x:v>0</x:v>
      </x:c>
      <x:c r="K929" s="31"/>
      <x:c r="L929" s="31"/>
    </x:row>
    <x:row r="930">
      <x:c r="A930" s="31"/>
      <x:c r="B930" s="31"/>
      <x:c r="C930" s="31"/>
      <x:c r="D930" s="31" t="n">
        <x:v>926</x:v>
      </x:c>
      <x:c r="E930" s="42" t="n">
        <x:v>-0.007982956307408895</x:v>
      </x:c>
      <x:c r="F930" s="42" t="n">
        <x:v>0.0006374476896571044</x:v>
      </x:c>
      <x:c r="G930" s="43" t="n">
        <x:v>0.9672766555389241</x:v>
      </x:c>
      <x:c r="H930" s="32" t="n">
        <x:v>1111018.597893511</x:v>
      </x:c>
      <x:c r="I930" s="50" t="b">
        <x:v>0</x:v>
      </x:c>
      <x:c r="J930" s="50" t="b">
        <x:v>0</x:v>
      </x:c>
      <x:c r="K930" s="31"/>
      <x:c r="L930" s="31"/>
    </x:row>
    <x:row r="931">
      <x:c r="A931" s="31"/>
      <x:c r="B931" s="31"/>
      <x:c r="C931" s="31"/>
      <x:c r="D931" s="31" t="n">
        <x:v>927</x:v>
      </x:c>
      <x:c r="E931" s="42" t="n">
        <x:v>-0.008564154998498653</x:v>
      </x:c>
      <x:c r="F931" s="42" t="n">
        <x:v>0.004159560750247668</x:v>
      </x:c>
      <x:c r="G931" s="43" t="n">
        <x:v>0.9942061303774993</x:v>
      </x:c>
      <x:c r="H931" s="32" t="n">
        <x:v>928575.7012312976</x:v>
      </x:c>
      <x:c r="I931" s="50" t="b">
        <x:v>1</x:v>
      </x:c>
      <x:c r="J931" s="50" t="b">
        <x:v>0</x:v>
      </x:c>
      <x:c r="K931" s="31"/>
      <x:c r="L931" s="31"/>
    </x:row>
    <x:row r="932">
      <x:c r="A932" s="31"/>
      <x:c r="B932" s="31"/>
      <x:c r="C932" s="31"/>
      <x:c r="D932" s="31" t="n">
        <x:v>928</x:v>
      </x:c>
      <x:c r="E932" s="42" t="n">
        <x:v>-0.03360288641234744</x:v>
      </x:c>
      <x:c r="F932" s="42" t="n">
        <x:v>0.0029774661100605945</x:v>
      </x:c>
      <x:c r="G932" s="43" t="n">
        <x:v>0.9555338797379315</x:v>
      </x:c>
      <x:c r="H932" s="32" t="n">
        <x:v>1107766.40430792</x:v>
      </x:c>
      <x:c r="I932" s="50" t="b">
        <x:v>0</x:v>
      </x:c>
      <x:c r="J932" s="50" t="b">
        <x:v>0</x:v>
      </x:c>
      <x:c r="K932" s="31"/>
      <x:c r="L932" s="31"/>
    </x:row>
    <x:row r="933">
      <x:c r="A933" s="31"/>
      <x:c r="B933" s="31"/>
      <x:c r="C933" s="31"/>
      <x:c r="D933" s="31" t="n">
        <x:v>929</x:v>
      </x:c>
      <x:c r="E933" s="42" t="n">
        <x:v>-0.0046107837655009415</x:v>
      </x:c>
      <x:c r="F933" s="42" t="n">
        <x:v>-0.003604269731763814</x:v>
      </x:c>
      <x:c r="G933" s="43" t="n">
        <x:v>1.0350868343843456</x:v>
      </x:c>
      <x:c r="H933" s="32" t="n">
        <x:v>701569.368610221</x:v>
      </x:c>
      <x:c r="I933" s="50" t="b">
        <x:v>1</x:v>
      </x:c>
      <x:c r="J933" s="50" t="b">
        <x:v>0</x:v>
      </x:c>
      <x:c r="K933" s="31"/>
      <x:c r="L933" s="31"/>
    </x:row>
    <x:row r="934">
      <x:c r="A934" s="31"/>
      <x:c r="B934" s="31"/>
      <x:c r="C934" s="31"/>
      <x:c r="D934" s="31" t="n">
        <x:v>930</x:v>
      </x:c>
      <x:c r="E934" s="42" t="n">
        <x:v>0.039020095790690955</x:v>
      </x:c>
      <x:c r="F934" s="42" t="n">
        <x:v>0.010325628980277593</x:v>
      </x:c>
      <x:c r="G934" s="43" t="n">
        <x:v>1.067217690670896</x:v>
      </x:c>
      <x:c r="H934" s="32" t="n">
        <x:v>580189.0137449922</x:v>
      </x:c>
      <x:c r="I934" s="50" t="b">
        <x:v>1</x:v>
      </x:c>
      <x:c r="J934" s="50" t="b">
        <x:v>0</x:v>
      </x:c>
      <x:c r="K934" s="31"/>
      <x:c r="L934" s="31"/>
    </x:row>
    <x:row r="935">
      <x:c r="A935" s="31"/>
      <x:c r="B935" s="31"/>
      <x:c r="C935" s="31"/>
      <x:c r="D935" s="31" t="n">
        <x:v>931</x:v>
      </x:c>
      <x:c r="E935" s="42" t="n">
        <x:v>0.004402417884053549</x:v>
      </x:c>
      <x:c r="F935" s="42" t="n">
        <x:v>0.006402133164234042</x:v>
      </x:c>
      <x:c r="G935" s="43" t="n">
        <x:v>0.9814393274583383</x:v>
      </x:c>
      <x:c r="H935" s="32" t="n">
        <x:v>1039504.4345975437</x:v>
      </x:c>
      <x:c r="I935" s="50" t="b">
        <x:v>0</x:v>
      </x:c>
      <x:c r="J935" s="50" t="b">
        <x:v>0</x:v>
      </x:c>
      <x:c r="K935" s="31"/>
      <x:c r="L935" s="31"/>
    </x:row>
    <x:row r="936">
      <x:c r="A936" s="31"/>
      <x:c r="B936" s="31"/>
      <x:c r="C936" s="31"/>
      <x:c r="D936" s="31" t="n">
        <x:v>932</x:v>
      </x:c>
      <x:c r="E936" s="42" t="n">
        <x:v>0.012059452159486426</x:v>
      </x:c>
      <x:c r="F936" s="42" t="n">
        <x:v>0.001993043016632528</x:v>
      </x:c>
      <x:c r="G936" s="43" t="n">
        <x:v>0.9547674060935977</x:v>
      </x:c>
      <x:c r="H936" s="32" t="n">
        <x:v>1242476.3498713658</x:v>
      </x:c>
      <x:c r="I936" s="50" t="b">
        <x:v>0</x:v>
      </x:c>
      <x:c r="J936" s="50" t="b">
        <x:v>0</x:v>
      </x:c>
      <x:c r="K936" s="31"/>
      <x:c r="L936" s="31"/>
    </x:row>
    <x:row r="937">
      <x:c r="A937" s="31"/>
      <x:c r="B937" s="31"/>
      <x:c r="C937" s="31"/>
      <x:c r="D937" s="31" t="n">
        <x:v>933</x:v>
      </x:c>
      <x:c r="E937" s="42" t="n">
        <x:v>0.0070639294531536865</x:v>
      </x:c>
      <x:c r="F937" s="42" t="n">
        <x:v>-0.0002666057262715254</x:v>
      </x:c>
      <x:c r="G937" s="43" t="n">
        <x:v>0.988511144710688</x:v>
      </x:c>
      <x:c r="H937" s="32" t="n">
        <x:v>1020564.3455545988</x:v>
      </x:c>
      <x:c r="I937" s="50" t="b">
        <x:v>0</x:v>
      </x:c>
      <x:c r="J937" s="50" t="b">
        <x:v>0</x:v>
      </x:c>
      <x:c r="K937" s="31"/>
      <x:c r="L937" s="31"/>
    </x:row>
    <x:row r="938">
      <x:c r="A938" s="31"/>
      <x:c r="B938" s="31"/>
      <x:c r="C938" s="31"/>
      <x:c r="D938" s="31" t="n">
        <x:v>934</x:v>
      </x:c>
      <x:c r="E938" s="42" t="n">
        <x:v>0.002385791433013431</x:v>
      </x:c>
      <x:c r="F938" s="42" t="n">
        <x:v>-0.007884615288019389</x:v>
      </x:c>
      <x:c r="G938" s="43" t="n">
        <x:v>1.0279711670562302</x:v>
      </x:c>
      <x:c r="H938" s="32" t="n">
        <x:v>778148.4545510273</x:v>
      </x:c>
      <x:c r="I938" s="50" t="b">
        <x:v>1</x:v>
      </x:c>
      <x:c r="J938" s="50" t="b">
        <x:v>0</x:v>
      </x:c>
      <x:c r="K938" s="31"/>
      <x:c r="L938" s="31"/>
    </x:row>
    <x:row r="939">
      <x:c r="A939" s="31"/>
      <x:c r="B939" s="31"/>
      <x:c r="C939" s="31"/>
      <x:c r="D939" s="31" t="n">
        <x:v>935</x:v>
      </x:c>
      <x:c r="E939" s="42" t="n">
        <x:v>0.0027858216484811875</x:v>
      </x:c>
      <x:c r="F939" s="42" t="n">
        <x:v>-0.00009390831571786527</x:v>
      </x:c>
      <x:c r="G939" s="43" t="n">
        <x:v>0.9851612959926644</x:v>
      </x:c>
      <x:c r="H939" s="32" t="n">
        <x:v>1029449.3423976498</x:v>
      </x:c>
      <x:c r="I939" s="50" t="b">
        <x:v>0</x:v>
      </x:c>
      <x:c r="J939" s="50" t="b">
        <x:v>0</x:v>
      </x:c>
      <x:c r="K939" s="31"/>
      <x:c r="L939" s="31"/>
    </x:row>
    <x:row r="940">
      <x:c r="A940" s="31"/>
      <x:c r="B940" s="31"/>
      <x:c r="C940" s="31"/>
      <x:c r="D940" s="31" t="n">
        <x:v>936</x:v>
      </x:c>
      <x:c r="E940" s="42" t="n">
        <x:v>-0.001393637625101257</x:v>
      </x:c>
      <x:c r="F940" s="42" t="n">
        <x:v>-0.004605383664781592</x:v>
      </x:c>
      <x:c r="G940" s="43" t="n">
        <x:v>1.0497309084393072</x:v>
      </x:c>
      <x:c r="H940" s="32" t="n">
        <x:v>620310.7474286694</x:v>
      </x:c>
      <x:c r="I940" s="50" t="b">
        <x:v>1</x:v>
      </x:c>
      <x:c r="J940" s="50" t="b">
        <x:v>0</x:v>
      </x:c>
      <x:c r="K940" s="31"/>
      <x:c r="L940" s="31"/>
    </x:row>
    <x:row r="941">
      <x:c r="A941" s="31"/>
      <x:c r="B941" s="31"/>
      <x:c r="C941" s="31"/>
      <x:c r="D941" s="31" t="n">
        <x:v>937</x:v>
      </x:c>
      <x:c r="E941" s="42" t="n">
        <x:v>0.011693551712303121</x:v>
      </x:c>
      <x:c r="F941" s="42" t="n">
        <x:v>-0.0002599935983862446</x:v>
      </x:c>
      <x:c r="G941" s="43" t="n">
        <x:v>1.0202680306714293</x:v>
      </x:c>
      <x:c r="H941" s="32" t="n">
        <x:v>831753.8797484257</x:v>
      </x:c>
      <x:c r="I941" s="50" t="b">
        <x:v>1</x:v>
      </x:c>
      <x:c r="J941" s="50" t="b">
        <x:v>0</x:v>
      </x:c>
      <x:c r="K941" s="31"/>
      <x:c r="L941" s="31"/>
    </x:row>
    <x:row r="942">
      <x:c r="A942" s="31"/>
      <x:c r="B942" s="31"/>
      <x:c r="C942" s="31"/>
      <x:c r="D942" s="31" t="n">
        <x:v>938</x:v>
      </x:c>
      <x:c r="E942" s="42" t="n">
        <x:v>-0.005767796138927561</x:v>
      </x:c>
      <x:c r="F942" s="42" t="n">
        <x:v>-0.005197180703476996</x:v>
      </x:c>
      <x:c r="G942" s="43" t="n">
        <x:v>0.9730541485442874</x:v>
      </x:c>
      <x:c r="H942" s="32" t="n">
        <x:v>1096734.1904200097</x:v>
      </x:c>
      <x:c r="I942" s="50" t="b">
        <x:v>0</x:v>
      </x:c>
      <x:c r="J942" s="50" t="b">
        <x:v>0</x:v>
      </x:c>
      <x:c r="K942" s="31"/>
      <x:c r="L942" s="31"/>
    </x:row>
    <x:row r="943">
      <x:c r="A943" s="31"/>
      <x:c r="B943" s="31"/>
      <x:c r="C943" s="31"/>
      <x:c r="D943" s="31" t="n">
        <x:v>939</x:v>
      </x:c>
      <x:c r="E943" s="42" t="n">
        <x:v>-0.001711832078158223</x:v>
      </x:c>
      <x:c r="F943" s="42" t="n">
        <x:v>-0.006122047682988694</x:v>
      </x:c>
      <x:c r="G943" s="43" t="n">
        <x:v>0.9974880140248507</x:v>
      </x:c>
      <x:c r="H943" s="32" t="n">
        <x:v>955426.0934664609</x:v>
      </x:c>
      <x:c r="I943" s="50" t="b">
        <x:v>1</x:v>
      </x:c>
      <x:c r="J943" s="50" t="b">
        <x:v>0</x:v>
      </x:c>
      <x:c r="K943" s="31"/>
      <x:c r="L943" s="31"/>
    </x:row>
    <x:row r="944">
      <x:c r="A944" s="31"/>
      <x:c r="B944" s="31"/>
      <x:c r="C944" s="31"/>
      <x:c r="D944" s="31" t="n">
        <x:v>940</x:v>
      </x:c>
      <x:c r="E944" s="42" t="n">
        <x:v>0.008814246184794292</x:v>
      </x:c>
      <x:c r="F944" s="42" t="n">
        <x:v>0.010578444425687727</x:v>
      </x:c>
      <x:c r="G944" s="43" t="n">
        <x:v>1.0144412101190248</x:v>
      </x:c>
      <x:c r="H944" s="32" t="n">
        <x:v>830574.673728393</x:v>
      </x:c>
      <x:c r="I944" s="50" t="b">
        <x:v>1</x:v>
      </x:c>
      <x:c r="J944" s="50" t="b">
        <x:v>0</x:v>
      </x:c>
      <x:c r="K944" s="31"/>
      <x:c r="L944" s="31"/>
    </x:row>
    <x:row r="945">
      <x:c r="A945" s="31"/>
      <x:c r="B945" s="31"/>
      <x:c r="C945" s="31"/>
      <x:c r="D945" s="31" t="n">
        <x:v>941</x:v>
      </x:c>
      <x:c r="E945" s="42" t="n">
        <x:v>-0.0018575225838603074</x:v>
      </x:c>
      <x:c r="F945" s="42" t="n">
        <x:v>0.00007635253273200432</x:v>
      </x:c>
      <x:c r="G945" s="43" t="n">
        <x:v>0.9646620116569778</x:v>
      </x:c>
      <x:c r="H945" s="32" t="n">
        <x:v>1146235.5396638345</x:v>
      </x:c>
      <x:c r="I945" s="50" t="b">
        <x:v>0</x:v>
      </x:c>
      <x:c r="J945" s="50" t="b">
        <x:v>0</x:v>
      </x:c>
      <x:c r="K945" s="31"/>
      <x:c r="L945" s="31"/>
    </x:row>
    <x:row r="946">
      <x:c r="A946" s="31"/>
      <x:c r="B946" s="31"/>
      <x:c r="C946" s="31"/>
      <x:c r="D946" s="31" t="n">
        <x:v>942</x:v>
      </x:c>
      <x:c r="E946" s="42" t="n">
        <x:v>-0.0013950277906596173</x:v>
      </x:c>
      <x:c r="F946" s="42" t="n">
        <x:v>-0.007531706441147995</x:v>
      </x:c>
      <x:c r="G946" s="43" t="n">
        <x:v>1.0571470906869678</x:v>
      </x:c>
      <x:c r="H946" s="32" t="n">
        <x:v>581354.3525617925</x:v>
      </x:c>
      <x:c r="I946" s="50" t="b">
        <x:v>1</x:v>
      </x:c>
      <x:c r="J946" s="50" t="b">
        <x:v>0</x:v>
      </x:c>
      <x:c r="K946" s="31"/>
      <x:c r="L946" s="31"/>
    </x:row>
    <x:row r="947">
      <x:c r="A947" s="31"/>
      <x:c r="B947" s="31"/>
      <x:c r="C947" s="31"/>
      <x:c r="D947" s="31" t="n">
        <x:v>943</x:v>
      </x:c>
      <x:c r="E947" s="42" t="n">
        <x:v>-0.0034789294106125287</x:v>
      </x:c>
      <x:c r="F947" s="42" t="n">
        <x:v>-0.002172216969647669</x:v>
      </x:c>
      <x:c r="G947" s="43" t="n">
        <x:v>1.007432900033544</x:v>
      </x:c>
      <x:c r="H947" s="32" t="n">
        <x:v>876355.8281208853</x:v>
      </x:c>
      <x:c r="I947" s="50" t="b">
        <x:v>1</x:v>
      </x:c>
      <x:c r="J947" s="50" t="b">
        <x:v>0</x:v>
      </x:c>
      <x:c r="K947" s="31"/>
      <x:c r="L947" s="31"/>
    </x:row>
    <x:row r="948">
      <x:c r="A948" s="31"/>
      <x:c r="B948" s="31"/>
      <x:c r="C948" s="31"/>
      <x:c r="D948" s="31" t="n">
        <x:v>944</x:v>
      </x:c>
      <x:c r="E948" s="42" t="n">
        <x:v>0.005083837483431726</x:v>
      </x:c>
      <x:c r="F948" s="42" t="n">
        <x:v>0.004122447793053986</x:v>
      </x:c>
      <x:c r="G948" s="43" t="n">
        <x:v>0.9418805121210286</x:v>
      </x:c>
      <x:c r="H948" s="32" t="n">
        <x:v>1298973.2299915422</x:v>
      </x:c>
      <x:c r="I948" s="50" t="b">
        <x:v>0</x:v>
      </x:c>
      <x:c r="J948" s="50" t="b">
        <x:v>0</x:v>
      </x:c>
      <x:c r="K948" s="31"/>
      <x:c r="L948" s="31"/>
    </x:row>
    <x:row r="949">
      <x:c r="A949" s="31"/>
      <x:c r="B949" s="31"/>
      <x:c r="C949" s="31"/>
      <x:c r="D949" s="31" t="n">
        <x:v>945</x:v>
      </x:c>
      <x:c r="E949" s="42" t="n">
        <x:v>-0.011195593424253806</x:v>
      </x:c>
      <x:c r="F949" s="42" t="n">
        <x:v>-0.006028341961880739</x:v>
      </x:c>
      <x:c r="G949" s="43" t="n">
        <x:v>0.9076676527898042</x:v>
      </x:c>
      <x:c r="H949" s="32" t="n">
        <x:v>1499189.9087679263</x:v>
      </x:c>
      <x:c r="I949" s="50" t="b">
        <x:v>0</x:v>
      </x:c>
      <x:c r="J949" s="50" t="b">
        <x:v>0</x:v>
      </x:c>
      <x:c r="K949" s="31"/>
      <x:c r="L949" s="31"/>
    </x:row>
    <x:row r="950">
      <x:c r="A950" s="31"/>
      <x:c r="B950" s="31"/>
      <x:c r="C950" s="31"/>
      <x:c r="D950" s="31" t="n">
        <x:v>946</x:v>
      </x:c>
      <x:c r="E950" s="42" t="n">
        <x:v>-0.010803398624203488</x:v>
      </x:c>
      <x:c r="F950" s="42" t="n">
        <x:v>0.003977126168723436</x:v>
      </x:c>
      <x:c r="G950" s="43" t="n">
        <x:v>1.0042286997462737</x:v>
      </x:c>
      <x:c r="H950" s="32" t="n">
        <x:v>859200.1139040935</x:v>
      </x:c>
      <x:c r="I950" s="50" t="b">
        <x:v>1</x:v>
      </x:c>
      <x:c r="J950" s="50" t="b">
        <x:v>0</x:v>
      </x:c>
      <x:c r="K950" s="31"/>
      <x:c r="L950" s="31"/>
    </x:row>
    <x:row r="951">
      <x:c r="A951" s="31"/>
      <x:c r="B951" s="31"/>
      <x:c r="C951" s="31"/>
      <x:c r="D951" s="31" t="n">
        <x:v>947</x:v>
      </x:c>
      <x:c r="E951" s="42" t="n">
        <x:v>0.004359995923057376</x:v>
      </x:c>
      <x:c r="F951" s="42" t="n">
        <x:v>-0.007734548280162684</x:v>
      </x:c>
      <x:c r="G951" s="43" t="n">
        <x:v>0.9275850803238597</x:v>
      </x:c>
      <x:c r="H951" s="32" t="n">
        <x:v>1420748.7287033387</x:v>
      </x:c>
      <x:c r="I951" s="50" t="b">
        <x:v>0</x:v>
      </x:c>
      <x:c r="J951" s="50" t="b">
        <x:v>0</x:v>
      </x:c>
      <x:c r="K951" s="31"/>
      <x:c r="L951" s="31"/>
    </x:row>
    <x:row r="952">
      <x:c r="A952" s="31"/>
      <x:c r="B952" s="31"/>
      <x:c r="C952" s="31"/>
      <x:c r="D952" s="31" t="n">
        <x:v>948</x:v>
      </x:c>
      <x:c r="E952" s="42" t="n">
        <x:v>-0.0031849245985659537</x:v>
      </x:c>
      <x:c r="F952" s="42" t="n">
        <x:v>0.001333004192606134</x:v>
      </x:c>
      <x:c r="G952" s="43" t="n">
        <x:v>1.019922119617349</x:v>
      </x:c>
      <x:c r="H952" s="32" t="n">
        <x:v>788101.9466509894</x:v>
      </x:c>
      <x:c r="I952" s="50" t="b">
        <x:v>1</x:v>
      </x:c>
      <x:c r="J952" s="50" t="b">
        <x:v>0</x:v>
      </x:c>
      <x:c r="K952" s="31"/>
      <x:c r="L952" s="31"/>
    </x:row>
    <x:row r="953">
      <x:c r="A953" s="31"/>
      <x:c r="B953" s="31"/>
      <x:c r="C953" s="31"/>
      <x:c r="D953" s="31" t="n">
        <x:v>949</x:v>
      </x:c>
      <x:c r="E953" s="42" t="n">
        <x:v>-0.027935249661093363</x:v>
      </x:c>
      <x:c r="F953" s="42" t="n">
        <x:v>0.003040490190426165</x:v>
      </x:c>
      <x:c r="G953" s="43" t="n">
        <x:v>0.9672289677914453</x:v>
      </x:c>
      <x:c r="H953" s="32" t="n">
        <x:v>1049094.8759768659</x:v>
      </x:c>
      <x:c r="I953" s="50" t="b">
        <x:v>0</x:v>
      </x:c>
      <x:c r="J953" s="50" t="b">
        <x:v>0</x:v>
      </x:c>
      <x:c r="K953" s="31"/>
      <x:c r="L953" s="31"/>
    </x:row>
    <x:row r="954">
      <x:c r="A954" s="31"/>
      <x:c r="B954" s="31"/>
      <x:c r="C954" s="31"/>
      <x:c r="D954" s="31" t="n">
        <x:v>950</x:v>
      </x:c>
      <x:c r="E954" s="42" t="n">
        <x:v>-0.029142656109110866</x:v>
      </x:c>
      <x:c r="F954" s="42" t="n">
        <x:v>0.005824035939846126</x:v>
      </x:c>
      <x:c r="G954" s="43" t="n">
        <x:v>1.0067530510865177</x:v>
      </x:c>
      <x:c r="H954" s="32" t="n">
        <x:v>786980.0510653266</x:v>
      </x:c>
      <x:c r="I954" s="50" t="b">
        <x:v>1</x:v>
      </x:c>
      <x:c r="J954" s="50" t="b">
        <x:v>0</x:v>
      </x:c>
      <x:c r="K954" s="31"/>
      <x:c r="L954" s="31"/>
    </x:row>
    <x:row r="955">
      <x:c r="A955" s="31"/>
      <x:c r="B955" s="31"/>
      <x:c r="C955" s="31"/>
      <x:c r="D955" s="31" t="n">
        <x:v>951</x:v>
      </x:c>
      <x:c r="E955" s="42" t="n">
        <x:v>-0.009144128706504391</x:v>
      </x:c>
      <x:c r="F955" s="42" t="n">
        <x:v>0.012661367185408738</x:v>
      </x:c>
      <x:c r="G955" s="43" t="n">
        <x:v>1.1352943051001416</x:v>
      </x:c>
      <x:c r="H955" s="32" t="n">
        <x:v>7286.532740598777</x:v>
      </x:c>
      <x:c r="I955" s="50" t="b">
        <x:v>1</x:v>
      </x:c>
      <x:c r="J955" s="50" t="b">
        <x:v>0</x:v>
      </x:c>
      <x:c r="K955" s="31"/>
      <x:c r="L955" s="31"/>
    </x:row>
    <x:row r="956">
      <x:c r="A956" s="31"/>
      <x:c r="B956" s="31"/>
      <x:c r="C956" s="31"/>
      <x:c r="D956" s="31" t="n">
        <x:v>952</x:v>
      </x:c>
      <x:c r="E956" s="42" t="n">
        <x:v>0.0020446716098432467</x:v>
      </x:c>
      <x:c r="F956" s="42" t="n">
        <x:v>-0.001014862147158302</x:v>
      </x:c>
      <x:c r="G956" s="43" t="n">
        <x:v>1.0366217442970826</x:v>
      </x:c>
      <x:c r="H956" s="32" t="n">
        <x:v>703139.5377523649</x:v>
      </x:c>
      <x:c r="I956" s="50" t="b">
        <x:v>1</x:v>
      </x:c>
      <x:c r="J956" s="50" t="b">
        <x:v>0</x:v>
      </x:c>
      <x:c r="K956" s="31"/>
      <x:c r="L956" s="31"/>
    </x:row>
    <x:row r="957">
      <x:c r="A957" s="31"/>
      <x:c r="B957" s="31"/>
      <x:c r="C957" s="31"/>
      <x:c r="D957" s="31" t="n">
        <x:v>953</x:v>
      </x:c>
      <x:c r="E957" s="42" t="n">
        <x:v>0.013825239842445436</x:v>
      </x:c>
      <x:c r="F957" s="42" t="n">
        <x:v>-0.002911010553622447</x:v>
      </x:c>
      <x:c r="G957" s="43" t="n">
        <x:v>0.9995524187961371</x:v>
      </x:c>
      <x:c r="H957" s="32" t="n">
        <x:v>976625.4521630858</x:v>
      </x:c>
      <x:c r="I957" s="50" t="b">
        <x:v>1</x:v>
      </x:c>
      <x:c r="J957" s="50" t="b">
        <x:v>0</x:v>
      </x:c>
      <x:c r="K957" s="31"/>
      <x:c r="L957" s="31"/>
    </x:row>
    <x:row r="958">
      <x:c r="A958" s="31"/>
      <x:c r="B958" s="31"/>
      <x:c r="C958" s="31"/>
      <x:c r="D958" s="31" t="n">
        <x:v>954</x:v>
      </x:c>
      <x:c r="E958" s="42" t="n">
        <x:v>-0.009391507230392608</x:v>
      </x:c>
      <x:c r="F958" s="42" t="n">
        <x:v>0.0029597538002184135</x:v>
      </x:c>
      <x:c r="G958" s="43" t="n">
        <x:v>1.0720514944695994</x:v>
      </x:c>
      <x:c r="H958" s="32" t="n">
        <x:v>435239.24290645716</x:v>
      </x:c>
      <x:c r="I958" s="50" t="b">
        <x:v>1</x:v>
      </x:c>
      <x:c r="J958" s="50" t="b">
        <x:v>0</x:v>
      </x:c>
      <x:c r="K958" s="31"/>
      <x:c r="L958" s="31"/>
    </x:row>
    <x:row r="959">
      <x:c r="A959" s="31"/>
      <x:c r="B959" s="31"/>
      <x:c r="C959" s="31"/>
      <x:c r="D959" s="31" t="n">
        <x:v>955</x:v>
      </x:c>
      <x:c r="E959" s="42" t="n">
        <x:v>0.005754867176695622</x:v>
      </x:c>
      <x:c r="F959" s="42" t="n">
        <x:v>0.00753512477093188</x:v>
      </x:c>
      <x:c r="G959" s="43" t="n">
        <x:v>1.0176030667298002</x:v>
      </x:c>
      <x:c r="H959" s="32" t="n">
        <x:v>810449.9433670612</x:v>
      </x:c>
      <x:c r="I959" s="50" t="b">
        <x:v>1</x:v>
      </x:c>
      <x:c r="J959" s="50" t="b">
        <x:v>0</x:v>
      </x:c>
      <x:c r="K959" s="31"/>
      <x:c r="L959" s="31"/>
    </x:row>
    <x:row r="960">
      <x:c r="A960" s="31"/>
      <x:c r="B960" s="31"/>
      <x:c r="C960" s="31"/>
      <x:c r="D960" s="31" t="n">
        <x:v>956</x:v>
      </x:c>
      <x:c r="E960" s="42" t="n">
        <x:v>0.0003748660067094221</x:v>
      </x:c>
      <x:c r="F960" s="42" t="n">
        <x:v>-0.016745376380965644</x:v>
      </x:c>
      <x:c r="G960" s="43" t="n">
        <x:v>1.0421086276818956</x:v>
      </x:c>
      <x:c r="H960" s="32" t="n">
        <x:v>707432.2364397183</x:v>
      </x:c>
      <x:c r="I960" s="50" t="b">
        <x:v>1</x:v>
      </x:c>
      <x:c r="J960" s="50" t="b">
        <x:v>0</x:v>
      </x:c>
      <x:c r="K960" s="31"/>
      <x:c r="L960" s="31"/>
    </x:row>
    <x:row r="961">
      <x:c r="A961" s="31"/>
      <x:c r="B961" s="31"/>
      <x:c r="C961" s="31"/>
      <x:c r="D961" s="31" t="n">
        <x:v>957</x:v>
      </x:c>
      <x:c r="E961" s="42" t="n">
        <x:v>-0.0035792216056832566</x:v>
      </x:c>
      <x:c r="F961" s="42" t="n">
        <x:v>-0.002192729002843599</x:v>
      </x:c>
      <x:c r="G961" s="43" t="n">
        <x:v>1.0227233411635683</x:v>
      </x:c>
      <x:c r="H961" s="32" t="n">
        <x:v>779028.6279703362</x:v>
      </x:c>
      <x:c r="I961" s="50" t="b">
        <x:v>1</x:v>
      </x:c>
      <x:c r="J961" s="50" t="b">
        <x:v>0</x:v>
      </x:c>
      <x:c r="K961" s="31"/>
      <x:c r="L961" s="31"/>
    </x:row>
    <x:row r="962">
      <x:c r="A962" s="31"/>
      <x:c r="B962" s="31"/>
      <x:c r="C962" s="31"/>
      <x:c r="D962" s="31" t="n">
        <x:v>958</x:v>
      </x:c>
      <x:c r="E962" s="42" t="n">
        <x:v>0.0003531436393938025</x:v>
      </x:c>
      <x:c r="F962" s="42" t="n">
        <x:v>0.002132230497030373</x:v>
      </x:c>
      <x:c r="G962" s="43" t="n">
        <x:v>1.0415045994318104</x:v>
      </x:c>
      <x:c r="H962" s="32" t="n">
        <x:v>658661.5417343946</x:v>
      </x:c>
      <x:c r="I962" s="50" t="b">
        <x:v>1</x:v>
      </x:c>
      <x:c r="J962" s="50" t="b">
        <x:v>0</x:v>
      </x:c>
      <x:c r="K962" s="31"/>
      <x:c r="L962" s="31"/>
    </x:row>
    <x:row r="963">
      <x:c r="A963" s="31"/>
      <x:c r="B963" s="31"/>
      <x:c r="C963" s="31"/>
      <x:c r="D963" s="31" t="n">
        <x:v>959</x:v>
      </x:c>
      <x:c r="E963" s="42" t="n">
        <x:v>0.0032761099664084833</x:v>
      </x:c>
      <x:c r="F963" s="42" t="n">
        <x:v>-0.00202042366374488</x:v>
      </x:c>
      <x:c r="G963" s="43" t="n">
        <x:v>0.9497804681514058</x:v>
      </x:c>
      <x:c r="H963" s="32" t="n">
        <x:v>1260869.8834754562</x:v>
      </x:c>
      <x:c r="I963" s="50" t="b">
        <x:v>0</x:v>
      </x:c>
      <x:c r="J963" s="50" t="b">
        <x:v>0</x:v>
      </x:c>
      <x:c r="K963" s="31"/>
      <x:c r="L963" s="31"/>
    </x:row>
    <x:row r="964">
      <x:c r="A964" s="31"/>
      <x:c r="B964" s="31"/>
      <x:c r="C964" s="31"/>
      <x:c r="D964" s="31" t="n">
        <x:v>960</x:v>
      </x:c>
      <x:c r="E964" s="42" t="n">
        <x:v>0.0165895568660843</x:v>
      </x:c>
      <x:c r="F964" s="42" t="n">
        <x:v>0.0008845123124350148</x:v>
      </x:c>
      <x:c r="G964" s="43" t="n">
        <x:v>0.9907008826685122</x:v>
      </x:c>
      <x:c r="H964" s="32" t="n">
        <x:v>1029968.5911630451</x:v>
      </x:c>
      <x:c r="I964" s="50" t="b">
        <x:v>0</x:v>
      </x:c>
      <x:c r="J964" s="50" t="b">
        <x:v>0</x:v>
      </x:c>
      <x:c r="K964" s="31"/>
      <x:c r="L964" s="31"/>
    </x:row>
    <x:row r="965">
      <x:c r="A965" s="31"/>
      <x:c r="B965" s="31"/>
      <x:c r="C965" s="31"/>
      <x:c r="D965" s="31" t="n">
        <x:v>961</x:v>
      </x:c>
      <x:c r="E965" s="42" t="n">
        <x:v>0.02749156167151266</x:v>
      </x:c>
      <x:c r="F965" s="42" t="n">
        <x:v>-0.00550235050953104</x:v>
      </x:c>
      <x:c r="G965" s="43" t="n">
        <x:v>0.9682682340945974</x:v>
      </x:c>
      <x:c r="H965" s="32" t="n">
        <x:v>1220555.7433198625</x:v>
      </x:c>
      <x:c r="I965" s="50" t="b">
        <x:v>0</x:v>
      </x:c>
      <x:c r="J965" s="50" t="b">
        <x:v>0</x:v>
      </x:c>
      <x:c r="K965" s="31"/>
      <x:c r="L965" s="31"/>
    </x:row>
    <x:row r="966">
      <x:c r="A966" s="31"/>
      <x:c r="B966" s="31"/>
      <x:c r="C966" s="31"/>
      <x:c r="D966" s="31" t="n">
        <x:v>962</x:v>
      </x:c>
      <x:c r="E966" s="42" t="n">
        <x:v>0.005317343552963248</x:v>
      </x:c>
      <x:c r="F966" s="42" t="n">
        <x:v>-0.0073784311294652245</x:v>
      </x:c>
      <x:c r="G966" s="43" t="n">
        <x:v>1.0000813940202598</x:v>
      </x:c>
      <x:c r="H966" s="32" t="n">
        <x:v>962019.3311430947</x:v>
      </x:c>
      <x:c r="I966" s="50" t="b">
        <x:v>1</x:v>
      </x:c>
      <x:c r="J966" s="50" t="b">
        <x:v>0</x:v>
      </x:c>
      <x:c r="K966" s="31"/>
      <x:c r="L966" s="31"/>
    </x:row>
    <x:row r="967">
      <x:c r="A967" s="31"/>
      <x:c r="B967" s="31"/>
      <x:c r="C967" s="31"/>
      <x:c r="D967" s="31" t="n">
        <x:v>963</x:v>
      </x:c>
      <x:c r="E967" s="42" t="n">
        <x:v>0.009928652143249573</x:v>
      </x:c>
      <x:c r="F967" s="42" t="n">
        <x:v>-0.007708386593383891</x:v>
      </x:c>
      <x:c r="G967" s="43" t="n">
        <x:v>1.0331150406874585</x:v>
      </x:c>
      <x:c r="H967" s="32" t="n">
        <x:v>765986.3974616526</x:v>
      </x:c>
      <x:c r="I967" s="50" t="b">
        <x:v>1</x:v>
      </x:c>
      <x:c r="J967" s="50" t="b">
        <x:v>0</x:v>
      </x:c>
      <x:c r="K967" s="31"/>
      <x:c r="L967" s="31"/>
    </x:row>
    <x:row r="968">
      <x:c r="A968" s="31"/>
      <x:c r="B968" s="31"/>
      <x:c r="C968" s="31"/>
      <x:c r="D968" s="31" t="n">
        <x:v>964</x:v>
      </x:c>
      <x:c r="E968" s="42" t="n">
        <x:v>-0.0058305498678419025</x:v>
      </x:c>
      <x:c r="F968" s="42" t="n">
        <x:v>0.002840792575947502</x:v>
      </x:c>
      <x:c r="G968" s="43" t="n">
        <x:v>1.0399644616134338</x:v>
      </x:c>
      <x:c r="H968" s="32" t="n">
        <x:v>649257.7614503813</x:v>
      </x:c>
      <x:c r="I968" s="50" t="b">
        <x:v>1</x:v>
      </x:c>
      <x:c r="J968" s="50" t="b">
        <x:v>0</x:v>
      </x:c>
      <x:c r="K968" s="31"/>
      <x:c r="L968" s="31"/>
    </x:row>
    <x:row r="969">
      <x:c r="A969" s="31"/>
      <x:c r="B969" s="31"/>
      <x:c r="C969" s="31"/>
      <x:c r="D969" s="31" t="n">
        <x:v>965</x:v>
      </x:c>
      <x:c r="E969" s="42" t="n">
        <x:v>-0.00017557272693993653</x:v>
      </x:c>
      <x:c r="F969" s="42" t="n">
        <x:v>0.00588908345867174</x:v>
      </x:c>
      <x:c r="G969" s="43" t="n">
        <x:v>1.0883943504028957</x:v>
      </x:c>
      <x:c r="H969" s="32" t="n">
        <x:v>348949.4371911142</x:v>
      </x:c>
      <x:c r="I969" s="50" t="b">
        <x:v>1</x:v>
      </x:c>
      <x:c r="J969" s="50" t="b">
        <x:v>0</x:v>
      </x:c>
      <x:c r="K969" s="31"/>
      <x:c r="L969" s="31"/>
    </x:row>
    <x:row r="970">
      <x:c r="A970" s="31"/>
      <x:c r="B970" s="31"/>
      <x:c r="C970" s="31"/>
      <x:c r="D970" s="31" t="n">
        <x:v>966</x:v>
      </x:c>
      <x:c r="E970" s="42" t="n">
        <x:v>0.000607061393288576</x:v>
      </x:c>
      <x:c r="F970" s="42" t="n">
        <x:v>-0.015087145300632699</x:v>
      </x:c>
      <x:c r="G970" s="43" t="n">
        <x:v>1.004597130595127</x:v>
      </x:c>
      <x:c r="H970" s="32" t="n">
        <x:v>941687.4076877043</x:v>
      </x:c>
      <x:c r="I970" s="50" t="b">
        <x:v>1</x:v>
      </x:c>
      <x:c r="J970" s="50" t="b">
        <x:v>0</x:v>
      </x:c>
      <x:c r="K970" s="31"/>
      <x:c r="L970" s="31"/>
    </x:row>
    <x:row r="971">
      <x:c r="A971" s="31"/>
      <x:c r="B971" s="31"/>
      <x:c r="C971" s="31"/>
      <x:c r="D971" s="31" t="n">
        <x:v>967</x:v>
      </x:c>
      <x:c r="E971" s="42" t="n">
        <x:v>0.00025382598405469743</x:v>
      </x:c>
      <x:c r="F971" s="42" t="n">
        <x:v>-0.007284809077441145</x:v>
      </x:c>
      <x:c r="G971" s="43" t="n">
        <x:v>0.9909551819065427</x:v>
      </x:c>
      <x:c r="H971" s="32" t="n">
        <x:v>1005622.2290587306</x:v>
      </x:c>
      <x:c r="I971" s="50" t="b">
        <x:v>0</x:v>
      </x:c>
      <x:c r="J971" s="50" t="b">
        <x:v>0</x:v>
      </x:c>
      <x:c r="K971" s="31"/>
      <x:c r="L971" s="31"/>
    </x:row>
    <x:row r="972">
      <x:c r="A972" s="31"/>
      <x:c r="B972" s="31"/>
      <x:c r="C972" s="31"/>
      <x:c r="D972" s="31" t="n">
        <x:v>968</x:v>
      </x:c>
      <x:c r="E972" s="42" t="n">
        <x:v>0.014996399345301076</x:v>
      </x:c>
      <x:c r="F972" s="42" t="n">
        <x:v>0.002994795261194321</x:v>
      </x:c>
      <x:c r="G972" s="43" t="n">
        <x:v>1.0083650443247136</x:v>
      </x:c>
      <x:c r="H972" s="32" t="n">
        <x:v>907480.0457450938</x:v>
      </x:c>
      <x:c r="I972" s="50" t="b">
        <x:v>1</x:v>
      </x:c>
      <x:c r="J972" s="50" t="b">
        <x:v>0</x:v>
      </x:c>
      <x:c r="K972" s="31"/>
      <x:c r="L972" s="31"/>
    </x:row>
    <x:row r="973">
      <x:c r="A973" s="31"/>
      <x:c r="B973" s="31"/>
      <x:c r="C973" s="31"/>
      <x:c r="D973" s="31" t="n">
        <x:v>969</x:v>
      </x:c>
      <x:c r="E973" s="42" t="n">
        <x:v>0.015437078356507329</x:v>
      </x:c>
      <x:c r="F973" s="42" t="n">
        <x:v>-0.01246213925134996</x:v>
      </x:c>
      <x:c r="G973" s="43" t="n">
        <x:v>1.0111706726428842</x:v>
      </x:c>
      <x:c r="H973" s="32" t="n">
        <x:v>933913.6785341755</x:v>
      </x:c>
      <x:c r="I973" s="50" t="b">
        <x:v>1</x:v>
      </x:c>
      <x:c r="J973" s="50" t="b">
        <x:v>0</x:v>
      </x:c>
      <x:c r="K973" s="31"/>
      <x:c r="L973" s="31"/>
    </x:row>
    <x:row r="974">
      <x:c r="A974" s="31"/>
      <x:c r="B974" s="31"/>
      <x:c r="C974" s="31"/>
      <x:c r="D974" s="31" t="n">
        <x:v>970</x:v>
      </x:c>
      <x:c r="E974" s="42" t="n">
        <x:v>0.010150249213807519</x:v>
      </x:c>
      <x:c r="F974" s="42" t="n">
        <x:v>0.0024837750574990235</x:v>
      </x:c>
      <x:c r="G974" s="43" t="n">
        <x:v>1.0395443118533643</x:v>
      </x:c>
      <x:c r="H974" s="32" t="n">
        <x:v>697402.6846448989</x:v>
      </x:c>
      <x:c r="I974" s="50" t="b">
        <x:v>1</x:v>
      </x:c>
      <x:c r="J974" s="50" t="b">
        <x:v>0</x:v>
      </x:c>
      <x:c r="K974" s="31"/>
      <x:c r="L974" s="31"/>
    </x:row>
    <x:row r="975">
      <x:c r="A975" s="31"/>
      <x:c r="B975" s="31"/>
      <x:c r="C975" s="31"/>
      <x:c r="D975" s="31" t="n">
        <x:v>971</x:v>
      </x:c>
      <x:c r="E975" s="42" t="n">
        <x:v>-0.009032639612189886</x:v>
      </x:c>
      <x:c r="F975" s="42" t="n">
        <x:v>-0.012220072716824243</x:v>
      </x:c>
      <x:c r="G975" s="43" t="n">
        <x:v>1.0293255648456419</x:v>
      </x:c>
      <x:c r="H975" s="32" t="n">
        <x:v>749831.4553002941</x:v>
      </x:c>
      <x:c r="I975" s="50" t="b">
        <x:v>1</x:v>
      </x:c>
      <x:c r="J975" s="50" t="b">
        <x:v>0</x:v>
      </x:c>
      <x:c r="K975" s="31"/>
      <x:c r="L975" s="31"/>
    </x:row>
    <x:row r="976">
      <x:c r="A976" s="31"/>
      <x:c r="B976" s="31"/>
      <x:c r="C976" s="31"/>
      <x:c r="D976" s="31" t="n">
        <x:v>972</x:v>
      </x:c>
      <x:c r="E976" s="42" t="n">
        <x:v>0.010309560960160636</x:v>
      </x:c>
      <x:c r="F976" s="42" t="n">
        <x:v>0.008824432036471062</x:v>
      </x:c>
      <x:c r="G976" s="43" t="n">
        <x:v>1.011788614825715</x:v>
      </x:c>
      <x:c r="H976" s="32" t="n">
        <x:v>856465.106672768</x:v>
      </x:c>
      <x:c r="I976" s="50" t="b">
        <x:v>1</x:v>
      </x:c>
      <x:c r="J976" s="50" t="b">
        <x:v>0</x:v>
      </x:c>
      <x:c r="K976" s="31"/>
      <x:c r="L976" s="31"/>
    </x:row>
    <x:row r="977">
      <x:c r="A977" s="31"/>
      <x:c r="B977" s="31"/>
      <x:c r="C977" s="31"/>
      <x:c r="D977" s="31" t="n">
        <x:v>973</x:v>
      </x:c>
      <x:c r="E977" s="42" t="n">
        <x:v>0.004439349243629991</x:v>
      </x:c>
      <x:c r="F977" s="42" t="n">
        <x:v>-0.00594364874511217</x:v>
      </x:c>
      <x:c r="G977" s="43" t="n">
        <x:v>1.10858526500315</x:v>
      </x:c>
      <x:c r="H977" s="32" t="n">
        <x:v>266505.23967742804</x:v>
      </x:c>
      <x:c r="I977" s="50" t="b">
        <x:v>1</x:v>
      </x:c>
      <x:c r="J977" s="50" t="b">
        <x:v>0</x:v>
      </x:c>
      <x:c r="K977" s="31"/>
      <x:c r="L977" s="31"/>
    </x:row>
    <x:row r="978">
      <x:c r="A978" s="31"/>
      <x:c r="B978" s="31"/>
      <x:c r="C978" s="31"/>
      <x:c r="D978" s="31" t="n">
        <x:v>974</x:v>
      </x:c>
      <x:c r="E978" s="42" t="n">
        <x:v>-0.005920703346439602</x:v>
      </x:c>
      <x:c r="F978" s="42" t="n">
        <x:v>0.008012994924310686</x:v>
      </x:c>
      <x:c r="G978" s="43" t="n">
        <x:v>0.9816197168524939</x:v>
      </x:c>
      <x:c r="H978" s="32" t="n">
        <x:v>1005140.3280007133</x:v>
      </x:c>
      <x:c r="I978" s="50" t="b">
        <x:v>0</x:v>
      </x:c>
      <x:c r="J978" s="50" t="b">
        <x:v>0</x:v>
      </x:c>
      <x:c r="K978" s="31"/>
      <x:c r="L978" s="31"/>
    </x:row>
    <x:row r="979">
      <x:c r="A979" s="31"/>
      <x:c r="B979" s="31"/>
      <x:c r="C979" s="31"/>
      <x:c r="D979" s="31" t="n">
        <x:v>975</x:v>
      </x:c>
      <x:c r="E979" s="42" t="n">
        <x:v>0.013237876586994294</x:v>
      </x:c>
      <x:c r="F979" s="42" t="n">
        <x:v>-0.0018037439138343</x:v>
      </x:c>
      <x:c r="G979" s="43" t="n">
        <x:v>0.9513193374228508</x:v>
      </x:c>
      <x:c r="H979" s="32" t="n">
        <x:v>1278222.6390482155</x:v>
      </x:c>
      <x:c r="I979" s="50" t="b">
        <x:v>0</x:v>
      </x:c>
      <x:c r="J979" s="50" t="b">
        <x:v>0</x:v>
      </x:c>
      <x:c r="K979" s="31"/>
      <x:c r="L979" s="31"/>
    </x:row>
    <x:row r="980">
      <x:c r="A980" s="31"/>
      <x:c r="B980" s="31"/>
      <x:c r="C980" s="31"/>
      <x:c r="D980" s="31" t="n">
        <x:v>976</x:v>
      </x:c>
      <x:c r="E980" s="42" t="n">
        <x:v>-0.012384496786350428</x:v>
      </x:c>
      <x:c r="F980" s="42" t="n">
        <x:v>-0.009627469636872572</x:v>
      </x:c>
      <x:c r="G980" s="43" t="n">
        <x:v>1.0121969293315103</x:v>
      </x:c>
      <x:c r="H980" s="32" t="n">
        <x:v>842063.884918249</x:v>
      </x:c>
      <x:c r="I980" s="50" t="b">
        <x:v>1</x:v>
      </x:c>
      <x:c r="J980" s="50" t="b">
        <x:v>0</x:v>
      </x:c>
      <x:c r="K980" s="31"/>
      <x:c r="L980" s="31"/>
    </x:row>
    <x:row r="981">
      <x:c r="A981" s="31"/>
      <x:c r="B981" s="31"/>
      <x:c r="C981" s="31"/>
      <x:c r="D981" s="31" t="n">
        <x:v>977</x:v>
      </x:c>
      <x:c r="E981" s="42" t="n">
        <x:v>0.012957707826995693</x:v>
      </x:c>
      <x:c r="F981" s="42" t="n">
        <x:v>-0.0044736154963977365</x:v>
      </x:c>
      <x:c r="G981" s="43" t="n">
        <x:v>0.9719708768270744</x:v>
      </x:c>
      <x:c r="H981" s="32" t="n">
        <x:v>1153722.5286006182</x:v>
      </x:c>
      <x:c r="I981" s="50" t="b">
        <x:v>0</x:v>
      </x:c>
      <x:c r="J981" s="50" t="b">
        <x:v>0</x:v>
      </x:c>
      <x:c r="K981" s="31"/>
      <x:c r="L981" s="31"/>
    </x:row>
    <x:row r="982">
      <x:c r="A982" s="31"/>
      <x:c r="B982" s="31"/>
      <x:c r="C982" s="31"/>
      <x:c r="D982" s="31" t="n">
        <x:v>978</x:v>
      </x:c>
      <x:c r="E982" s="42" t="n">
        <x:v>0.014217894557869402</x:v>
      </x:c>
      <x:c r="F982" s="42" t="n">
        <x:v>-0.0033893601508382127</x:v>
      </x:c>
      <x:c r="G982" s="43" t="n">
        <x:v>1.011303362004234</x:v>
      </x:c>
      <x:c r="H982" s="32" t="n">
        <x:v>904423.1002502372</x:v>
      </x:c>
      <x:c r="I982" s="50" t="b">
        <x:v>1</x:v>
      </x:c>
      <x:c r="J982" s="50" t="b">
        <x:v>0</x:v>
      </x:c>
      <x:c r="K982" s="31"/>
      <x:c r="L982" s="31"/>
    </x:row>
    <x:row r="983">
      <x:c r="A983" s="31"/>
      <x:c r="B983" s="31"/>
      <x:c r="C983" s="31"/>
      <x:c r="D983" s="31" t="n">
        <x:v>979</x:v>
      </x:c>
      <x:c r="E983" s="42" t="n">
        <x:v>-0.004064453960607435</x:v>
      </x:c>
      <x:c r="F983" s="42" t="n">
        <x:v>-0.003051668240769277</x:v>
      </x:c>
      <x:c r="G983" s="43" t="n">
        <x:v>0.9978343184732236</x:v>
      </x:c>
      <x:c r="H983" s="32" t="n">
        <x:v>938131.770561287</x:v>
      </x:c>
      <x:c r="I983" s="50" t="b">
        <x:v>1</x:v>
      </x:c>
      <x:c r="J983" s="50" t="b">
        <x:v>0</x:v>
      </x:c>
      <x:c r="K983" s="31"/>
      <x:c r="L983" s="31"/>
    </x:row>
    <x:row r="984">
      <x:c r="A984" s="31"/>
      <x:c r="B984" s="31"/>
      <x:c r="C984" s="31"/>
      <x:c r="D984" s="31" t="n">
        <x:v>980</x:v>
      </x:c>
      <x:c r="E984" s="42" t="n">
        <x:v>0.0006646497773007221</x:v>
      </x:c>
      <x:c r="F984" s="42" t="n">
        <x:v>0.005124248640176838</x:v>
      </x:c>
      <x:c r="G984" s="43" t="n">
        <x:v>1.0450982896174459</x:v>
      </x:c>
      <x:c r="H984" s="32" t="n">
        <x:v>628377.7993181335</x:v>
      </x:c>
      <x:c r="I984" s="50" t="b">
        <x:v>1</x:v>
      </x:c>
      <x:c r="J984" s="50" t="b">
        <x:v>0</x:v>
      </x:c>
      <x:c r="K984" s="31"/>
      <x:c r="L984" s="31"/>
    </x:row>
    <x:row r="985">
      <x:c r="A985" s="31"/>
      <x:c r="B985" s="31"/>
      <x:c r="C985" s="31"/>
      <x:c r="D985" s="31" t="n">
        <x:v>981</x:v>
      </x:c>
      <x:c r="E985" s="42" t="n">
        <x:v>0.00014219734583352026</x:v>
      </x:c>
      <x:c r="F985" s="42" t="n">
        <x:v>-0.0036395015159674687</x:v>
      </x:c>
      <x:c r="G985" s="43" t="n">
        <x:v>1.0078806281841721</x:v>
      </x:c>
      <x:c r="H985" s="32" t="n">
        <x:v>887676.1429232977</x:v>
      </x:c>
      <x:c r="I985" s="50" t="b">
        <x:v>1</x:v>
      </x:c>
      <x:c r="J985" s="50" t="b">
        <x:v>0</x:v>
      </x:c>
      <x:c r="K985" s="31"/>
      <x:c r="L985" s="31"/>
    </x:row>
    <x:row r="986">
      <x:c r="A986" s="31"/>
      <x:c r="B986" s="31"/>
      <x:c r="C986" s="31"/>
      <x:c r="D986" s="31" t="n">
        <x:v>982</x:v>
      </x:c>
      <x:c r="E986" s="42" t="n">
        <x:v>0.00036419345631206866</x:v>
      </x:c>
      <x:c r="F986" s="42" t="n">
        <x:v>0.006215522087553184</x:v>
      </x:c>
      <x:c r="G986" s="43" t="n">
        <x:v>0.9719636782516877</x:v>
      </x:c>
      <x:c r="H986" s="32" t="n">
        <x:v>1088960.466845542</x:v>
      </x:c>
      <x:c r="I986" s="50" t="b">
        <x:v>0</x:v>
      </x:c>
      <x:c r="J986" s="50" t="b">
        <x:v>0</x:v>
      </x:c>
      <x:c r="K986" s="31"/>
      <x:c r="L986" s="31"/>
    </x:row>
    <x:row r="987">
      <x:c r="A987" s="31"/>
      <x:c r="B987" s="31"/>
      <x:c r="C987" s="31"/>
      <x:c r="D987" s="31" t="n">
        <x:v>983</x:v>
      </x:c>
      <x:c r="E987" s="42" t="n">
        <x:v>0.008067544649591984</x:v>
      </x:c>
      <x:c r="F987" s="42" t="n">
        <x:v>0.010703567593389286</x:v>
      </x:c>
      <x:c r="G987" s="43" t="n">
        <x:v>0.9418359956417304</x:v>
      </x:c>
      <x:c r="H987" s="32" t="n">
        <x:v>1289242.4633542094</x:v>
      </x:c>
      <x:c r="I987" s="50" t="b">
        <x:v>0</x:v>
      </x:c>
      <x:c r="J987" s="50" t="b">
        <x:v>0</x:v>
      </x:c>
      <x:c r="K987" s="31"/>
      <x:c r="L987" s="31"/>
    </x:row>
    <x:row r="988">
      <x:c r="A988" s="31"/>
      <x:c r="B988" s="31"/>
      <x:c r="C988" s="31"/>
      <x:c r="D988" s="31" t="n">
        <x:v>984</x:v>
      </x:c>
      <x:c r="E988" s="42" t="n">
        <x:v>-0.0023023933777351537</x:v>
      </x:c>
      <x:c r="F988" s="42" t="n">
        <x:v>-0.0020209331036510196</x:v>
      </x:c>
      <x:c r="G988" s="43" t="n">
        <x:v>1.0560855951860042</x:v>
      </x:c>
      <x:c r="H988" s="32" t="n">
        <x:v>570230.568811028</x:v>
      </x:c>
      <x:c r="I988" s="50" t="b">
        <x:v>1</x:v>
      </x:c>
      <x:c r="J988" s="50" t="b">
        <x:v>0</x:v>
      </x:c>
      <x:c r="K988" s="31"/>
      <x:c r="L988" s="31"/>
    </x:row>
    <x:row r="989">
      <x:c r="A989" s="31"/>
      <x:c r="B989" s="31"/>
      <x:c r="C989" s="31"/>
      <x:c r="D989" s="31" t="n">
        <x:v>985</x:v>
      </x:c>
      <x:c r="E989" s="42" t="n">
        <x:v>-0.020783308102600644</x:v>
      </x:c>
      <x:c r="F989" s="42" t="n">
        <x:v>-0.0010313413305735669</x:v>
      </x:c>
      <x:c r="G989" s="43" t="n">
        <x:v>1.004002471180596</x:v>
      </x:c>
      <x:c r="H989" s="32" t="n">
        <x:v>846798.7065701382</x:v>
      </x:c>
      <x:c r="I989" s="50" t="b">
        <x:v>1</x:v>
      </x:c>
      <x:c r="J989" s="50" t="b">
        <x:v>0</x:v>
      </x:c>
      <x:c r="K989" s="31"/>
      <x:c r="L989" s="31"/>
    </x:row>
    <x:row r="990">
      <x:c r="A990" s="31"/>
      <x:c r="B990" s="31"/>
      <x:c r="C990" s="31"/>
      <x:c r="D990" s="31" t="n">
        <x:v>986</x:v>
      </x:c>
      <x:c r="E990" s="42" t="n">
        <x:v>0.02095583400813574</x:v>
      </x:c>
      <x:c r="F990" s="42" t="n">
        <x:v>-0.000042133989531194693</x:v>
      </x:c>
      <x:c r="G990" s="43" t="n">
        <x:v>1.0237823377210094</x:v>
      </x:c>
      <x:c r="H990" s="32" t="n">
        <x:v>834610.8920822467</x:v>
      </x:c>
      <x:c r="I990" s="50" t="b">
        <x:v>1</x:v>
      </x:c>
      <x:c r="J990" s="50" t="b">
        <x:v>0</x:v>
      </x:c>
      <x:c r="K990" s="31"/>
      <x:c r="L990" s="31"/>
    </x:row>
    <x:row r="991">
      <x:c r="A991" s="31"/>
      <x:c r="B991" s="31"/>
      <x:c r="C991" s="31"/>
      <x:c r="D991" s="31" t="n">
        <x:v>987</x:v>
      </x:c>
      <x:c r="E991" s="42" t="n">
        <x:v>0.003334310193685661</x:v>
      </x:c>
      <x:c r="F991" s="42" t="n">
        <x:v>0.0039795892030576015</x:v>
      </x:c>
      <x:c r="G991" s="43" t="n">
        <x:v>1.0061347998753682</x:v>
      </x:c>
      <x:c r="H991" s="32" t="n">
        <x:v>886440.7980952032</x:v>
      </x:c>
      <x:c r="I991" s="50" t="b">
        <x:v>1</x:v>
      </x:c>
      <x:c r="J991" s="50" t="b">
        <x:v>0</x:v>
      </x:c>
      <x:c r="K991" s="31"/>
      <x:c r="L991" s="31"/>
    </x:row>
    <x:row r="992">
      <x:c r="A992" s="31"/>
      <x:c r="B992" s="31"/>
      <x:c r="C992" s="31"/>
      <x:c r="D992" s="31" t="n">
        <x:v>988</x:v>
      </x:c>
      <x:c r="E992" s="42" t="n">
        <x:v>-0.004155376966488718</x:v>
      </x:c>
      <x:c r="F992" s="42" t="n">
        <x:v>0.0010948122830969015</x:v>
      </x:c>
      <x:c r="G992" s="43" t="n">
        <x:v>1.050686058430715</x:v>
      </x:c>
      <x:c r="H992" s="32" t="n">
        <x:v>590690.8840709559</x:v>
      </x:c>
      <x:c r="I992" s="50" t="b">
        <x:v>1</x:v>
      </x:c>
      <x:c r="J992" s="50" t="b">
        <x:v>0</x:v>
      </x:c>
      <x:c r="K992" s="31"/>
      <x:c r="L992" s="31"/>
    </x:row>
    <x:row r="993">
      <x:c r="A993" s="31"/>
      <x:c r="B993" s="31"/>
      <x:c r="C993" s="31"/>
      <x:c r="D993" s="31" t="n">
        <x:v>989</x:v>
      </x:c>
      <x:c r="E993" s="42" t="n">
        <x:v>-0.015919184241880005</x:v>
      </x:c>
      <x:c r="F993" s="42" t="n">
        <x:v>0.0003022950375301496</x:v>
      </x:c>
      <x:c r="G993" s="43" t="n">
        <x:v>0.9865518798821158</x:v>
      </x:c>
      <x:c r="H993" s="32" t="n">
        <x:v>967449.5105149418</x:v>
      </x:c>
      <x:c r="I993" s="50" t="b">
        <x:v>1</x:v>
      </x:c>
      <x:c r="J993" s="50" t="b">
        <x:v>0</x:v>
      </x:c>
      <x:c r="K993" s="31"/>
      <x:c r="L993" s="31"/>
    </x:row>
    <x:row r="994">
      <x:c r="A994" s="31"/>
      <x:c r="B994" s="31"/>
      <x:c r="C994" s="31"/>
      <x:c r="D994" s="31" t="n">
        <x:v>990</x:v>
      </x:c>
      <x:c r="E994" s="42" t="n">
        <x:v>0.02063473506486077</x:v>
      </x:c>
      <x:c r="F994" s="42" t="n">
        <x:v>0.008434857419698457</x:v>
      </x:c>
      <x:c r="G994" s="43" t="n">
        <x:v>1.0198230840863969</x:v>
      </x:c>
      <x:c r="H994" s="32" t="n">
        <x:v>835265.2772005191</x:v>
      </x:c>
      <x:c r="I994" s="50" t="b">
        <x:v>1</x:v>
      </x:c>
      <x:c r="J994" s="50" t="b">
        <x:v>0</x:v>
      </x:c>
      <x:c r="K994" s="31"/>
      <x:c r="L994" s="31"/>
    </x:row>
    <x:row r="995">
      <x:c r="A995" s="31"/>
      <x:c r="B995" s="31"/>
      <x:c r="C995" s="31"/>
      <x:c r="D995" s="31" t="n">
        <x:v>991</x:v>
      </x:c>
      <x:c r="E995" s="42" t="n">
        <x:v>0.0035049452977716873</x:v>
      </x:c>
      <x:c r="F995" s="42" t="n">
        <x:v>0.008034116319003389</x:v>
      </x:c>
      <x:c r="G995" s="43" t="n">
        <x:v>1.1216458529444853</x:v>
      </x:c>
      <x:c r="H995" s="32" t="n">
        <x:v>142052.9033820593</x:v>
      </x:c>
      <x:c r="I995" s="50" t="b">
        <x:v>1</x:v>
      </x:c>
      <x:c r="J995" s="50" t="b">
        <x:v>0</x:v>
      </x:c>
      <x:c r="K995" s="31"/>
      <x:c r="L995" s="31"/>
    </x:row>
    <x:row r="996">
      <x:c r="A996" s="31"/>
      <x:c r="B996" s="31"/>
      <x:c r="C996" s="31"/>
      <x:c r="D996" s="31" t="n">
        <x:v>992</x:v>
      </x:c>
      <x:c r="E996" s="42" t="n">
        <x:v>0.011354514064158279</x:v>
      </x:c>
      <x:c r="F996" s="42" t="n">
        <x:v>-0.003421591069747161</x:v>
      </x:c>
      <x:c r="G996" s="43" t="n">
        <x:v>1.0209627914266985</x:v>
      </x:c>
      <x:c r="H996" s="32" t="n">
        <x:v>835198.3147368694</x:v>
      </x:c>
      <x:c r="I996" s="50" t="b">
        <x:v>1</x:v>
      </x:c>
      <x:c r="J996" s="50" t="b">
        <x:v>0</x:v>
      </x:c>
      <x:c r="K996" s="31"/>
      <x:c r="L996" s="31"/>
    </x:row>
    <x:row r="997">
      <x:c r="A997" s="31"/>
      <x:c r="B997" s="31"/>
      <x:c r="C997" s="31"/>
      <x:c r="D997" s="31" t="n">
        <x:v>993</x:v>
      </x:c>
      <x:c r="E997" s="42" t="n">
        <x:v>0.015101632499990138</x:v>
      </x:c>
      <x:c r="F997" s="42" t="n">
        <x:v>-0.0022108435062276662</x:v>
      </x:c>
      <x:c r="G997" s="43" t="n">
        <x:v>1.0191872535535864</x:v>
      </x:c>
      <x:c r="H997" s="32" t="n">
        <x:v>853534.2822627731</x:v>
      </x:c>
      <x:c r="I997" s="50" t="b">
        <x:v>1</x:v>
      </x:c>
      <x:c r="J997" s="50" t="b">
        <x:v>0</x:v>
      </x:c>
      <x:c r="K997" s="31"/>
      <x:c r="L997" s="31"/>
    </x:row>
    <x:row r="998">
      <x:c r="A998" s="31"/>
      <x:c r="B998" s="31"/>
      <x:c r="C998" s="31"/>
      <x:c r="D998" s="31" t="n">
        <x:v>994</x:v>
      </x:c>
      <x:c r="E998" s="42" t="n">
        <x:v>0.015196940981697375</x:v>
      </x:c>
      <x:c r="F998" s="42" t="n">
        <x:v>-0.00498184829428656</x:v>
      </x:c>
      <x:c r="G998" s="43" t="n">
        <x:v>1.0197764567244283</x:v>
      </x:c>
      <x:c r="H998" s="32" t="n">
        <x:v>857770.8713595434</x:v>
      </x:c>
      <x:c r="I998" s="50" t="b">
        <x:v>1</x:v>
      </x:c>
      <x:c r="J998" s="50" t="b">
        <x:v>0</x:v>
      </x:c>
      <x:c r="K998" s="31"/>
      <x:c r="L998" s="31"/>
    </x:row>
    <x:row r="999">
      <x:c r="A999" s="31"/>
      <x:c r="B999" s="31"/>
      <x:c r="C999" s="31"/>
      <x:c r="D999" s="31" t="n">
        <x:v>995</x:v>
      </x:c>
      <x:c r="E999" s="42" t="n">
        <x:v>0.004657194229924765</x:v>
      </x:c>
      <x:c r="F999" s="42" t="n">
        <x:v>0.00206744953784187</x:v>
      </x:c>
      <x:c r="G999" s="43" t="n">
        <x:v>1.0391817053274197</x:v>
      </x:c>
      <x:c r="H999" s="32" t="n">
        <x:v>685574.3038967072</x:v>
      </x:c>
      <x:c r="I999" s="50" t="b">
        <x:v>1</x:v>
      </x:c>
      <x:c r="J999" s="50" t="b">
        <x:v>0</x:v>
      </x:c>
      <x:c r="K999" s="31"/>
      <x:c r="L999" s="31"/>
    </x:row>
    <x:row r="1000">
      <x:c r="A1000" s="31"/>
      <x:c r="B1000" s="31"/>
      <x:c r="C1000" s="31"/>
      <x:c r="D1000" s="31" t="n">
        <x:v>996</x:v>
      </x:c>
      <x:c r="E1000" s="42" t="n">
        <x:v>-0.002297363357759304</x:v>
      </x:c>
      <x:c r="F1000" s="42" t="n">
        <x:v>-0.00526800227662839</x:v>
      </x:c>
      <x:c r="G1000" s="43" t="n">
        <x:v>0.9935187666228765</x:v>
      </x:c>
      <x:c r="H1000" s="32" t="n">
        <x:v>976626.5319875244</x:v>
      </x:c>
      <x:c r="I1000" s="50" t="b">
        <x:v>1</x:v>
      </x:c>
      <x:c r="J1000" s="50" t="b">
        <x:v>0</x:v>
      </x:c>
      <x:c r="K1000" s="31"/>
      <x:c r="L1000" s="31"/>
    </x:row>
    <x:row r="1001">
      <x:c r="A1001" s="31"/>
      <x:c r="B1001" s="31"/>
      <x:c r="C1001" s="31"/>
      <x:c r="D1001" s="31" t="n">
        <x:v>997</x:v>
      </x:c>
      <x:c r="E1001" s="42" t="n">
        <x:v>0.017319904254254594</x:v>
      </x:c>
      <x:c r="F1001" s="42" t="n">
        <x:v>-0.007926765696782627</x:v>
      </x:c>
      <x:c r="G1001" s="43" t="n">
        <x:v>1.0017194272212853</x:v>
      </x:c>
      <x:c r="H1001" s="32" t="n">
        <x:v>986552.3554024633</x:v>
      </x:c>
      <x:c r="I1001" s="50" t="b">
        <x:v>1</x:v>
      </x:c>
      <x:c r="J1001" s="50" t="b">
        <x:v>0</x:v>
      </x:c>
      <x:c r="K1001" s="31"/>
      <x:c r="L1001" s="31"/>
    </x:row>
    <x:row r="1002">
      <x:c r="A1002" s="31"/>
      <x:c r="B1002" s="31"/>
      <x:c r="C1002" s="31"/>
      <x:c r="D1002" s="31" t="n">
        <x:v>998</x:v>
      </x:c>
      <x:c r="E1002" s="42" t="n">
        <x:v>-0.0012005094489378884</x:v>
      </x:c>
      <x:c r="F1002" s="42" t="n">
        <x:v>-0.007099677124479651</x:v>
      </x:c>
      <x:c r="G1002" s="43" t="n">
        <x:v>1.0097009974646527</x:v>
      </x:c>
      <x:c r="H1002" s="32" t="n">
        <x:v>882009.5301344688</x:v>
      </x:c>
      <x:c r="I1002" s="50" t="b">
        <x:v>1</x:v>
      </x:c>
      <x:c r="J1002" s="50" t="b">
        <x:v>0</x:v>
      </x:c>
      <x:c r="K1002" s="31"/>
      <x:c r="L1002" s="31"/>
    </x:row>
    <x:row r="1003">
      <x:c r="A1003" s="31"/>
      <x:c r="B1003" s="31"/>
      <x:c r="C1003" s="31"/>
      <x:c r="D1003" s="31" t="n">
        <x:v>999</x:v>
      </x:c>
      <x:c r="E1003" s="42" t="n">
        <x:v>-0.013566903650243005</x:v>
      </x:c>
      <x:c r="F1003" s="42" t="n">
        <x:v>-0.0027379213278538378</x:v>
      </x:c>
      <x:c r="G1003" s="43" t="n">
        <x:v>1.0864006746400556</x:v>
      </x:c>
      <x:c r="H1003" s="32" t="n">
        <x:v>348349.0828536877</x:v>
      </x:c>
      <x:c r="I1003" s="50" t="b">
        <x:v>1</x:v>
      </x:c>
      <x:c r="J1003" s="50" t="b">
        <x:v>0</x:v>
      </x:c>
      <x:c r="K1003" s="31"/>
      <x:c r="L1003" s="31"/>
    </x:row>
    <x:row r="1004">
      <x:c r="A1004" s="31"/>
      <x:c r="B1004" s="31"/>
      <x:c r="C1004" s="31"/>
      <x:c r="D1004" s="31" t="n">
        <x:v>1000</x:v>
      </x:c>
      <x:c r="E1004" s="42" t="n">
        <x:v>-0.001081821503784142</x:v>
      </x:c>
      <x:c r="F1004" s="42" t="n">
        <x:v>-0.005756843561424326</x:v>
      </x:c>
      <x:c r="G1004" s="43" t="n">
        <x:v>0.9485735108460869</x:v>
      </x:c>
      <x:c r="H1004" s="32" t="n">
        <x:v>1266804.9259270388</x:v>
      </x:c>
      <x:c r="I1004" s="50" t="b">
        <x:v>0</x:v>
      </x:c>
      <x:c r="J1004" s="50" t="b">
        <x:v>0</x:v>
      </x:c>
      <x:c r="K1004" s="31"/>
      <x:c r="L1004" s="31"/>
    </x:row>
    <x:row r="1005">
      <x:c r="A1005" s="31"/>
      <x:c r="B1005" s="31"/>
      <x:c r="C1005" s="31"/>
      <x:c r="D1005" s="31" t="n">
        <x:v>1001</x:v>
      </x:c>
      <x:c r="E1005" s="42" t="n">
        <x:v>-0.00875545736635101</x:v>
      </x:c>
      <x:c r="F1005" s="42" t="n">
        <x:v>0.007858193206584006</x:v>
      </x:c>
      <x:c r="G1005" s="43" t="n">
        <x:v>1.021206448359635</x:v>
      </x:c>
      <x:c r="H1005" s="32" t="n">
        <x:v>746276.8398418028</x:v>
      </x:c>
      <x:c r="I1005" s="50" t="b">
        <x:v>1</x:v>
      </x:c>
      <x:c r="J1005" s="50" t="b">
        <x:v>0</x:v>
      </x:c>
      <x:c r="K1005" s="31"/>
      <x:c r="L1005" s="31"/>
    </x:row>
    <x:row r="1006">
      <x:c r="A1006" s="31"/>
      <x:c r="B1006" s="31"/>
      <x:c r="C1006" s="31"/>
      <x:c r="D1006" s="31" t="n">
        <x:v>1002</x:v>
      </x:c>
      <x:c r="E1006" s="42" t="n">
        <x:v>0.0038635445613525374</x:v>
      </x:c>
      <x:c r="F1006" s="42" t="n">
        <x:v>0.005968633871063031</x:v>
      </x:c>
      <x:c r="G1006" s="43" t="n">
        <x:v>0.9964217260400935</x:v>
      </x:c>
      <x:c r="H1006" s="32" t="n">
        <x:v>944062.2816950674</x:v>
      </x:c>
      <x:c r="I1006" s="50" t="b">
        <x:v>1</x:v>
      </x:c>
      <x:c r="J1006" s="50" t="b">
        <x:v>0</x:v>
      </x:c>
      <x:c r="K1006" s="31"/>
      <x:c r="L1006" s="31"/>
    </x:row>
    <x:row r="1007">
      <x:c r="A1007" s="31"/>
      <x:c r="B1007" s="31"/>
      <x:c r="C1007" s="31"/>
      <x:c r="D1007" s="31" t="n">
        <x:v>1003</x:v>
      </x:c>
      <x:c r="E1007" s="42" t="n">
        <x:v>0.0004983710977968732</x:v>
      </x:c>
      <x:c r="F1007" s="42" t="n">
        <x:v>-0.007165478863700192</x:v>
      </x:c>
      <x:c r="G1007" s="43" t="n">
        <x:v>1.0448287091499358</x:v>
      </x:c>
      <x:c r="H1007" s="32" t="n">
        <x:v>663835.7147465771</x:v>
      </x:c>
      <x:c r="I1007" s="50" t="b">
        <x:v>1</x:v>
      </x:c>
      <x:c r="J1007" s="50" t="b">
        <x:v>0</x:v>
      </x:c>
      <x:c r="K1007" s="31"/>
      <x:c r="L1007" s="31"/>
    </x:row>
    <x:row r="1008">
      <x:c r="A1008" s="31"/>
      <x:c r="B1008" s="31"/>
      <x:c r="C1008" s="31"/>
      <x:c r="D1008" s="31" t="n">
        <x:v>1004</x:v>
      </x:c>
      <x:c r="E1008" s="42" t="n">
        <x:v>0.0037861603432047604</x:v>
      </x:c>
      <x:c r="F1008" s="42" t="n">
        <x:v>-0.0027675989180677104</x:v>
      </x:c>
      <x:c r="G1008" s="43" t="n">
        <x:v>0.9717229466918424</x:v>
      </x:c>
      <x:c r="H1008" s="32" t="n">
        <x:v>1125019.1198677747</x:v>
      </x:c>
      <x:c r="I1008" s="50" t="b">
        <x:v>0</x:v>
      </x:c>
      <x:c r="J1008" s="50" t="b">
        <x:v>0</x:v>
      </x:c>
      <x:c r="K1008" s="31"/>
      <x:c r="L1008" s="31"/>
    </x:row>
    <x:row r="1009">
      <x:c r="A1009" s="31"/>
      <x:c r="B1009" s="31"/>
      <x:c r="C1009" s="31"/>
      <x:c r="D1009" s="31" t="n">
        <x:v>1005</x:v>
      </x:c>
      <x:c r="E1009" s="42" t="n">
        <x:v>0.00789811406320565</x:v>
      </x:c>
      <x:c r="F1009" s="42" t="n">
        <x:v>0.0014783876023400297</x:v>
      </x:c>
      <x:c r="G1009" s="43" t="n">
        <x:v>0.9878531396533692</x:v>
      </x:c>
      <x:c r="H1009" s="32" t="n">
        <x:v>1022207.8874290851</x:v>
      </x:c>
      <x:c r="I1009" s="50" t="b">
        <x:v>0</x:v>
      </x:c>
      <x:c r="J1009" s="50" t="b">
        <x:v>0</x:v>
      </x:c>
      <x:c r="K1009" s="31"/>
      <x:c r="L1009" s="31"/>
    </x:row>
    <x:row r="1010">
      <x:c r="A1010" s="31"/>
      <x:c r="B1010" s="31"/>
      <x:c r="C1010" s="31"/>
      <x:c r="D1010" s="31" t="n">
        <x:v>1006</x:v>
      </x:c>
      <x:c r="E1010" s="42" t="n">
        <x:v>0.005381561354631568</x:v>
      </x:c>
      <x:c r="F1010" s="42" t="n">
        <x:v>-0.00029763428757009433</x:v>
      </x:c>
      <x:c r="G1010" s="43" t="n">
        <x:v>1.0256535817381107</x:v>
      </x:c>
      <x:c r="H1010" s="32" t="n">
        <x:v>780087.0248927182</x:v>
      </x:c>
      <x:c r="I1010" s="50" t="b">
        <x:v>1</x:v>
      </x:c>
      <x:c r="J1010" s="50" t="b">
        <x:v>0</x:v>
      </x:c>
      <x:c r="K1010" s="31"/>
      <x:c r="L1010" s="31"/>
    </x:row>
    <x:row r="1011">
      <x:c r="A1011" s="31"/>
      <x:c r="B1011" s="31"/>
      <x:c r="C1011" s="31"/>
      <x:c r="D1011" s="31" t="n">
        <x:v>1007</x:v>
      </x:c>
      <x:c r="E1011" s="42" t="n">
        <x:v>0.013484917324726427</x:v>
      </x:c>
      <x:c r="F1011" s="42" t="n">
        <x:v>-0.007021306773360374</x:v>
      </x:c>
      <x:c r="G1011" s="43" t="n">
        <x:v>0.9934952898553433</x:v>
      </x:c>
      <x:c r="H1011" s="32" t="n">
        <x:v>1025586.3161344569</x:v>
      </x:c>
      <x:c r="I1011" s="50" t="b">
        <x:v>0</x:v>
      </x:c>
      <x:c r="J1011" s="50" t="b">
        <x:v>0</x:v>
      </x:c>
      <x:c r="K1011" s="31"/>
      <x:c r="L1011" s="31"/>
    </x:row>
    <x:row r="1012">
      <x:c r="A1012" s="31"/>
      <x:c r="B1012" s="31"/>
      <x:c r="C1012" s="31"/>
      <x:c r="D1012" s="31" t="n">
        <x:v>1008</x:v>
      </x:c>
      <x:c r="E1012" s="42" t="n">
        <x:v>0.004055559552886277</x:v>
      </x:c>
      <x:c r="F1012" s="42" t="n">
        <x:v>-0.0006002984947318842</x:v>
      </x:c>
      <x:c r="G1012" s="43" t="n">
        <x:v>1.0068296655854942</x:v>
      </x:c>
      <x:c r="H1012" s="32" t="n">
        <x:v>896783.7412171823</x:v>
      </x:c>
      <x:c r="I1012" s="50" t="b">
        <x:v>1</x:v>
      </x:c>
      <x:c r="J1012" s="50" t="b">
        <x:v>0</x:v>
      </x:c>
      <x:c r="K1012" s="31"/>
      <x:c r="L1012" s="31"/>
    </x:row>
    <x:row r="1013">
      <x:c r="A1013" s="31"/>
      <x:c r="B1013" s="31"/>
      <x:c r="C1013" s="31"/>
      <x:c r="D1013" s="31" t="n">
        <x:v>1009</x:v>
      </x:c>
      <x:c r="E1013" s="42" t="n">
        <x:v>-0.0015825682840048948</x:v>
      </x:c>
      <x:c r="F1013" s="42" t="n">
        <x:v>-0.0014153306312916978</x:v>
      </x:c>
      <x:c r="G1013" s="43" t="n">
        <x:v>0.9891618724094925</x:v>
      </x:c>
      <x:c r="H1013" s="32" t="n">
        <x:v>995561.5469268262</x:v>
      </x:c>
      <x:c r="I1013" s="50" t="b">
        <x:v>1</x:v>
      </x:c>
      <x:c r="J1013" s="50" t="b">
        <x:v>0</x:v>
      </x:c>
      <x:c r="K1013" s="31"/>
      <x:c r="L1013" s="31"/>
    </x:row>
    <x:row r="1014">
      <x:c r="A1014" s="31"/>
      <x:c r="B1014" s="31"/>
      <x:c r="C1014" s="31"/>
      <x:c r="D1014" s="31" t="n">
        <x:v>1010</x:v>
      </x:c>
      <x:c r="E1014" s="42" t="n">
        <x:v>0.004359132767669915</x:v>
      </x:c>
      <x:c r="F1014" s="42" t="n">
        <x:v>0.005555879532112024</x:v>
      </x:c>
      <x:c r="G1014" s="43" t="n">
        <x:v>1.015094858626417</x:v>
      </x:c>
      <x:c r="H1014" s="32" t="n">
        <x:v>828003.0565369918</x:v>
      </x:c>
      <x:c r="I1014" s="50" t="b">
        <x:v>1</x:v>
      </x:c>
      <x:c r="J1014" s="50" t="b">
        <x:v>0</x:v>
      </x:c>
      <x:c r="K1014" s="31"/>
      <x:c r="L1014" s="31"/>
    </x:row>
    <x:row r="1015">
      <x:c r="A1015" s="31"/>
      <x:c r="B1015" s="31"/>
      <x:c r="C1015" s="31"/>
      <x:c r="D1015" s="31" t="n">
        <x:v>1011</x:v>
      </x:c>
      <x:c r="E1015" s="42" t="n">
        <x:v>-0.006689339465326855</x:v>
      </x:c>
      <x:c r="F1015" s="42" t="n">
        <x:v>-0.0018372041119711893</x:v>
      </x:c>
      <x:c r="G1015" s="43" t="n">
        <x:v>0.9627443286752465</x:v>
      </x:c>
      <x:c r="H1015" s="32" t="n">
        <x:v>1150291.142699338</x:v>
      </x:c>
      <x:c r="I1015" s="50" t="b">
        <x:v>0</x:v>
      </x:c>
      <x:c r="J1015" s="50" t="b">
        <x:v>0</x:v>
      </x:c>
      <x:c r="K1015" s="31"/>
      <x:c r="L1015" s="31"/>
    </x:row>
    <x:row r="1016">
      <x:c r="A1016" s="31"/>
      <x:c r="B1016" s="31"/>
      <x:c r="C1016" s="31"/>
      <x:c r="D1016" s="31" t="n">
        <x:v>1012</x:v>
      </x:c>
      <x:c r="E1016" s="42" t="n">
        <x:v>0.009196050727989746</x:v>
      </x:c>
      <x:c r="F1016" s="42" t="n">
        <x:v>0.0043212045270690025</x:v>
      </x:c>
      <x:c r="G1016" s="43" t="n">
        <x:v>0.9955281704414092</x:v>
      </x:c>
      <x:c r="H1016" s="32" t="n">
        <x:v>969165.797801736</x:v>
      </x:c>
      <x:c r="I1016" s="50" t="b">
        <x:v>1</x:v>
      </x:c>
      <x:c r="J1016" s="50" t="b">
        <x:v>0</x:v>
      </x:c>
      <x:c r="K1016" s="31"/>
      <x:c r="L1016" s="31"/>
    </x:row>
    <x:row r="1017">
      <x:c r="A1017" s="31"/>
      <x:c r="B1017" s="31"/>
      <x:c r="C1017" s="31"/>
      <x:c r="D1017" s="31" t="n">
        <x:v>1013</x:v>
      </x:c>
      <x:c r="E1017" s="42" t="n">
        <x:v>-0.00026857556962720257</x:v>
      </x:c>
      <x:c r="F1017" s="42" t="n">
        <x:v>0.0010565034208128057</x:v>
      </x:c>
      <x:c r="G1017" s="43" t="n">
        <x:v>0.9824540039356465</x:v>
      </x:c>
      <x:c r="H1017" s="32" t="n">
        <x:v>1034938.3854105694</x:v>
      </x:c>
      <x:c r="I1017" s="50" t="b">
        <x:v>0</x:v>
      </x:c>
      <x:c r="J1017" s="50" t="b">
        <x:v>0</x:v>
      </x:c>
      <x:c r="K1017" s="31"/>
      <x:c r="L1017" s="31"/>
    </x:row>
    <x:row r="1018">
      <x:c r="A1018" s="31"/>
      <x:c r="B1018" s="31"/>
      <x:c r="C1018" s="31"/>
      <x:c r="D1018" s="31" t="n">
        <x:v>1014</x:v>
      </x:c>
      <x:c r="E1018" s="42" t="n">
        <x:v>-0.006784390775005426</x:v>
      </x:c>
      <x:c r="F1018" s="42" t="n">
        <x:v>0.000344233906691632</x:v>
      </x:c>
      <x:c r="G1018" s="43" t="n">
        <x:v>0.9818054772558129</x:v>
      </x:c>
      <x:c r="H1018" s="32" t="n">
        <x:v>1022902.6910575685</x:v>
      </x:c>
      <x:c r="I1018" s="50" t="b">
        <x:v>0</x:v>
      </x:c>
      <x:c r="J1018" s="50" t="b">
        <x:v>0</x:v>
      </x:c>
      <x:c r="K1018" s="31"/>
      <x:c r="L1018" s="31"/>
    </x:row>
    <x:row r="1019">
      <x:c r="A1019" s="31"/>
      <x:c r="B1019" s="31"/>
      <x:c r="C1019" s="31"/>
      <x:c r="D1019" s="31" t="n">
        <x:v>1015</x:v>
      </x:c>
      <x:c r="E1019" s="42" t="n">
        <x:v>0.002197963964238904</x:v>
      </x:c>
      <x:c r="F1019" s="42" t="n">
        <x:v>0.004594325962614498</x:v>
      </x:c>
      <x:c r="G1019" s="43" t="n">
        <x:v>0.9811043550059114</x:v>
      </x:c>
      <x:c r="H1019" s="32" t="n">
        <x:v>1040527.6719751798</x:v>
      </x:c>
      <x:c r="I1019" s="50" t="b">
        <x:v>0</x:v>
      </x:c>
      <x:c r="J1019" s="50" t="b">
        <x:v>0</x:v>
      </x:c>
      <x:c r="K1019" s="31"/>
      <x:c r="L1019" s="31"/>
    </x:row>
    <x:row r="1020">
      <x:c r="A1020" s="31"/>
      <x:c r="B1020" s="31"/>
      <x:c r="C1020" s="31"/>
      <x:c r="D1020" s="31" t="n">
        <x:v>1016</x:v>
      </x:c>
      <x:c r="E1020" s="42" t="n">
        <x:v>0.017643075046247025</x:v>
      </x:c>
      <x:c r="F1020" s="42" t="n">
        <x:v>-0.002885123427637642</x:v>
      </x:c>
      <x:c r="G1020" s="43" t="n">
        <x:v>0.9589921151984984</x:v>
      </x:c>
      <x:c r="H1020" s="32" t="n">
        <x:v>1244767.0774984935</x:v>
      </x:c>
      <x:c r="I1020" s="50" t="b">
        <x:v>0</x:v>
      </x:c>
      <x:c r="J1020" s="50" t="b">
        <x:v>0</x:v>
      </x:c>
      <x:c r="K1020" s="31"/>
      <x:c r="L1020" s="31"/>
    </x:row>
    <x:row r="1021">
      <x:c r="A1021" s="31"/>
      <x:c r="B1021" s="31"/>
      <x:c r="C1021" s="31"/>
      <x:c r="D1021" s="31" t="n">
        <x:v>1017</x:v>
      </x:c>
      <x:c r="E1021" s="42" t="n">
        <x:v>0.008770553723413869</x:v>
      </x:c>
      <x:c r="F1021" s="42" t="n">
        <x:v>-0.002527471245428056</x:v>
      </x:c>
      <x:c r="G1021" s="43" t="n">
        <x:v>1.0821301370610703</x:v>
      </x:c>
      <x:c r="H1021" s="32" t="n">
        <x:v>437061.0362665991</x:v>
      </x:c>
      <x:c r="I1021" s="50" t="b">
        <x:v>1</x:v>
      </x:c>
      <x:c r="J1021" s="50" t="b">
        <x:v>0</x:v>
      </x:c>
      <x:c r="K1021" s="31"/>
      <x:c r="L1021" s="31"/>
    </x:row>
    <x:row r="1022">
      <x:c r="A1022" s="31"/>
      <x:c r="B1022" s="31"/>
      <x:c r="C1022" s="31"/>
      <x:c r="D1022" s="31" t="n">
        <x:v>1018</x:v>
      </x:c>
      <x:c r="E1022" s="42" t="n">
        <x:v>-0.012266367588184121</x:v>
      </x:c>
      <x:c r="F1022" s="42" t="n">
        <x:v>-0.002024361941336143</x:v>
      </x:c>
      <x:c r="G1022" s="43" t="n">
        <x:v>0.9611246040394179</x:v>
      </x:c>
      <x:c r="H1022" s="32" t="n">
        <x:v>1145574.7178363071</x:v>
      </x:c>
      <x:c r="I1022" s="50" t="b">
        <x:v>0</x:v>
      </x:c>
      <x:c r="J1022" s="50" t="b">
        <x:v>0</x:v>
      </x:c>
      <x:c r="K1022" s="31"/>
      <x:c r="L1022" s="31"/>
    </x:row>
    <x:row r="1023">
      <x:c r="A1023" s="31"/>
      <x:c r="B1023" s="31"/>
      <x:c r="C1023" s="31"/>
      <x:c r="D1023" s="31" t="n">
        <x:v>1019</x:v>
      </x:c>
      <x:c r="E1023" s="42" t="n">
        <x:v>0.027439949896556116</x:v>
      </x:c>
      <x:c r="F1023" s="42" t="n">
        <x:v>-0.008196617062811152</x:v>
      </x:c>
      <x:c r="G1023" s="43" t="n">
        <x:v>0.9971058189943611</x:v>
      </x:c>
      <x:c r="H1023" s="32" t="n">
        <x:v>1044772.5437609011</x:v>
      </x:c>
      <x:c r="I1023" s="50" t="b">
        <x:v>0</x:v>
      </x:c>
      <x:c r="J1023" s="50" t="b">
        <x:v>0</x:v>
      </x:c>
      <x:c r="K1023" s="31"/>
      <x:c r="L1023" s="31"/>
    </x:row>
    <x:row r="1024">
      <x:c r="A1024" s="31"/>
      <x:c r="B1024" s="31"/>
      <x:c r="C1024" s="31"/>
      <x:c r="D1024" s="31" t="n">
        <x:v>1020</x:v>
      </x:c>
      <x:c r="E1024" s="42" t="n">
        <x:v>-0.006989914470810797</x:v>
      </x:c>
      <x:c r="F1024" s="42" t="n">
        <x:v>-0.0014274193198116874</x:v>
      </x:c>
      <x:c r="G1024" s="43" t="n">
        <x:v>0.977546329038552</x:v>
      </x:c>
      <x:c r="H1024" s="32" t="n">
        <x:v>1054310.6549513089</x:v>
      </x:c>
      <x:c r="I1024" s="50" t="b">
        <x:v>0</x:v>
      </x:c>
      <x:c r="J1024" s="50" t="b">
        <x:v>0</x:v>
      </x:c>
      <x:c r="K1024" s="31"/>
      <x:c r="L1024" s="31"/>
    </x:row>
    <x:row r="1025">
      <x:c r="A1025" s="31"/>
      <x:c r="B1025" s="31"/>
      <x:c r="C1025" s="31"/>
      <x:c r="D1025" s="31" t="n">
        <x:v>1021</x:v>
      </x:c>
      <x:c r="E1025" s="42" t="n">
        <x:v>0.02030526260126048</x:v>
      </x:c>
      <x:c r="F1025" s="42" t="n">
        <x:v>-0.003923565665749844</x:v>
      </x:c>
      <x:c r="G1025" s="43" t="n">
        <x:v>0.9163219655863661</x:v>
      </x:c>
      <x:c r="H1025" s="32" t="n">
        <x:v>1526053.5328093397</x:v>
      </x:c>
      <x:c r="I1025" s="50" t="b">
        <x:v>0</x:v>
      </x:c>
      <x:c r="J1025" s="50" t="b">
        <x:v>0</x:v>
      </x:c>
      <x:c r="K1025" s="31"/>
      <x:c r="L1025" s="31"/>
    </x:row>
    <x:row r="1026">
      <x:c r="A1026" s="31"/>
      <x:c r="B1026" s="31"/>
      <x:c r="C1026" s="31"/>
      <x:c r="D1026" s="31" t="n">
        <x:v>1022</x:v>
      </x:c>
      <x:c r="E1026" s="42" t="n">
        <x:v>-0.00016828393990040967</x:v>
      </x:c>
      <x:c r="F1026" s="42" t="n">
        <x:v>-0.001019604720317184</x:v>
      </x:c>
      <x:c r="G1026" s="43" t="n">
        <x:v>1.0347795591374966</x:v>
      </x:c>
      <x:c r="H1026" s="32" t="n">
        <x:v>708692.1084353979</x:v>
      </x:c>
      <x:c r="I1026" s="50" t="b">
        <x:v>1</x:v>
      </x:c>
      <x:c r="J1026" s="50" t="b">
        <x:v>0</x:v>
      </x:c>
      <x:c r="K1026" s="31"/>
      <x:c r="L1026" s="31"/>
    </x:row>
    <x:row r="1027">
      <x:c r="A1027" s="31"/>
      <x:c r="B1027" s="31"/>
      <x:c r="C1027" s="31"/>
      <x:c r="D1027" s="31" t="n">
        <x:v>1023</x:v>
      </x:c>
      <x:c r="E1027" s="42" t="n">
        <x:v>-0.0061727542499880154</x:v>
      </x:c>
      <x:c r="F1027" s="42" t="n">
        <x:v>0.00007531521744975176</x:v>
      </x:c>
      <x:c r="G1027" s="43" t="n">
        <x:v>1.0474846677562797</x:v>
      </x:c>
      <x:c r="H1027" s="32" t="n">
        <x:v>608244.3604639231</x:v>
      </x:c>
      <x:c r="I1027" s="50" t="b">
        <x:v>1</x:v>
      </x:c>
      <x:c r="J1027" s="50" t="b">
        <x:v>0</x:v>
      </x:c>
      <x:c r="K1027" s="31"/>
      <x:c r="L1027" s="31"/>
    </x:row>
    <x:row r="1028">
      <x:c r="A1028" s="31"/>
      <x:c r="B1028" s="31"/>
      <x:c r="C1028" s="31"/>
      <x:c r="D1028" s="31" t="n">
        <x:v>1024</x:v>
      </x:c>
      <x:c r="E1028" s="42" t="n">
        <x:v>-0.0018572579319904418</x:v>
      </x:c>
      <x:c r="F1028" s="42" t="n">
        <x:v>-0.0055399615125820605</x:v>
      </x:c>
      <x:c r="G1028" s="43" t="n">
        <x:v>1.0254816220808074</x:v>
      </x:c>
      <x:c r="H1028" s="32" t="n">
        <x:v>775621.8105948976</x:v>
      </x:c>
      <x:c r="I1028" s="50" t="b">
        <x:v>1</x:v>
      </x:c>
      <x:c r="J1028" s="50" t="b">
        <x:v>0</x:v>
      </x:c>
      <x:c r="K1028" s="31"/>
      <x:c r="L1028" s="31"/>
    </x:row>
    <x:row r="1029">
      <x:c r="A1029" s="31"/>
      <x:c r="B1029" s="31"/>
      <x:c r="C1029" s="31"/>
      <x:c r="D1029" s="31" t="n">
        <x:v>1025</x:v>
      </x:c>
      <x:c r="E1029" s="42" t="n">
        <x:v>-0.004194955858166236</x:v>
      </x:c>
      <x:c r="F1029" s="42" t="n">
        <x:v>0.006543301618976747</x:v>
      </x:c>
      <x:c r="G1029" s="43" t="n">
        <x:v>0.9879133366430349</x:v>
      </x:c>
      <x:c r="H1029" s="32" t="n">
        <x:v>974065.9652902486</x:v>
      </x:c>
      <x:c r="I1029" s="50" t="b">
        <x:v>1</x:v>
      </x:c>
      <x:c r="J1029" s="50" t="b">
        <x:v>0</x:v>
      </x:c>
      <x:c r="K1029" s="31"/>
      <x:c r="L1029" s="31"/>
    </x:row>
    <x:row r="1030">
      <x:c r="A1030" s="31"/>
      <x:c r="B1030" s="31"/>
      <x:c r="C1030" s="31"/>
      <x:c r="D1030" s="31" t="n">
        <x:v>1026</x:v>
      </x:c>
      <x:c r="E1030" s="42" t="n">
        <x:v>-0.005079622581786862</x:v>
      </x:c>
      <x:c r="F1030" s="42" t="n">
        <x:v>-0.0009422947842373867</x:v>
      </x:c>
      <x:c r="G1030" s="43" t="n">
        <x:v>0.9924910943048165</x:v>
      </x:c>
      <x:c r="H1030" s="32" t="n">
        <x:v>963367.7961212164</x:v>
      </x:c>
      <x:c r="I1030" s="50" t="b">
        <x:v>1</x:v>
      </x:c>
      <x:c r="J1030" s="50" t="b">
        <x:v>0</x:v>
      </x:c>
      <x:c r="K1030" s="31"/>
      <x:c r="L1030" s="31"/>
    </x:row>
    <x:row r="1031">
      <x:c r="A1031" s="31"/>
      <x:c r="B1031" s="31"/>
      <x:c r="C1031" s="31"/>
      <x:c r="D1031" s="31" t="n">
        <x:v>1027</x:v>
      </x:c>
      <x:c r="E1031" s="42" t="n">
        <x:v>-0.02528044587596148</x:v>
      </x:c>
      <x:c r="F1031" s="42" t="n">
        <x:v>0.003418430983547235</x:v>
      </x:c>
      <x:c r="G1031" s="43" t="n">
        <x:v>0.9585843825031416</x:v>
      </x:c>
      <x:c r="H1031" s="32" t="n">
        <x:v>1110331.8135070866</x:v>
      </x:c>
      <x:c r="I1031" s="50" t="b">
        <x:v>0</x:v>
      </x:c>
      <x:c r="J1031" s="50" t="b">
        <x:v>0</x:v>
      </x:c>
      <x:c r="K1031" s="31"/>
      <x:c r="L1031" s="31"/>
    </x:row>
    <x:row r="1032">
      <x:c r="A1032" s="31"/>
      <x:c r="B1032" s="31"/>
      <x:c r="C1032" s="31"/>
      <x:c r="D1032" s="31" t="n">
        <x:v>1028</x:v>
      </x:c>
      <x:c r="E1032" s="42" t="n">
        <x:v>0.0023310480829703073</x:v>
      </x:c>
      <x:c r="F1032" s="42" t="n">
        <x:v>-0.007099790922877001</x:v>
      </x:c>
      <x:c r="G1032" s="43" t="n">
        <x:v>0.9813038561648071</x:v>
      </x:c>
      <x:c r="H1032" s="32" t="n">
        <x:v>1072181.9744848607</x:v>
      </x:c>
      <x:c r="I1032" s="50" t="b">
        <x:v>0</x:v>
      </x:c>
      <x:c r="J1032" s="50" t="b">
        <x:v>0</x:v>
      </x:c>
      <x:c r="K1032" s="31"/>
      <x:c r="L1032" s="31"/>
    </x:row>
    <x:row r="1033">
      <x:c r="A1033" s="31"/>
      <x:c r="B1033" s="31"/>
      <x:c r="C1033" s="31"/>
      <x:c r="D1033" s="31" t="n">
        <x:v>1029</x:v>
      </x:c>
      <x:c r="E1033" s="42" t="n">
        <x:v>-0.018689871637833037</x:v>
      </x:c>
      <x:c r="F1033" s="42" t="n">
        <x:v>-0.004428648045261566</x:v>
      </x:c>
      <x:c r="G1033" s="43" t="n">
        <x:v>0.9785860191928077</x:v>
      </x:c>
      <x:c r="H1033" s="32" t="n">
        <x:v>1023494.7826974754</x:v>
      </x:c>
      <x:c r="I1033" s="50" t="b">
        <x:v>0</x:v>
      </x:c>
      <x:c r="J1033" s="50" t="b">
        <x:v>0</x:v>
      </x:c>
      <x:c r="K1033" s="31"/>
      <x:c r="L1033" s="31"/>
    </x:row>
    <x:row r="1034">
      <x:c r="A1034" s="31"/>
      <x:c r="B1034" s="31"/>
      <x:c r="C1034" s="31"/>
      <x:c r="D1034" s="31" t="n">
        <x:v>1030</x:v>
      </x:c>
      <x:c r="E1034" s="42" t="n">
        <x:v>0.02342057921855312</x:v>
      </x:c>
      <x:c r="F1034" s="42" t="n">
        <x:v>0.003994583087911521</x:v>
      </x:c>
      <x:c r="G1034" s="43" t="n">
        <x:v>0.9541307106616675</x:v>
      </x:c>
      <x:c r="H1034" s="32" t="n">
        <x:v>1272572.4346383007</x:v>
      </x:c>
      <x:c r="I1034" s="50" t="b">
        <x:v>0</x:v>
      </x:c>
      <x:c r="J1034" s="50" t="b">
        <x:v>0</x:v>
      </x:c>
      <x:c r="K1034" s="31"/>
      <x:c r="L1034" s="31"/>
    </x:row>
    <x:row r="1035">
      <x:c r="A1035" s="31"/>
      <x:c r="B1035" s="31"/>
      <x:c r="C1035" s="31"/>
      <x:c r="D1035" s="31" t="n">
        <x:v>1031</x:v>
      </x:c>
      <x:c r="E1035" s="42" t="n">
        <x:v>0.009578363580228493</x:v>
      </x:c>
      <x:c r="F1035" s="42" t="n">
        <x:v>-0.0013072422521758858</x:v>
      </x:c>
      <x:c r="G1035" s="43" t="n">
        <x:v>1.0185041014149097</x:v>
      </x:c>
      <x:c r="H1035" s="32" t="n">
        <x:v>839983.4465821408</x:v>
      </x:c>
      <x:c r="I1035" s="50" t="b">
        <x:v>1</x:v>
      </x:c>
      <x:c r="J1035" s="50" t="b">
        <x:v>0</x:v>
      </x:c>
      <x:c r="K1035" s="31"/>
      <x:c r="L1035" s="31"/>
    </x:row>
    <x:row r="1036">
      <x:c r="A1036" s="31"/>
      <x:c r="B1036" s="31"/>
      <x:c r="C1036" s="31"/>
      <x:c r="D1036" s="31" t="n">
        <x:v>1032</x:v>
      </x:c>
      <x:c r="E1036" s="42" t="n">
        <x:v>0.003817552500382815</x:v>
      </x:c>
      <x:c r="F1036" s="42" t="n">
        <x:v>0.0001155858486156704</x:v>
      </x:c>
      <x:c r="G1036" s="43" t="n">
        <x:v>0.9479206282380895</x:v>
      </x:c>
      <x:c r="H1036" s="32" t="n">
        <x:v>1268242.6715865498</x:v>
      </x:c>
      <x:c r="I1036" s="50" t="b">
        <x:v>0</x:v>
      </x:c>
      <x:c r="J1036" s="50" t="b">
        <x:v>0</x:v>
      </x:c>
      <x:c r="K1036" s="31"/>
      <x:c r="L1036" s="31"/>
    </x:row>
    <x:row r="1037">
      <x:c r="A1037" s="31"/>
      <x:c r="B1037" s="31"/>
      <x:c r="C1037" s="31"/>
      <x:c r="D1037" s="31" t="n">
        <x:v>1033</x:v>
      </x:c>
      <x:c r="E1037" s="42" t="n">
        <x:v>0.007537999525938487</x:v>
      </x:c>
      <x:c r="F1037" s="42" t="n">
        <x:v>0.010425550176981668</x:v>
      </x:c>
      <x:c r="G1037" s="43" t="n">
        <x:v>1.022986749805845</x:v>
      </x:c>
      <x:c r="H1037" s="32" t="n">
        <x:v>773177.5681882331</x:v>
      </x:c>
      <x:c r="I1037" s="50" t="b">
        <x:v>1</x:v>
      </x:c>
      <x:c r="J1037" s="50" t="b">
        <x:v>0</x:v>
      </x:c>
      <x:c r="K1037" s="31"/>
      <x:c r="L1037" s="31"/>
    </x:row>
    <x:row r="1038">
      <x:c r="A1038" s="31"/>
      <x:c r="B1038" s="31"/>
      <x:c r="C1038" s="31"/>
      <x:c r="D1038" s="31" t="n">
        <x:v>1034</x:v>
      </x:c>
      <x:c r="E1038" s="42" t="n">
        <x:v>0.032978845377141276</x:v>
      </x:c>
      <x:c r="F1038" s="42" t="n">
        <x:v>0.013715051627535038</x:v>
      </x:c>
      <x:c r="G1038" s="43" t="n">
        <x:v>1.0468872631371704</x:v>
      </x:c>
      <x:c r="H1038" s="32" t="n">
        <x:v>683051.1396636323</x:v>
      </x:c>
      <x:c r="I1038" s="50" t="b">
        <x:v>1</x:v>
      </x:c>
      <x:c r="J1038" s="50" t="b">
        <x:v>0</x:v>
      </x:c>
      <x:c r="K1038" s="31"/>
      <x:c r="L1038" s="31"/>
    </x:row>
    <x:row r="1039">
      <x:c r="A1039" s="31"/>
      <x:c r="B1039" s="31"/>
      <x:c r="C1039" s="31"/>
      <x:c r="D1039" s="31" t="n">
        <x:v>1035</x:v>
      </x:c>
      <x:c r="E1039" s="42" t="n">
        <x:v>-0.006167520323169122</x:v>
      </x:c>
      <x:c r="F1039" s="42" t="n">
        <x:v>0.0011842461402767107</x:v>
      </x:c>
      <x:c r="G1039" s="43" t="n">
        <x:v>1.0118837335123376</x:v>
      </x:c>
      <x:c r="H1039" s="32" t="n">
        <x:v>831263.3414551879</x:v>
      </x:c>
      <x:c r="I1039" s="50" t="b">
        <x:v>1</x:v>
      </x:c>
      <x:c r="J1039" s="50" t="b">
        <x:v>0</x:v>
      </x:c>
      <x:c r="K1039" s="31"/>
      <x:c r="L1039" s="31"/>
    </x:row>
    <x:row r="1040">
      <x:c r="A1040" s="31"/>
      <x:c r="B1040" s="31"/>
      <x:c r="C1040" s="31"/>
      <x:c r="D1040" s="31" t="n">
        <x:v>1036</x:v>
      </x:c>
      <x:c r="E1040" s="42" t="n">
        <x:v>0.0038070729070652076</x:v>
      </x:c>
      <x:c r="F1040" s="42" t="n">
        <x:v>-0.0008237520710242396</x:v>
      </x:c>
      <x:c r="G1040" s="43" t="n">
        <x:v>1.0020765511198224</x:v>
      </x:c>
      <x:c r="H1040" s="32" t="n">
        <x:v>926899.7042613074</x:v>
      </x:c>
      <x:c r="I1040" s="50" t="b">
        <x:v>1</x:v>
      </x:c>
      <x:c r="J1040" s="50" t="b">
        <x:v>0</x:v>
      </x:c>
      <x:c r="K1040" s="31"/>
      <x:c r="L1040" s="31"/>
    </x:row>
    <x:row r="1041">
      <x:c r="A1041" s="31"/>
      <x:c r="B1041" s="31"/>
      <x:c r="C1041" s="31"/>
      <x:c r="D1041" s="31" t="n">
        <x:v>1037</x:v>
      </x:c>
      <x:c r="E1041" s="42" t="n">
        <x:v>-0.010782670958978701</x:v>
      </x:c>
      <x:c r="F1041" s="42" t="n">
        <x:v>0.0035040427480803626</x:v>
      </x:c>
      <x:c r="G1041" s="43" t="n">
        <x:v>1.0750760729428293</x:v>
      </x:c>
      <x:c r="H1041" s="32" t="n">
        <x:v>410643.65208202763</x:v>
      </x:c>
      <x:c r="I1041" s="50" t="b">
        <x:v>1</x:v>
      </x:c>
      <x:c r="J1041" s="50" t="b">
        <x:v>0</x:v>
      </x:c>
      <x:c r="K1041" s="31"/>
      <x:c r="L1041" s="31"/>
    </x:row>
    <x:row r="1042">
      <x:c r="A1042" s="31"/>
      <x:c r="B1042" s="31"/>
      <x:c r="C1042" s="31"/>
      <x:c r="D1042" s="31" t="n">
        <x:v>1038</x:v>
      </x:c>
      <x:c r="E1042" s="42" t="n">
        <x:v>-0.006593853189405868</x:v>
      </x:c>
      <x:c r="F1042" s="42" t="n">
        <x:v>-0.0023844002514287043</x:v>
      </x:c>
      <x:c r="G1042" s="43" t="n">
        <x:v>1.0508055271511587</x:v>
      </x:c>
      <x:c r="H1042" s="32" t="n">
        <x:v>592829.0856776701</x:v>
      </x:c>
      <x:c r="I1042" s="50" t="b">
        <x:v>1</x:v>
      </x:c>
      <x:c r="J1042" s="50" t="b">
        <x:v>0</x:v>
      </x:c>
      <x:c r="K1042" s="31"/>
      <x:c r="L1042" s="31"/>
    </x:row>
    <x:row r="1043">
      <x:c r="A1043" s="31"/>
      <x:c r="B1043" s="31"/>
      <x:c r="C1043" s="31"/>
      <x:c r="D1043" s="31" t="n">
        <x:v>1039</x:v>
      </x:c>
      <x:c r="E1043" s="42" t="n">
        <x:v>-0.010882866374583623</x:v>
      </x:c>
      <x:c r="F1043" s="42" t="n">
        <x:v>0.0017659561636792893</x:v>
      </x:c>
      <x:c r="G1043" s="43" t="n">
        <x:v>0.967125427520701</x:v>
      </x:c>
      <x:c r="H1043" s="32" t="n">
        <x:v>1100765.8106084801</x:v>
      </x:c>
      <x:c r="I1043" s="50" t="b">
        <x:v>0</x:v>
      </x:c>
      <x:c r="J1043" s="50" t="b">
        <x:v>0</x:v>
      </x:c>
      <x:c r="K1043" s="31"/>
      <x:c r="L1043" s="31"/>
    </x:row>
    <x:row r="1044">
      <x:c r="A1044" s="31"/>
      <x:c r="B1044" s="31"/>
      <x:c r="C1044" s="31"/>
      <x:c r="D1044" s="31" t="n">
        <x:v>1040</x:v>
      </x:c>
      <x:c r="E1044" s="42" t="n">
        <x:v>-0.000047141091960633635</x:v>
      </x:c>
      <x:c r="F1044" s="42" t="n">
        <x:v>-0.0033407488573649617</x:v>
      </x:c>
      <x:c r="G1044" s="43" t="n">
        <x:v>1.0130064204369829</x:v>
      </x:c>
      <x:c r="H1044" s="32" t="n">
        <x:v>853765.1194998771</x:v>
      </x:c>
      <x:c r="I1044" s="50" t="b">
        <x:v>1</x:v>
      </x:c>
      <x:c r="J1044" s="50" t="b">
        <x:v>0</x:v>
      </x:c>
      <x:c r="K1044" s="31"/>
      <x:c r="L1044" s="31"/>
    </x:row>
    <x:row r="1045">
      <x:c r="A1045" s="31"/>
      <x:c r="B1045" s="31"/>
      <x:c r="C1045" s="31"/>
      <x:c r="D1045" s="31" t="n">
        <x:v>1041</x:v>
      </x:c>
      <x:c r="E1045" s="42" t="n">
        <x:v>-0.011440896330576747</x:v>
      </x:c>
      <x:c r="F1045" s="42" t="n">
        <x:v>-0.0011311390619597357</x:v>
      </x:c>
      <x:c r="G1045" s="43" t="n">
        <x:v>1.0405004179103208</x:v>
      </x:c>
      <x:c r="H1045" s="32" t="n">
        <x:v>641293.4954030603</x:v>
      </x:c>
      <x:c r="I1045" s="50" t="b">
        <x:v>1</x:v>
      </x:c>
      <x:c r="J1045" s="50" t="b">
        <x:v>0</x:v>
      </x:c>
      <x:c r="K1045" s="31"/>
      <x:c r="L1045" s="31"/>
    </x:row>
    <x:row r="1046">
      <x:c r="A1046" s="31"/>
      <x:c r="B1046" s="31"/>
      <x:c r="C1046" s="31"/>
      <x:c r="D1046" s="31" t="n">
        <x:v>1042</x:v>
      </x:c>
      <x:c r="E1046" s="42" t="n">
        <x:v>0.02119679453001188</x:v>
      </x:c>
      <x:c r="F1046" s="42" t="n">
        <x:v>-0.0031415902324502328</x:v>
      </x:c>
      <x:c r="G1046" s="43" t="n">
        <x:v>1.0733701875183277</x:v>
      </x:c>
      <x:c r="H1046" s="32" t="n">
        <x:v>528991.0504514189</x:v>
      </x:c>
      <x:c r="I1046" s="50" t="b">
        <x:v>1</x:v>
      </x:c>
      <x:c r="J1046" s="50" t="b">
        <x:v>0</x:v>
      </x:c>
      <x:c r="K1046" s="31"/>
      <x:c r="L1046" s="31"/>
    </x:row>
    <x:row r="1047">
      <x:c r="A1047" s="31"/>
      <x:c r="B1047" s="31"/>
      <x:c r="C1047" s="31"/>
      <x:c r="D1047" s="31" t="n">
        <x:v>1043</x:v>
      </x:c>
      <x:c r="E1047" s="42" t="n">
        <x:v>0.0009391160185274652</x:v>
      </x:c>
      <x:c r="F1047" s="42" t="n">
        <x:v>0.005374810753349989</x:v>
      </x:c>
      <x:c r="G1047" s="43" t="n">
        <x:v>0.9451958572415502</x:v>
      </x:c>
      <x:c r="H1047" s="32" t="n">
        <x:v>1262895.5363232156</x:v>
      </x:c>
      <x:c r="I1047" s="50" t="b">
        <x:v>0</x:v>
      </x:c>
      <x:c r="J1047" s="50" t="b">
        <x:v>0</x:v>
      </x:c>
      <x:c r="K1047" s="31"/>
      <x:c r="L1047" s="31"/>
    </x:row>
    <x:row r="1048">
      <x:c r="A1048" s="31"/>
      <x:c r="B1048" s="31"/>
      <x:c r="C1048" s="31"/>
      <x:c r="D1048" s="31" t="n">
        <x:v>1044</x:v>
      </x:c>
      <x:c r="E1048" s="42" t="n">
        <x:v>0.0018705622654089777</x:v>
      </x:c>
      <x:c r="F1048" s="42" t="n">
        <x:v>0.007630586383402905</x:v>
      </x:c>
      <x:c r="G1048" s="43" t="n">
        <x:v>1.0747931252488343</x:v>
      </x:c>
      <x:c r="H1048" s="32" t="n">
        <x:v>436174.7998072158</x:v>
      </x:c>
      <x:c r="I1048" s="50" t="b">
        <x:v>1</x:v>
      </x:c>
      <x:c r="J1048" s="50" t="b">
        <x:v>0</x:v>
      </x:c>
      <x:c r="K1048" s="31"/>
      <x:c r="L1048" s="31"/>
    </x:row>
    <x:row r="1049">
      <x:c r="A1049" s="31"/>
      <x:c r="B1049" s="31"/>
      <x:c r="C1049" s="31"/>
      <x:c r="D1049" s="31" t="n">
        <x:v>1045</x:v>
      </x:c>
      <x:c r="E1049" s="42" t="n">
        <x:v>-0.005762781072831884</x:v>
      </x:c>
      <x:c r="F1049" s="42" t="n">
        <x:v>0.005342623801209666</x:v>
      </x:c>
      <x:c r="G1049" s="43" t="n">
        <x:v>0.9486129970692997</x:v>
      </x:c>
      <x:c r="H1049" s="32" t="n">
        <x:v>1222628.9922856484</x:v>
      </x:c>
      <x:c r="I1049" s="50" t="b">
        <x:v>0</x:v>
      </x:c>
      <x:c r="J1049" s="50" t="b">
        <x:v>0</x:v>
      </x:c>
      <x:c r="K1049" s="31"/>
      <x:c r="L1049" s="31"/>
    </x:row>
    <x:row r="1050">
      <x:c r="A1050" s="31"/>
      <x:c r="B1050" s="31"/>
      <x:c r="C1050" s="31"/>
      <x:c r="D1050" s="31" t="n">
        <x:v>1046</x:v>
      </x:c>
      <x:c r="E1050" s="42" t="n">
        <x:v>0.003092358838179083</x:v>
      </x:c>
      <x:c r="F1050" s="42" t="n">
        <x:v>0.0038580177451591844</x:v>
      </x:c>
      <x:c r="G1050" s="43" t="n">
        <x:v>0.9706960029988899</x:v>
      </x:c>
      <x:c r="H1050" s="32" t="n">
        <x:v>1111167.1769127147</x:v>
      </x:c>
      <x:c r="I1050" s="50" t="b">
        <x:v>0</x:v>
      </x:c>
      <x:c r="J1050" s="50" t="b">
        <x:v>0</x:v>
      </x:c>
      <x:c r="K1050" s="31"/>
      <x:c r="L1050" s="31"/>
    </x:row>
    <x:row r="1051">
      <x:c r="A1051" s="31"/>
      <x:c r="B1051" s="31"/>
      <x:c r="C1051" s="31"/>
      <x:c r="D1051" s="31" t="n">
        <x:v>1047</x:v>
      </x:c>
      <x:c r="E1051" s="42" t="n">
        <x:v>0.00042967339558808116</x:v>
      </x:c>
      <x:c r="F1051" s="42" t="n">
        <x:v>0.006681978560311522</x:v>
      </x:c>
      <x:c r="G1051" s="43" t="n">
        <x:v>0.948679193063993</x:v>
      </x:c>
      <x:c r="H1051" s="32" t="n">
        <x:v>1235717.3114538253</x:v>
      </x:c>
      <x:c r="I1051" s="50" t="b">
        <x:v>0</x:v>
      </x:c>
      <x:c r="J1051" s="50" t="b">
        <x:v>0</x:v>
      </x:c>
      <x:c r="K1051" s="31"/>
      <x:c r="L1051" s="31"/>
    </x:row>
    <x:row r="1052">
      <x:c r="A1052" s="31"/>
      <x:c r="B1052" s="31"/>
      <x:c r="C1052" s="31"/>
      <x:c r="D1052" s="31" t="n">
        <x:v>1048</x:v>
      </x:c>
      <x:c r="E1052" s="42" t="n">
        <x:v>0.008109278435962266</x:v>
      </x:c>
      <x:c r="F1052" s="42" t="n">
        <x:v>0.004562665777989924</x:v>
      </x:c>
      <x:c r="G1052" s="43" t="n">
        <x:v>1.0406533540848062</x:v>
      </x:c>
      <x:c r="H1052" s="32" t="n">
        <x:v>678891.7552170589</x:v>
      </x:c>
      <x:c r="I1052" s="50" t="b">
        <x:v>1</x:v>
      </x:c>
      <x:c r="J1052" s="50" t="b">
        <x:v>0</x:v>
      </x:c>
      <x:c r="K1052" s="31"/>
      <x:c r="L1052" s="31"/>
    </x:row>
    <x:row r="1053">
      <x:c r="A1053" s="31"/>
      <x:c r="B1053" s="31"/>
      <x:c r="C1053" s="31"/>
      <x:c r="D1053" s="31" t="n">
        <x:v>1049</x:v>
      </x:c>
      <x:c r="E1053" s="42" t="n">
        <x:v>0.011149244689182304</x:v>
      </x:c>
      <x:c r="F1053" s="42" t="n">
        <x:v>0.007029255130098689</x:v>
      </x:c>
      <x:c r="G1053" s="43" t="n">
        <x:v>1.0219137824066613</x:v>
      </x:c>
      <x:c r="H1053" s="32" t="n">
        <x:v>799497.3145855588</x:v>
      </x:c>
      <x:c r="I1053" s="50" t="b">
        <x:v>1</x:v>
      </x:c>
      <x:c r="J1053" s="50" t="b">
        <x:v>0</x:v>
      </x:c>
      <x:c r="K1053" s="31"/>
      <x:c r="L1053" s="31"/>
    </x:row>
    <x:row r="1054">
      <x:c r="A1054" s="31"/>
      <x:c r="B1054" s="31"/>
      <x:c r="C1054" s="31"/>
      <x:c r="D1054" s="31" t="n">
        <x:v>1050</x:v>
      </x:c>
      <x:c r="E1054" s="42" t="n">
        <x:v>-0.011376234155587053</x:v>
      </x:c>
      <x:c r="F1054" s="42" t="n">
        <x:v>0.0035384172419868163</x:v>
      </x:c>
      <x:c r="G1054" s="43" t="n">
        <x:v>1.0051314617712266</x:v>
      </x:c>
      <x:c r="H1054" s="32" t="n">
        <x:v>853093.5913067341</x:v>
      </x:c>
      <x:c r="I1054" s="50" t="b">
        <x:v>1</x:v>
      </x:c>
      <x:c r="J1054" s="50" t="b">
        <x:v>0</x:v>
      </x:c>
      <x:c r="K1054" s="31"/>
      <x:c r="L1054" s="31"/>
    </x:row>
    <x:row r="1055">
      <x:c r="A1055" s="31"/>
      <x:c r="B1055" s="31"/>
      <x:c r="C1055" s="31"/>
      <x:c r="D1055" s="31" t="n">
        <x:v>1051</x:v>
      </x:c>
      <x:c r="E1055" s="42" t="n">
        <x:v>-0.021571170006418033</x:v>
      </x:c>
      <x:c r="F1055" s="42" t="n">
        <x:v>0.011186436378426368</x:v>
      </x:c>
      <x:c r="G1055" s="43" t="n">
        <x:v>1.079973661434913</x:v>
      </x:c>
      <x:c r="H1055" s="32" t="n">
        <x:v>328126.3573448502</x:v>
      </x:c>
      <x:c r="I1055" s="50" t="b">
        <x:v>1</x:v>
      </x:c>
      <x:c r="J1055" s="50" t="b">
        <x:v>0</x:v>
      </x:c>
      <x:c r="K1055" s="31"/>
      <x:c r="L1055" s="31"/>
    </x:row>
    <x:row r="1056">
      <x:c r="A1056" s="31"/>
      <x:c r="B1056" s="31"/>
      <x:c r="C1056" s="31"/>
      <x:c r="D1056" s="31" t="n">
        <x:v>1052</x:v>
      </x:c>
      <x:c r="E1056" s="42" t="n">
        <x:v>-0.007620606856970734</x:v>
      </x:c>
      <x:c r="F1056" s="42" t="n">
        <x:v>-0.004296334036669777</x:v>
      </x:c>
      <x:c r="G1056" s="43" t="n">
        <x:v>1.0515233935091324</x:v>
      </x:c>
      <x:c r="H1056" s="32" t="n">
        <x:v>590734.0443698971</x:v>
      </x:c>
      <x:c r="I1056" s="50" t="b">
        <x:v>1</x:v>
      </x:c>
      <x:c r="J1056" s="50" t="b">
        <x:v>0</x:v>
      </x:c>
      <x:c r="K1056" s="31"/>
      <x:c r="L1056" s="31"/>
    </x:row>
    <x:row r="1057">
      <x:c r="A1057" s="31"/>
      <x:c r="B1057" s="31"/>
      <x:c r="C1057" s="31"/>
      <x:c r="D1057" s="31" t="n">
        <x:v>1053</x:v>
      </x:c>
      <x:c r="E1057" s="42" t="n">
        <x:v>-0.0035487911056775383</x:v>
      </x:c>
      <x:c r="F1057" s="42" t="n">
        <x:v>-0.00010345804395044614</x:v>
      </x:c>
      <x:c r="G1057" s="43" t="n">
        <x:v>1.0595841522731289</x:v>
      </x:c>
      <x:c r="H1057" s="32" t="n">
        <x:v>539205.5434941193</x:v>
      </x:c>
      <x:c r="I1057" s="50" t="b">
        <x:v>1</x:v>
      </x:c>
      <x:c r="J1057" s="50" t="b">
        <x:v>0</x:v>
      </x:c>
      <x:c r="K1057" s="31"/>
      <x:c r="L1057" s="31"/>
    </x:row>
    <x:row r="1058">
      <x:c r="A1058" s="31"/>
      <x:c r="B1058" s="31"/>
      <x:c r="C1058" s="31"/>
      <x:c r="D1058" s="31" t="n">
        <x:v>1054</x:v>
      </x:c>
      <x:c r="E1058" s="42" t="n">
        <x:v>-0.004616416026622983</x:v>
      </x:c>
      <x:c r="F1058" s="42" t="n">
        <x:v>0.004732660301254393</x:v>
      </x:c>
      <x:c r="G1058" s="43" t="n">
        <x:v>0.9915936351329373</x:v>
      </x:c>
      <x:c r="H1058" s="32" t="n">
        <x:v>954560.2799092117</x:v>
      </x:c>
      <x:c r="I1058" s="50" t="b">
        <x:v>1</x:v>
      </x:c>
      <x:c r="J1058" s="50" t="b">
        <x:v>0</x:v>
      </x:c>
      <x:c r="K1058" s="31"/>
      <x:c r="L1058" s="31"/>
    </x:row>
    <x:row r="1059">
      <x:c r="A1059" s="31"/>
      <x:c r="B1059" s="31"/>
      <x:c r="C1059" s="31"/>
      <x:c r="D1059" s="31" t="n">
        <x:v>1055</x:v>
      </x:c>
      <x:c r="E1059" s="42" t="n">
        <x:v>-0.012530582236210919</x:v>
      </x:c>
      <x:c r="F1059" s="42" t="n">
        <x:v>0.0031076332532691147</x:v>
      </x:c>
      <x:c r="G1059" s="43" t="n">
        <x:v>1.0676273141126673</x:v>
      </x:c>
      <x:c r="H1059" s="32" t="n">
        <x:v>454186.6109074777</x:v>
      </x:c>
      <x:c r="I1059" s="50" t="b">
        <x:v>1</x:v>
      </x:c>
      <x:c r="J1059" s="50" t="b">
        <x:v>0</x:v>
      </x:c>
      <x:c r="K1059" s="31"/>
      <x:c r="L1059" s="31"/>
    </x:row>
    <x:row r="1060">
      <x:c r="A1060" s="31"/>
      <x:c r="B1060" s="31"/>
      <x:c r="C1060" s="31"/>
      <x:c r="D1060" s="31" t="n">
        <x:v>1056</x:v>
      </x:c>
      <x:c r="E1060" s="42" t="n">
        <x:v>-0.012271082318133873</x:v>
      </x:c>
      <x:c r="F1060" s="42" t="n">
        <x:v>0.004541658279960787</x:v>
      </x:c>
      <x:c r="G1060" s="43" t="n">
        <x:v>0.9881455804344436</x:v>
      </x:c>
      <x:c r="H1060" s="32" t="n">
        <x:v>955682.5943168795</x:v>
      </x:c>
      <x:c r="I1060" s="50" t="b">
        <x:v>1</x:v>
      </x:c>
      <x:c r="J1060" s="50" t="b">
        <x:v>0</x:v>
      </x:c>
      <x:c r="K1060" s="31"/>
      <x:c r="L1060" s="31"/>
    </x:row>
    <x:row r="1061">
      <x:c r="A1061" s="31"/>
      <x:c r="B1061" s="31"/>
      <x:c r="C1061" s="31"/>
      <x:c r="D1061" s="31" t="n">
        <x:v>1057</x:v>
      </x:c>
      <x:c r="E1061" s="42" t="n">
        <x:v>0.017960625303270028</x:v>
      </x:c>
      <x:c r="F1061" s="42" t="n">
        <x:v>0.004796240054387417</x:v>
      </x:c>
      <x:c r="G1061" s="43" t="n">
        <x:v>0.9589358271142584</x:v>
      </x:c>
      <x:c r="H1061" s="32" t="n">
        <x:v>1224627.209357624</x:v>
      </x:c>
      <x:c r="I1061" s="50" t="b">
        <x:v>0</x:v>
      </x:c>
      <x:c r="J1061" s="50" t="b">
        <x:v>0</x:v>
      </x:c>
      <x:c r="K1061" s="31"/>
      <x:c r="L1061" s="31"/>
    </x:row>
    <x:row r="1062">
      <x:c r="A1062" s="31"/>
      <x:c r="B1062" s="31"/>
      <x:c r="C1062" s="31"/>
      <x:c r="D1062" s="31" t="n">
        <x:v>1058</x:v>
      </x:c>
      <x:c r="E1062" s="42" t="n">
        <x:v>-0.00240185662431159</x:v>
      </x:c>
      <x:c r="F1062" s="42" t="n">
        <x:v>0.010948947956767393</x:v>
      </x:c>
      <x:c r="G1062" s="43" t="n">
        <x:v>0.9617185606858693</x:v>
      </x:c>
      <x:c r="H1062" s="32" t="n">
        <x:v>1133149.261730188</x:v>
      </x:c>
      <x:c r="I1062" s="50" t="b">
        <x:v>0</x:v>
      </x:c>
      <x:c r="J1062" s="50" t="b">
        <x:v>0</x:v>
      </x:c>
      <x:c r="K1062" s="31"/>
      <x:c r="L1062" s="31"/>
    </x:row>
    <x:row r="1063">
      <x:c r="A1063" s="31"/>
      <x:c r="B1063" s="31"/>
      <x:c r="C1063" s="31"/>
      <x:c r="D1063" s="31" t="n">
        <x:v>1059</x:v>
      </x:c>
      <x:c r="E1063" s="42" t="n">
        <x:v>0.023658873097217512</x:v>
      </x:c>
      <x:c r="F1063" s="42" t="n">
        <x:v>0.007373561209812044</x:v>
      </x:c>
      <x:c r="G1063" s="43" t="n">
        <x:v>0.9938677993296304</x:v>
      </x:c>
      <x:c r="H1063" s="32" t="n">
        <x:v>1011471.6144502882</x:v>
      </x:c>
      <x:c r="I1063" s="50" t="b">
        <x:v>0</x:v>
      </x:c>
      <x:c r="J1063" s="50" t="b">
        <x:v>0</x:v>
      </x:c>
      <x:c r="K1063" s="31"/>
      <x:c r="L1063" s="31"/>
    </x:row>
    <x:row r="1064">
      <x:c r="A1064" s="31"/>
      <x:c r="B1064" s="31"/>
      <x:c r="C1064" s="31"/>
      <x:c r="D1064" s="31" t="n">
        <x:v>1060</x:v>
      </x:c>
      <x:c r="E1064" s="42" t="n">
        <x:v>-0.0055480587436508464</x:v>
      </x:c>
      <x:c r="F1064" s="42" t="n">
        <x:v>-0.0016122152092360163</x:v>
      </x:c>
      <x:c r="G1064" s="43" t="n">
        <x:v>0.9627954424595029</x:v>
      </x:c>
      <x:c r="H1064" s="32" t="n">
        <x:v>1152517.0525579357</x:v>
      </x:c>
      <x:c r="I1064" s="50" t="b">
        <x:v>0</x:v>
      </x:c>
      <x:c r="J1064" s="50" t="b">
        <x:v>0</x:v>
      </x:c>
      <x:c r="K1064" s="31"/>
      <x:c r="L1064" s="31"/>
    </x:row>
    <x:row r="1065">
      <x:c r="A1065" s="31"/>
      <x:c r="B1065" s="31"/>
      <x:c r="C1065" s="31"/>
      <x:c r="D1065" s="31" t="n">
        <x:v>1061</x:v>
      </x:c>
      <x:c r="E1065" s="42" t="n">
        <x:v>0.012029079825754402</x:v>
      </x:c>
      <x:c r="F1065" s="42" t="n">
        <x:v>0.004665169085436772</x:v>
      </x:c>
      <x:c r="G1065" s="43" t="n">
        <x:v>0.9631549849645904</x:v>
      </x:c>
      <x:c r="H1065" s="32" t="n">
        <x:v>1181686.8195103551</x:v>
      </x:c>
      <x:c r="I1065" s="50" t="b">
        <x:v>0</x:v>
      </x:c>
      <x:c r="J1065" s="50" t="b">
        <x:v>0</x:v>
      </x:c>
      <x:c r="K1065" s="31"/>
      <x:c r="L1065" s="31"/>
    </x:row>
    <x:row r="1066">
      <x:c r="A1066" s="31"/>
      <x:c r="B1066" s="31"/>
      <x:c r="C1066" s="31"/>
      <x:c r="D1066" s="31" t="n">
        <x:v>1062</x:v>
      </x:c>
      <x:c r="E1066" s="42" t="n">
        <x:v>0.011913067327413145</x:v>
      </x:c>
      <x:c r="F1066" s="42" t="n">
        <x:v>0.0062876083916630085</x:v>
      </x:c>
      <x:c r="G1066" s="43" t="n">
        <x:v>0.9964556621002465</x:v>
      </x:c>
      <x:c r="H1066" s="32" t="n">
        <x:v>965364.9160778488</x:v>
      </x:c>
      <x:c r="I1066" s="50" t="b">
        <x:v>1</x:v>
      </x:c>
      <x:c r="J1066" s="50" t="b">
        <x:v>0</x:v>
      </x:c>
      <x:c r="K1066" s="31"/>
      <x:c r="L1066" s="31"/>
    </x:row>
    <x:row r="1067">
      <x:c r="A1067" s="31"/>
      <x:c r="B1067" s="31"/>
      <x:c r="C1067" s="31"/>
      <x:c r="D1067" s="31" t="n">
        <x:v>1063</x:v>
      </x:c>
      <x:c r="E1067" s="42" t="n">
        <x:v>0.003981340758054992</x:v>
      </x:c>
      <x:c r="F1067" s="42" t="n">
        <x:v>0.0012342726110836236</x:v>
      </x:c>
      <x:c r="G1067" s="43" t="n">
        <x:v>0.9861969314770638</x:v>
      </x:c>
      <x:c r="H1067" s="32" t="n">
        <x:v>1022503.0564962875</x:v>
      </x:c>
      <x:c r="I1067" s="50" t="b">
        <x:v>0</x:v>
      </x:c>
      <x:c r="J1067" s="50" t="b">
        <x:v>0</x:v>
      </x:c>
      <x:c r="K1067" s="31"/>
      <x:c r="L1067" s="31"/>
    </x:row>
    <x:row r="1068">
      <x:c r="A1068" s="31"/>
      <x:c r="B1068" s="31"/>
      <x:c r="C1068" s="31"/>
      <x:c r="D1068" s="31" t="n">
        <x:v>1064</x:v>
      </x:c>
      <x:c r="E1068" s="42" t="n">
        <x:v>0.008816710420233758</x:v>
      </x:c>
      <x:c r="F1068" s="42" t="n">
        <x:v>0.009425150320148235</x:v>
      </x:c>
      <x:c r="G1068" s="43" t="n">
        <x:v>1.0199701273465278</x:v>
      </x:c>
      <x:c r="H1068" s="32" t="n">
        <x:v>798679.2125581565</x:v>
      </x:c>
      <x:c r="I1068" s="50" t="b">
        <x:v>1</x:v>
      </x:c>
      <x:c r="J1068" s="50" t="b">
        <x:v>0</x:v>
      </x:c>
      <x:c r="K1068" s="31"/>
      <x:c r="L1068" s="31"/>
    </x:row>
    <x:row r="1069">
      <x:c r="A1069" s="31"/>
      <x:c r="B1069" s="31"/>
      <x:c r="C1069" s="31"/>
      <x:c r="D1069" s="31" t="n">
        <x:v>1065</x:v>
      </x:c>
      <x:c r="E1069" s="42" t="n">
        <x:v>-0.015104517251561702</x:v>
      </x:c>
      <x:c r="F1069" s="42" t="n">
        <x:v>0.0012419411602344998</x:v>
      </x:c>
      <x:c r="G1069" s="43" t="n">
        <x:v>1.067241937746591</x:v>
      </x:c>
      <x:c r="H1069" s="32" t="n">
        <x:v>454662.6138931572</x:v>
      </x:c>
      <x:c r="I1069" s="50" t="b">
        <x:v>1</x:v>
      </x:c>
      <x:c r="J1069" s="50" t="b">
        <x:v>0</x:v>
      </x:c>
      <x:c r="K1069" s="31"/>
      <x:c r="L1069" s="31"/>
    </x:row>
    <x:row r="1070">
      <x:c r="A1070" s="31"/>
      <x:c r="B1070" s="31"/>
      <x:c r="C1070" s="31"/>
      <x:c r="D1070" s="31" t="n">
        <x:v>1066</x:v>
      </x:c>
      <x:c r="E1070" s="42" t="n">
        <x:v>-0.0014348925052487774</x:v>
      </x:c>
      <x:c r="F1070" s="42" t="n">
        <x:v>0.0032651459110386704</x:v>
      </x:c>
      <x:c r="G1070" s="43" t="n">
        <x:v>0.9914770114794418</x:v>
      </x:c>
      <x:c r="H1070" s="32" t="n">
        <x:v>968241.6227841896</x:v>
      </x:c>
      <x:c r="I1070" s="50" t="b">
        <x:v>1</x:v>
      </x:c>
      <x:c r="J1070" s="50" t="b">
        <x:v>0</x:v>
      </x:c>
      <x:c r="K1070" s="31"/>
      <x:c r="L1070" s="31"/>
    </x:row>
    <x:row r="1071">
      <x:c r="A1071" s="31"/>
      <x:c r="B1071" s="31"/>
      <x:c r="C1071" s="31"/>
      <x:c r="D1071" s="31" t="n">
        <x:v>1067</x:v>
      </x:c>
      <x:c r="E1071" s="42" t="n">
        <x:v>0.011125093860461566</x:v>
      </x:c>
      <x:c r="F1071" s="42" t="n">
        <x:v>-0.0069445766642992285</x:v>
      </x:c>
      <x:c r="G1071" s="43" t="n">
        <x:v>1.0449958067183749</x:v>
      </x:c>
      <x:c r="H1071" s="32" t="n">
        <x:v>691739.3590405837</x:v>
      </x:c>
      <x:c r="I1071" s="50" t="b">
        <x:v>1</x:v>
      </x:c>
      <x:c r="J1071" s="50" t="b">
        <x:v>0</x:v>
      </x:c>
      <x:c r="K1071" s="31"/>
      <x:c r="L1071" s="31"/>
    </x:row>
    <x:row r="1072">
      <x:c r="A1072" s="31"/>
      <x:c r="B1072" s="31"/>
      <x:c r="C1072" s="31"/>
      <x:c r="D1072" s="31" t="n">
        <x:v>1068</x:v>
      </x:c>
      <x:c r="E1072" s="42" t="n">
        <x:v>-0.012499413545821372</x:v>
      </x:c>
      <x:c r="F1072" s="42" t="n">
        <x:v>-0.006912842658907753</x:v>
      </x:c>
      <x:c r="G1072" s="43" t="n">
        <x:v>1.0272451428398113</x:v>
      </x:c>
      <x:c r="H1072" s="32" t="n">
        <x:v>738620.9738533609</x:v>
      </x:c>
      <x:c r="I1072" s="50" t="b">
        <x:v>1</x:v>
      </x:c>
      <x:c r="J1072" s="50" t="b">
        <x:v>0</x:v>
      </x:c>
      <x:c r="K1072" s="31"/>
      <x:c r="L1072" s="31"/>
    </x:row>
    <x:row r="1073">
      <x:c r="A1073" s="31"/>
      <x:c r="B1073" s="31"/>
      <x:c r="C1073" s="31"/>
      <x:c r="D1073" s="31" t="n">
        <x:v>1069</x:v>
      </x:c>
      <x:c r="E1073" s="42" t="n">
        <x:v>-0.0016480328388012706</x:v>
      </x:c>
      <x:c r="F1073" s="42" t="n">
        <x:v>0.0001963331519636867</x:v>
      </x:c>
      <x:c r="G1073" s="43" t="n">
        <x:v>0.8635724608699342</x:v>
      </x:c>
      <x:c r="H1073" s="32" t="n">
        <x:v>1788474.932296301</x:v>
      </x:c>
      <x:c r="I1073" s="50" t="b">
        <x:v>0</x:v>
      </x:c>
      <x:c r="J1073" s="50" t="b">
        <x:v>0</x:v>
      </x:c>
      <x:c r="K1073" s="31"/>
      <x:c r="L1073" s="31"/>
    </x:row>
    <x:row r="1074">
      <x:c r="A1074" s="31"/>
      <x:c r="B1074" s="31"/>
      <x:c r="C1074" s="31"/>
      <x:c r="D1074" s="31" t="n">
        <x:v>1070</x:v>
      </x:c>
      <x:c r="E1074" s="42" t="n">
        <x:v>0.0015750751096177862</x:v>
      </x:c>
      <x:c r="F1074" s="42" t="n">
        <x:v>0.00623942843163127</x:v>
      </x:c>
      <x:c r="G1074" s="43" t="n">
        <x:v>1.0556557330118188</x:v>
      </x:c>
      <x:c r="H1074" s="32" t="n">
        <x:v>560760.6181061093</x:v>
      </x:c>
      <x:c r="I1074" s="50" t="b">
        <x:v>1</x:v>
      </x:c>
      <x:c r="J1074" s="50" t="b">
        <x:v>0</x:v>
      </x:c>
      <x:c r="K1074" s="31"/>
      <x:c r="L1074" s="31"/>
    </x:row>
    <x:row r="1075">
      <x:c r="A1075" s="31"/>
      <x:c r="B1075" s="31"/>
      <x:c r="C1075" s="31"/>
      <x:c r="D1075" s="31" t="n">
        <x:v>1071</x:v>
      </x:c>
      <x:c r="E1075" s="42" t="n">
        <x:v>-0.005437639037133757</x:v>
      </x:c>
      <x:c r="F1075" s="42" t="n">
        <x:v>-0.007703420145766081</x:v>
      </x:c>
      <x:c r="G1075" s="43" t="n">
        <x:v>0.9702041467035852</x:v>
      </x:c>
      <x:c r="H1075" s="32" t="n">
        <x:v>1122728.893213938</x:v>
      </x:c>
      <x:c r="I1075" s="50" t="b">
        <x:v>0</x:v>
      </x:c>
      <x:c r="J1075" s="50" t="b">
        <x:v>0</x:v>
      </x:c>
      <x:c r="K1075" s="31"/>
      <x:c r="L1075" s="31"/>
    </x:row>
    <x:row r="1076">
      <x:c r="A1076" s="31"/>
      <x:c r="B1076" s="31"/>
      <x:c r="C1076" s="31"/>
      <x:c r="D1076" s="31" t="n">
        <x:v>1072</x:v>
      </x:c>
      <x:c r="E1076" s="42" t="n">
        <x:v>-0.01444423252076523</x:v>
      </x:c>
      <x:c r="F1076" s="42" t="n">
        <x:v>-0.0009224158316232224</x:v>
      </x:c>
      <x:c r="G1076" s="43" t="n">
        <x:v>0.975457716083338</x:v>
      </x:c>
      <x:c r="H1076" s="32" t="n">
        <x:v>1045419.8785016097</x:v>
      </x:c>
      <x:c r="I1076" s="50" t="b">
        <x:v>0</x:v>
      </x:c>
      <x:c r="J1076" s="50" t="b">
        <x:v>0</x:v>
      </x:c>
      <x:c r="K1076" s="31"/>
      <x:c r="L1076" s="31"/>
    </x:row>
    <x:row r="1077">
      <x:c r="A1077" s="31"/>
      <x:c r="B1077" s="31"/>
      <x:c r="C1077" s="31"/>
      <x:c r="D1077" s="31" t="n">
        <x:v>1073</x:v>
      </x:c>
      <x:c r="E1077" s="42" t="n">
        <x:v>0.0030396162584325195</x:v>
      </x:c>
      <x:c r="F1077" s="42" t="n">
        <x:v>0.01053774728102056</x:v>
      </x:c>
      <x:c r="G1077" s="43" t="n">
        <x:v>1.072432886218214</x:v>
      </x:c>
      <x:c r="H1077" s="32" t="n">
        <x:v>446325.9301437414</x:v>
      </x:c>
      <x:c r="I1077" s="50" t="b">
        <x:v>1</x:v>
      </x:c>
      <x:c r="J1077" s="50" t="b">
        <x:v>0</x:v>
      </x:c>
      <x:c r="K1077" s="31"/>
      <x:c r="L1077" s="31"/>
    </x:row>
    <x:row r="1078">
      <x:c r="A1078" s="31"/>
      <x:c r="B1078" s="31"/>
      <x:c r="C1078" s="31"/>
      <x:c r="D1078" s="31" t="n">
        <x:v>1074</x:v>
      </x:c>
      <x:c r="E1078" s="42" t="n">
        <x:v>0.003948602119335188</x:v>
      </x:c>
      <x:c r="F1078" s="42" t="n">
        <x:v>0.0024086579599697897</x:v>
      </x:c>
      <x:c r="G1078" s="43" t="n">
        <x:v>0.9355857609887293</x:v>
      </x:c>
      <x:c r="H1078" s="32" t="n">
        <x:v>1340559.7769925355</x:v>
      </x:c>
      <x:c r="I1078" s="50" t="b">
        <x:v>0</x:v>
      </x:c>
      <x:c r="J1078" s="50" t="b">
        <x:v>0</x:v>
      </x:c>
      <x:c r="K1078" s="31"/>
      <x:c r="L1078" s="31"/>
    </x:row>
    <x:row r="1079">
      <x:c r="A1079" s="31"/>
      <x:c r="B1079" s="31"/>
      <x:c r="C1079" s="31"/>
      <x:c r="D1079" s="31" t="n">
        <x:v>1075</x:v>
      </x:c>
      <x:c r="E1079" s="42" t="n">
        <x:v>-0.012482741965403794</x:v>
      </x:c>
      <x:c r="F1079" s="42" t="n">
        <x:v>0.006253774669185142</x:v>
      </x:c>
      <x:c r="G1079" s="43" t="n">
        <x:v>1.072234074905254</x:v>
      </x:c>
      <x:c r="H1079" s="32" t="n">
        <x:v>416306.22731993604</x:v>
      </x:c>
      <x:c r="I1079" s="50" t="b">
        <x:v>1</x:v>
      </x:c>
      <x:c r="J1079" s="50" t="b">
        <x:v>0</x:v>
      </x:c>
      <x:c r="K1079" s="31"/>
      <x:c r="L1079" s="31"/>
    </x:row>
    <x:row r="1080">
      <x:c r="A1080" s="31"/>
      <x:c r="B1080" s="31"/>
      <x:c r="C1080" s="31"/>
      <x:c r="D1080" s="31" t="n">
        <x:v>1076</x:v>
      </x:c>
      <x:c r="E1080" s="42" t="n">
        <x:v>0.016325644222656137</x:v>
      </x:c>
      <x:c r="F1080" s="42" t="n">
        <x:v>0.0011120471180242784</x:v>
      </x:c>
      <x:c r="G1080" s="43" t="n">
        <x:v>1.0097868175337525</x:v>
      </x:c>
      <x:c r="H1080" s="32" t="n">
        <x:v>907391.4326981944</x:v>
      </x:c>
      <x:c r="I1080" s="50" t="b">
        <x:v>1</x:v>
      </x:c>
      <x:c r="J1080" s="50" t="b">
        <x:v>0</x:v>
      </x:c>
      <x:c r="K1080" s="31"/>
      <x:c r="L1080" s="31"/>
    </x:row>
    <x:row r="1081">
      <x:c r="A1081" s="31"/>
      <x:c r="B1081" s="31"/>
      <x:c r="C1081" s="31"/>
      <x:c r="D1081" s="31" t="n">
        <x:v>1077</x:v>
      </x:c>
      <x:c r="E1081" s="42" t="n">
        <x:v>-0.0006543954658968957</x:v>
      </x:c>
      <x:c r="F1081" s="42" t="n">
        <x:v>-0.0011306500205853552</x:v>
      </x:c>
      <x:c r="G1081" s="43" t="n">
        <x:v>0.9688050328875635</x:v>
      </x:c>
      <x:c r="H1081" s="32" t="n">
        <x:v>1126633.0700077624</x:v>
      </x:c>
      <x:c r="I1081" s="50" t="b">
        <x:v>0</x:v>
      </x:c>
      <x:c r="J1081" s="50" t="b">
        <x:v>0</x:v>
      </x:c>
      <x:c r="K1081" s="31"/>
      <x:c r="L1081" s="31"/>
    </x:row>
    <x:row r="1082">
      <x:c r="A1082" s="31"/>
      <x:c r="B1082" s="31"/>
      <x:c r="C1082" s="31"/>
      <x:c r="D1082" s="31" t="n">
        <x:v>1078</x:v>
      </x:c>
      <x:c r="E1082" s="42" t="n">
        <x:v>-0.004075306177259177</x:v>
      </x:c>
      <x:c r="F1082" s="42" t="n">
        <x:v>0.002067897055745496</x:v>
      </x:c>
      <x:c r="G1082" s="43" t="n">
        <x:v>0.9205941122402593</x:v>
      </x:c>
      <x:c r="H1082" s="32" t="n">
        <x:v>1414381.1529839695</x:v>
      </x:c>
      <x:c r="I1082" s="50" t="b">
        <x:v>0</x:v>
      </x:c>
      <x:c r="J1082" s="50" t="b">
        <x:v>0</x:v>
      </x:c>
      <x:c r="K1082" s="31"/>
      <x:c r="L1082" s="31"/>
    </x:row>
    <x:row r="1083">
      <x:c r="A1083" s="31"/>
      <x:c r="B1083" s="31"/>
      <x:c r="C1083" s="31"/>
      <x:c r="D1083" s="31" t="n">
        <x:v>1079</x:v>
      </x:c>
      <x:c r="E1083" s="42" t="n">
        <x:v>-0.0046885959029933245</x:v>
      </x:c>
      <x:c r="F1083" s="42" t="n">
        <x:v>-0.0046461558897751</x:v>
      </x:c>
      <x:c r="G1083" s="43" t="n">
        <x:v>0.9351640343616071</x:v>
      </x:c>
      <x:c r="H1083" s="32" t="n">
        <x:v>1338833.4383335097</x:v>
      </x:c>
      <x:c r="I1083" s="50" t="b">
        <x:v>0</x:v>
      </x:c>
      <x:c r="J1083" s="50" t="b">
        <x:v>0</x:v>
      </x:c>
      <x:c r="K1083" s="31"/>
      <x:c r="L1083" s="31"/>
    </x:row>
    <x:row r="1084">
      <x:c r="A1084" s="31"/>
      <x:c r="B1084" s="31"/>
      <x:c r="C1084" s="31"/>
      <x:c r="D1084" s="31" t="n">
        <x:v>1080</x:v>
      </x:c>
      <x:c r="E1084" s="42" t="n">
        <x:v>0.02303507861677494</x:v>
      </x:c>
      <x:c r="F1084" s="42" t="n">
        <x:v>-0.004709244279122917</x:v>
      </x:c>
      <x:c r="G1084" s="43" t="n">
        <x:v>0.8986861303531339</x:v>
      </x:c>
      <x:c r="H1084" s="32" t="n">
        <x:v>1647839.0339663217</x:v>
      </x:c>
      <x:c r="I1084" s="50" t="b">
        <x:v>0</x:v>
      </x:c>
      <x:c r="J1084" s="50" t="b">
        <x:v>0</x:v>
      </x:c>
      <x:c r="K1084" s="31"/>
      <x:c r="L1084" s="31"/>
    </x:row>
    <x:row r="1085">
      <x:c r="A1085" s="31"/>
      <x:c r="B1085" s="31"/>
      <x:c r="C1085" s="31"/>
      <x:c r="D1085" s="31" t="n">
        <x:v>1081</x:v>
      </x:c>
      <x:c r="E1085" s="42" t="n">
        <x:v>-0.004703125865802569</x:v>
      </x:c>
      <x:c r="F1085" s="42" t="n">
        <x:v>-0.0069158313191650805</x:v>
      </x:c>
      <x:c r="G1085" s="43" t="n">
        <x:v>1.0844295077118755</x:v>
      </x:c>
      <x:c r="H1085" s="32" t="n">
        <x:v>397169.21589454194</x:v>
      </x:c>
      <x:c r="I1085" s="50" t="b">
        <x:v>1</x:v>
      </x:c>
      <x:c r="J1085" s="50" t="b">
        <x:v>0</x:v>
      </x:c>
      <x:c r="K1085" s="31"/>
      <x:c r="L1085" s="31"/>
    </x:row>
    <x:row r="1086">
      <x:c r="A1086" s="31"/>
      <x:c r="B1086" s="31"/>
      <x:c r="C1086" s="31"/>
      <x:c r="D1086" s="31" t="n">
        <x:v>1082</x:v>
      </x:c>
      <x:c r="E1086" s="42" t="n">
        <x:v>0.005084478609694518</x:v>
      </x:c>
      <x:c r="F1086" s="42" t="n">
        <x:v>-0.005828288499119848</x:v>
      </x:c>
      <x:c r="G1086" s="43" t="n">
        <x:v>0.9739253162883782</x:v>
      </x:c>
      <x:c r="H1086" s="32" t="n">
        <x:v>1123165.908115803</x:v>
      </x:c>
      <x:c r="I1086" s="50" t="b">
        <x:v>0</x:v>
      </x:c>
      <x:c r="J1086" s="50" t="b">
        <x:v>0</x:v>
      </x:c>
      <x:c r="K1086" s="31"/>
      <x:c r="L1086" s="31"/>
    </x:row>
    <x:row r="1087">
      <x:c r="A1087" s="31"/>
      <x:c r="B1087" s="31"/>
      <x:c r="C1087" s="31"/>
      <x:c r="D1087" s="31" t="n">
        <x:v>1083</x:v>
      </x:c>
      <x:c r="E1087" s="42" t="n">
        <x:v>0.0018410799743916143</x:v>
      </x:c>
      <x:c r="F1087" s="42" t="n">
        <x:v>0.00009957683592174515</x:v>
      </x:c>
      <x:c r="G1087" s="43" t="n">
        <x:v>0.9487633804834328</x:v>
      </x:c>
      <x:c r="H1087" s="32" t="n">
        <x:v>1257433.6043219052</x:v>
      </x:c>
      <x:c r="I1087" s="50" t="b">
        <x:v>0</x:v>
      </x:c>
      <x:c r="J1087" s="50" t="b">
        <x:v>0</x:v>
      </x:c>
      <x:c r="K1087" s="31"/>
      <x:c r="L1087" s="31"/>
    </x:row>
    <x:row r="1088">
      <x:c r="A1088" s="31"/>
      <x:c r="B1088" s="31"/>
      <x:c r="C1088" s="31"/>
      <x:c r="D1088" s="31" t="n">
        <x:v>1084</x:v>
      </x:c>
      <x:c r="E1088" s="42" t="n">
        <x:v>-0.008529810869672257</x:v>
      </x:c>
      <x:c r="F1088" s="42" t="n">
        <x:v>-0.005226667029059137</x:v>
      </x:c>
      <x:c r="G1088" s="43" t="n">
        <x:v>0.970697344057304</x:v>
      </x:c>
      <x:c r="H1088" s="32" t="n">
        <x:v>1104095.514682476</x:v>
      </x:c>
      <x:c r="I1088" s="50" t="b">
        <x:v>0</x:v>
      </x:c>
      <x:c r="J1088" s="50" t="b">
        <x:v>0</x:v>
      </x:c>
      <x:c r="K1088" s="31"/>
      <x:c r="L1088" s="31"/>
    </x:row>
    <x:row r="1089">
      <x:c r="A1089" s="31"/>
      <x:c r="B1089" s="31"/>
      <x:c r="C1089" s="31"/>
      <x:c r="D1089" s="31" t="n">
        <x:v>1085</x:v>
      </x:c>
      <x:c r="E1089" s="42" t="n">
        <x:v>0.005177043740774859</x:v>
      </x:c>
      <x:c r="F1089" s="42" t="n">
        <x:v>0.003729915109157674</x:v>
      </x:c>
      <x:c r="G1089" s="43" t="n">
        <x:v>0.9379324784043316</x:v>
      </x:c>
      <x:c r="H1089" s="32" t="n">
        <x:v>1325398.1053124839</x:v>
      </x:c>
      <x:c r="I1089" s="50" t="b">
        <x:v>0</x:v>
      </x:c>
      <x:c r="J1089" s="50" t="b">
        <x:v>0</x:v>
      </x:c>
      <x:c r="K1089" s="31"/>
      <x:c r="L1089" s="31"/>
    </x:row>
    <x:row r="1090">
      <x:c r="A1090" s="31"/>
      <x:c r="B1090" s="31"/>
      <x:c r="C1090" s="31"/>
      <x:c r="D1090" s="31" t="n">
        <x:v>1086</x:v>
      </x:c>
      <x:c r="E1090" s="42" t="n">
        <x:v>0.009174937510467334</x:v>
      </x:c>
      <x:c r="F1090" s="42" t="n">
        <x:v>0.002368323488842282</x:v>
      </x:c>
      <x:c r="G1090" s="43" t="n">
        <x:v>0.9832809654849647</x:v>
      </x:c>
      <x:c r="H1090" s="32" t="n">
        <x:v>1052321.3416436722</x:v>
      </x:c>
      <x:c r="I1090" s="50" t="b">
        <x:v>0</x:v>
      </x:c>
      <x:c r="J1090" s="50" t="b">
        <x:v>0</x:v>
      </x:c>
      <x:c r="K1090" s="31"/>
      <x:c r="L1090" s="31"/>
    </x:row>
    <x:row r="1091">
      <x:c r="A1091" s="31"/>
      <x:c r="B1091" s="31"/>
      <x:c r="C1091" s="31"/>
      <x:c r="D1091" s="31" t="n">
        <x:v>1087</x:v>
      </x:c>
      <x:c r="E1091" s="42" t="n">
        <x:v>0.006991200341382828</x:v>
      </x:c>
      <x:c r="F1091" s="42" t="n">
        <x:v>-0.005511941797505345</x:v>
      </x:c>
      <x:c r="G1091" s="43" t="n">
        <x:v>1.0292110283858749</x:v>
      </x:c>
      <x:c r="H1091" s="32" t="n">
        <x:v>776489.3255298617</x:v>
      </x:c>
      <x:c r="I1091" s="50" t="b">
        <x:v>1</x:v>
      </x:c>
      <x:c r="J1091" s="50" t="b">
        <x:v>0</x:v>
      </x:c>
      <x:c r="K1091" s="31"/>
      <x:c r="L1091" s="31"/>
    </x:row>
    <x:row r="1092">
      <x:c r="A1092" s="31"/>
      <x:c r="B1092" s="31"/>
      <x:c r="C1092" s="31"/>
      <x:c r="D1092" s="31" t="n">
        <x:v>1088</x:v>
      </x:c>
      <x:c r="E1092" s="42" t="n">
        <x:v>-0.006133886634866504</x:v>
      </x:c>
      <x:c r="F1092" s="42" t="n">
        <x:v>-0.00703829018804206</x:v>
      </x:c>
      <x:c r="G1092" s="43" t="n">
        <x:v>0.9767518286527486</x:v>
      </x:c>
      <x:c r="H1092" s="32" t="n">
        <x:v>1077357.050979538</x:v>
      </x:c>
      <x:c r="I1092" s="50" t="b">
        <x:v>0</x:v>
      </x:c>
      <x:c r="J1092" s="50" t="b">
        <x:v>0</x:v>
      </x:c>
      <x:c r="K1092" s="31"/>
      <x:c r="L1092" s="31"/>
    </x:row>
    <x:row r="1093">
      <x:c r="A1093" s="31"/>
      <x:c r="B1093" s="31"/>
      <x:c r="C1093" s="31"/>
      <x:c r="D1093" s="31" t="n">
        <x:v>1089</x:v>
      </x:c>
      <x:c r="E1093" s="42" t="n">
        <x:v>0.008673850644960778</x:v>
      </x:c>
      <x:c r="F1093" s="42" t="n">
        <x:v>-0.003565971999641856</x:v>
      </x:c>
      <x:c r="G1093" s="43" t="n">
        <x:v>0.9447691099005646</x:v>
      </x:c>
      <x:c r="H1093" s="32" t="n">
        <x:v>1312022.3564339937</x:v>
      </x:c>
      <x:c r="I1093" s="50" t="b">
        <x:v>0</x:v>
      </x:c>
      <x:c r="J1093" s="50" t="b">
        <x:v>0</x:v>
      </x:c>
      <x:c r="K1093" s="31"/>
      <x:c r="L1093" s="31"/>
    </x:row>
    <x:row r="1094">
      <x:c r="A1094" s="31"/>
      <x:c r="B1094" s="31"/>
      <x:c r="C1094" s="31"/>
      <x:c r="D1094" s="31" t="n">
        <x:v>1090</x:v>
      </x:c>
      <x:c r="E1094" s="42" t="n">
        <x:v>-0.014630648381058447</x:v>
      </x:c>
      <x:c r="F1094" s="42" t="n">
        <x:v>0.0000013478064212475021</x:v>
      </x:c>
      <x:c r="G1094" s="43" t="n">
        <x:v>1.0908157190011192</x:v>
      </x:c>
      <x:c r="H1094" s="32" t="n">
        <x:v>309724.65090838005</x:v>
      </x:c>
      <x:c r="I1094" s="50" t="b">
        <x:v>1</x:v>
      </x:c>
      <x:c r="J1094" s="50" t="b">
        <x:v>0</x:v>
      </x:c>
      <x:c r="K1094" s="31"/>
      <x:c r="L1094" s="31"/>
    </x:row>
    <x:row r="1095">
      <x:c r="A1095" s="31"/>
      <x:c r="B1095" s="31"/>
      <x:c r="C1095" s="31"/>
      <x:c r="D1095" s="31" t="n">
        <x:v>1091</x:v>
      </x:c>
      <x:c r="E1095" s="42" t="n">
        <x:v>-0.02033687894822571</x:v>
      </x:c>
      <x:c r="F1095" s="42" t="n">
        <x:v>0.00239145267728254</x:v>
      </x:c>
      <x:c r="G1095" s="43" t="n">
        <x:v>1.0584247682265986</x:v>
      </x:c>
      <x:c r="H1095" s="32" t="n">
        <x:v>492893.799362506</x:v>
      </x:c>
      <x:c r="I1095" s="50" t="b">
        <x:v>1</x:v>
      </x:c>
      <x:c r="J1095" s="50" t="b">
        <x:v>0</x:v>
      </x:c>
      <x:c r="K1095" s="31"/>
      <x:c r="L1095" s="31"/>
    </x:row>
    <x:row r="1096">
      <x:c r="A1096" s="31"/>
      <x:c r="B1096" s="31"/>
      <x:c r="C1096" s="31"/>
      <x:c r="D1096" s="31" t="n">
        <x:v>1092</x:v>
      </x:c>
      <x:c r="E1096" s="42" t="n">
        <x:v>-0.011407573166390909</x:v>
      </x:c>
      <x:c r="F1096" s="42" t="n">
        <x:v>-0.010901950769195264</x:v>
      </x:c>
      <x:c r="G1096" s="43" t="n">
        <x:v>0.9616425083521157</x:v>
      </x:c>
      <x:c r="H1096" s="32" t="n">
        <x:v>1169387.0972515284</x:v>
      </x:c>
      <x:c r="I1096" s="50" t="b">
        <x:v>0</x:v>
      </x:c>
      <x:c r="J1096" s="50" t="b">
        <x:v>0</x:v>
      </x:c>
      <x:c r="K1096" s="31"/>
      <x:c r="L1096" s="31"/>
    </x:row>
    <x:row r="1097">
      <x:c r="A1097" s="31"/>
      <x:c r="B1097" s="31"/>
      <x:c r="C1097" s="31"/>
      <x:c r="D1097" s="31" t="n">
        <x:v>1093</x:v>
      </x:c>
      <x:c r="E1097" s="42" t="n">
        <x:v>0.010480759292844062</x:v>
      </x:c>
      <x:c r="F1097" s="42" t="n">
        <x:v>0.003773244539458626</x:v>
      </x:c>
      <x:c r="G1097" s="43" t="n">
        <x:v>0.9528177025462862</x:v>
      </x:c>
      <x:c r="H1097" s="32" t="n">
        <x:v>1245508.7912448768</x:v>
      </x:c>
      <x:c r="I1097" s="50" t="b">
        <x:v>0</x:v>
      </x:c>
      <x:c r="J1097" s="50" t="b">
        <x:v>0</x:v>
      </x:c>
      <x:c r="K1097" s="31"/>
      <x:c r="L1097" s="31"/>
    </x:row>
    <x:row r="1098">
      <x:c r="A1098" s="31"/>
      <x:c r="B1098" s="31"/>
      <x:c r="C1098" s="31"/>
      <x:c r="D1098" s="31" t="n">
        <x:v>1094</x:v>
      </x:c>
      <x:c r="E1098" s="42" t="n">
        <x:v>-0.012879570365485666</x:v>
      </x:c>
      <x:c r="F1098" s="42" t="n">
        <x:v>0.004177303757475433</x:v>
      </x:c>
      <x:c r="G1098" s="43" t="n">
        <x:v>0.9728369970419579</x:v>
      </x:c>
      <x:c r="H1098" s="32" t="n">
        <x:v>1052223.389755898</x:v>
      </x:c>
      <x:c r="I1098" s="50" t="b">
        <x:v>0</x:v>
      </x:c>
      <x:c r="J1098" s="50" t="b">
        <x:v>0</x:v>
      </x:c>
      <x:c r="K1098" s="31"/>
      <x:c r="L1098" s="31"/>
    </x:row>
    <x:row r="1099">
      <x:c r="A1099" s="31"/>
      <x:c r="B1099" s="31"/>
      <x:c r="C1099" s="31"/>
      <x:c r="D1099" s="31" t="n">
        <x:v>1095</x:v>
      </x:c>
      <x:c r="E1099" s="42" t="n">
        <x:v>0.003102084828564511</x:v>
      </x:c>
      <x:c r="F1099" s="42" t="n">
        <x:v>-0.018253125094010964</x:v>
      </x:c>
      <x:c r="G1099" s="43" t="n">
        <x:v>1.0728572082394714</x:v>
      </x:c>
      <x:c r="H1099" s="32" t="n">
        <x:v>523945.09888578544</x:v>
      </x:c>
      <x:c r="I1099" s="50" t="b">
        <x:v>1</x:v>
      </x:c>
      <x:c r="J1099" s="50" t="b">
        <x:v>0</x:v>
      </x:c>
      <x:c r="K1099" s="31"/>
      <x:c r="L1099" s="31"/>
    </x:row>
    <x:row r="1100">
      <x:c r="A1100" s="31"/>
      <x:c r="B1100" s="31"/>
      <x:c r="C1100" s="31"/>
      <x:c r="D1100" s="31" t="n">
        <x:v>1096</x:v>
      </x:c>
      <x:c r="E1100" s="42" t="n">
        <x:v>0.021446607744825184</x:v>
      </x:c>
      <x:c r="F1100" s="42" t="n">
        <x:v>-0.008217105818325316</x:v>
      </x:c>
      <x:c r="G1100" s="43" t="n">
        <x:v>1.0464728987147145</x:v>
      </x:c>
      <x:c r="H1100" s="32" t="n">
        <x:v>714631.0545401218</x:v>
      </x:c>
      <x:c r="I1100" s="50" t="b">
        <x:v>1</x:v>
      </x:c>
      <x:c r="J1100" s="50" t="b">
        <x:v>0</x:v>
      </x:c>
      <x:c r="K1100" s="31"/>
      <x:c r="L1100" s="31"/>
    </x:row>
    <x:row r="1101">
      <x:c r="A1101" s="31"/>
      <x:c r="B1101" s="31"/>
      <x:c r="C1101" s="31"/>
      <x:c r="D1101" s="31" t="n">
        <x:v>1097</x:v>
      </x:c>
      <x:c r="E1101" s="42" t="n">
        <x:v>0.005849695745045925</x:v>
      </x:c>
      <x:c r="F1101" s="42" t="n">
        <x:v>0.003921213682537073</x:v>
      </x:c>
      <x:c r="G1101" s="43" t="n">
        <x:v>1.0149120798603646</x:v>
      </x:c>
      <x:c r="H1101" s="32" t="n">
        <x:v>837862.9748652698</x:v>
      </x:c>
      <x:c r="I1101" s="50" t="b">
        <x:v>1</x:v>
      </x:c>
      <x:c r="J1101" s="50" t="b">
        <x:v>0</x:v>
      </x:c>
      <x:c r="K1101" s="31"/>
      <x:c r="L1101" s="31"/>
    </x:row>
    <x:row r="1102">
      <x:c r="A1102" s="31"/>
      <x:c r="B1102" s="31"/>
      <x:c r="C1102" s="31"/>
      <x:c r="D1102" s="31" t="n">
        <x:v>1098</x:v>
      </x:c>
      <x:c r="E1102" s="42" t="n">
        <x:v>-0.009160324353296938</x:v>
      </x:c>
      <x:c r="F1102" s="42" t="n">
        <x:v>0.0027532459058785407</x:v>
      </x:c>
      <x:c r="G1102" s="43" t="n">
        <x:v>0.9013235158829119</x:v>
      </x:c>
      <x:c r="H1102" s="32" t="n">
        <x:v>1520701.143313003</x:v>
      </x:c>
      <x:c r="I1102" s="50" t="b">
        <x:v>0</x:v>
      </x:c>
      <x:c r="J1102" s="50" t="b">
        <x:v>0</x:v>
      </x:c>
      <x:c r="K1102" s="31"/>
      <x:c r="L1102" s="31"/>
    </x:row>
    <x:row r="1103">
      <x:c r="A1103" s="31"/>
      <x:c r="B1103" s="31"/>
      <x:c r="C1103" s="31"/>
      <x:c r="D1103" s="31" t="n">
        <x:v>1099</x:v>
      </x:c>
      <x:c r="E1103" s="42" t="n">
        <x:v>0.010892644102257147</x:v>
      </x:c>
      <x:c r="F1103" s="42" t="n">
        <x:v>-0.011297674036232639</x:v>
      </x:c>
      <x:c r="G1103" s="43" t="n">
        <x:v>1.047335807181827</x:v>
      </x:c>
      <x:c r="H1103" s="32" t="n">
        <x:v>688348.6128152022</x:v>
      </x:c>
      <x:c r="I1103" s="50" t="b">
        <x:v>1</x:v>
      </x:c>
      <x:c r="J1103" s="50" t="b">
        <x:v>0</x:v>
      </x:c>
      <x:c r="K1103" s="31"/>
      <x:c r="L1103" s="31"/>
    </x:row>
    <x:row r="1104">
      <x:c r="A1104" s="31"/>
      <x:c r="B1104" s="31"/>
      <x:c r="C1104" s="31"/>
      <x:c r="D1104" s="31" t="n">
        <x:v>1100</x:v>
      </x:c>
      <x:c r="E1104" s="42" t="n">
        <x:v>0.009163392007576751</x:v>
      </x:c>
      <x:c r="F1104" s="42" t="n">
        <x:v>0.001705101143108</x:v>
      </x:c>
      <x:c r="G1104" s="43" t="n">
        <x:v>0.9812068028664994</x:v>
      </x:c>
      <x:c r="H1104" s="32" t="n">
        <x:v>1067307.700189315</x:v>
      </x:c>
      <x:c r="I1104" s="50" t="b">
        <x:v>0</x:v>
      </x:c>
      <x:c r="J1104" s="50" t="b">
        <x:v>0</x:v>
      </x:c>
      <x:c r="K1104" s="31"/>
      <x:c r="L1104" s="31"/>
    </x:row>
    <x:row r="1105">
      <x:c r="A1105" s="31"/>
      <x:c r="B1105" s="31"/>
      <x:c r="C1105" s="31"/>
      <x:c r="D1105" s="31" t="n">
        <x:v>1101</x:v>
      </x:c>
      <x:c r="E1105" s="42" t="n">
        <x:v>0.010287392310570357</x:v>
      </x:c>
      <x:c r="F1105" s="42" t="n">
        <x:v>0.0029702219308014016</x:v>
      </x:c>
      <x:c r="G1105" s="43" t="n">
        <x:v>0.961033625628313</x:v>
      </x:c>
      <x:c r="H1105" s="32" t="n">
        <x:v>1195028.8508731655</x:v>
      </x:c>
      <x:c r="I1105" s="50" t="b">
        <x:v>0</x:v>
      </x:c>
      <x:c r="J1105" s="50" t="b">
        <x:v>0</x:v>
      </x:c>
      <x:c r="K1105" s="31"/>
      <x:c r="L1105" s="31"/>
    </x:row>
    <x:row r="1106">
      <x:c r="A1106" s="31"/>
      <x:c r="B1106" s="31"/>
      <x:c r="C1106" s="31"/>
      <x:c r="D1106" s="31" t="n">
        <x:v>1102</x:v>
      </x:c>
      <x:c r="E1106" s="42" t="n">
        <x:v>-0.008733592794116535</x:v>
      </x:c>
      <x:c r="F1106" s="42" t="n">
        <x:v>-0.002262163885415608</x:v>
      </x:c>
      <x:c r="G1106" s="43" t="n">
        <x:v>0.9851275174215738</x:v>
      </x:c>
      <x:c r="H1106" s="32" t="n">
        <x:v>1003634.702243291</x:v>
      </x:c>
      <x:c r="I1106" s="50" t="b">
        <x:v>0</x:v>
      </x:c>
      <x:c r="J1106" s="50" t="b">
        <x:v>0</x:v>
      </x:c>
      <x:c r="K1106" s="31"/>
      <x:c r="L1106" s="31"/>
    </x:row>
    <x:row r="1107">
      <x:c r="A1107" s="31"/>
      <x:c r="B1107" s="31"/>
      <x:c r="C1107" s="31"/>
      <x:c r="D1107" s="31" t="n">
        <x:v>1103</x:v>
      </x:c>
      <x:c r="E1107" s="42" t="n">
        <x:v>-0.00436864445620222</x:v>
      </x:c>
      <x:c r="F1107" s="42" t="n">
        <x:v>0.01296655372748401</x:v>
      </x:c>
      <x:c r="G1107" s="43" t="n">
        <x:v>1.0035480426532835</x:v>
      </x:c>
      <x:c r="H1107" s="32" t="n">
        <x:v>856411.7784943702</x:v>
      </x:c>
      <x:c r="I1107" s="50" t="b">
        <x:v>1</x:v>
      </x:c>
      <x:c r="J1107" s="50" t="b">
        <x:v>0</x:v>
      </x:c>
      <x:c r="K1107" s="31"/>
      <x:c r="L1107" s="31"/>
    </x:row>
    <x:row r="1108">
      <x:c r="A1108" s="31"/>
      <x:c r="B1108" s="31"/>
      <x:c r="C1108" s="31"/>
      <x:c r="D1108" s="31" t="n">
        <x:v>1104</x:v>
      </x:c>
      <x:c r="E1108" s="42" t="n">
        <x:v>-0.007568946844983372</x:v>
      </x:c>
      <x:c r="F1108" s="42" t="n">
        <x:v>0.0022256593969659007</x:v>
      </x:c>
      <x:c r="G1108" s="43" t="n">
        <x:v>1.0596951360811557</x:v>
      </x:c>
      <x:c r="H1108" s="32" t="n">
        <x:v>520827.3750739263</x:v>
      </x:c>
      <x:c r="I1108" s="50" t="b">
        <x:v>1</x:v>
      </x:c>
      <x:c r="J1108" s="50" t="b">
        <x:v>0</x:v>
      </x:c>
      <x:c r="K1108" s="31"/>
      <x:c r="L1108" s="31"/>
    </x:row>
    <x:row r="1109">
      <x:c r="A1109" s="31"/>
      <x:c r="B1109" s="31"/>
      <x:c r="C1109" s="31"/>
      <x:c r="D1109" s="31" t="n">
        <x:v>1105</x:v>
      </x:c>
      <x:c r="E1109" s="42" t="n">
        <x:v>0.01013948229192857</x:v>
      </x:c>
      <x:c r="F1109" s="42" t="n">
        <x:v>0.004352814066681593</x:v>
      </x:c>
      <x:c r="G1109" s="43" t="n">
        <x:v>1.023257763242263</x:v>
      </x:c>
      <x:c r="H1109" s="32" t="n">
        <x:v>795601.3214454246</x:v>
      </x:c>
      <x:c r="I1109" s="50" t="b">
        <x:v>1</x:v>
      </x:c>
      <x:c r="J1109" s="50" t="b">
        <x:v>0</x:v>
      </x:c>
      <x:c r="K1109" s="31"/>
      <x:c r="L1109" s="31"/>
    </x:row>
    <x:row r="1110">
      <x:c r="A1110" s="31"/>
      <x:c r="B1110" s="31"/>
      <x:c r="C1110" s="31"/>
      <x:c r="D1110" s="31" t="n">
        <x:v>1106</x:v>
      </x:c>
      <x:c r="E1110" s="42" t="n">
        <x:v>-0.013977835844347915</x:v>
      </x:c>
      <x:c r="F1110" s="42" t="n">
        <x:v>0.007870251406789755</x:v>
      </x:c>
      <x:c r="G1110" s="43" t="n">
        <x:v>0.9664049306488471</x:v>
      </x:c>
      <x:c r="H1110" s="32" t="n">
        <x:v>1079735.1187787957</x:v>
      </x:c>
      <x:c r="I1110" s="50" t="b">
        <x:v>0</x:v>
      </x:c>
      <x:c r="J1110" s="50" t="b">
        <x:v>0</x:v>
      </x:c>
      <x:c r="K1110" s="31"/>
      <x:c r="L1110" s="31"/>
    </x:row>
    <x:row r="1111">
      <x:c r="A1111" s="31"/>
      <x:c r="B1111" s="31"/>
      <x:c r="C1111" s="31"/>
      <x:c r="D1111" s="31" t="n">
        <x:v>1107</x:v>
      </x:c>
      <x:c r="E1111" s="42" t="n">
        <x:v>0.00023416041282205876</x:v>
      </x:c>
      <x:c r="F1111" s="42" t="n">
        <x:v>0.0044827046617296785</x:v>
      </x:c>
      <x:c r="G1111" s="43" t="n">
        <x:v>0.8819583849327768</x:v>
      </x:c>
      <x:c r="H1111" s="32" t="n">
        <x:v>1665019.2095888113</x:v>
      </x:c>
      <x:c r="I1111" s="50" t="b">
        <x:v>0</x:v>
      </x:c>
      <x:c r="J1111" s="50" t="b">
        <x:v>0</x:v>
      </x:c>
      <x:c r="K1111" s="31"/>
      <x:c r="L1111" s="31"/>
    </x:row>
    <x:row r="1112">
      <x:c r="A1112" s="31"/>
      <x:c r="B1112" s="31"/>
      <x:c r="C1112" s="31"/>
      <x:c r="D1112" s="31" t="n">
        <x:v>1108</x:v>
      </x:c>
      <x:c r="E1112" s="42" t="n">
        <x:v>-0.016324255684343057</x:v>
      </x:c>
      <x:c r="F1112" s="42" t="n">
        <x:v>0.012127968776496412</x:v>
      </x:c>
      <x:c r="G1112" s="43" t="n">
        <x:v>0.9881102301228897</x:v>
      </x:c>
      <x:c r="H1112" s="32" t="n">
        <x:v>923508.3324945809</x:v>
      </x:c>
      <x:c r="I1112" s="50" t="b">
        <x:v>1</x:v>
      </x:c>
      <x:c r="J1112" s="50" t="b">
        <x:v>0</x:v>
      </x:c>
      <x:c r="K1112" s="31"/>
      <x:c r="L1112" s="31"/>
    </x:row>
    <x:row r="1113">
      <x:c r="A1113" s="31"/>
      <x:c r="B1113" s="31"/>
      <x:c r="C1113" s="31"/>
      <x:c r="D1113" s="31" t="n">
        <x:v>1109</x:v>
      </x:c>
      <x:c r="E1113" s="42" t="n">
        <x:v>-0.0003613323248194149</x:v>
      </x:c>
      <x:c r="F1113" s="42" t="n">
        <x:v>-0.01007118272106616</x:v>
      </x:c>
      <x:c r="G1113" s="43" t="n">
        <x:v>0.9566896714436985</x:v>
      </x:c>
      <x:c r="H1113" s="32" t="n">
        <x:v>1229276.1143203734</x:v>
      </x:c>
      <x:c r="I1113" s="50" t="b">
        <x:v>0</x:v>
      </x:c>
      <x:c r="J1113" s="50" t="b">
        <x:v>0</x:v>
      </x:c>
      <x:c r="K1113" s="31"/>
      <x:c r="L1113" s="31"/>
    </x:row>
    <x:row r="1114">
      <x:c r="A1114" s="31"/>
      <x:c r="B1114" s="31"/>
      <x:c r="C1114" s="31"/>
      <x:c r="D1114" s="31" t="n">
        <x:v>1110</x:v>
      </x:c>
      <x:c r="E1114" s="42" t="n">
        <x:v>-0.0017166739610101408</x:v>
      </x:c>
      <x:c r="F1114" s="42" t="n">
        <x:v>0.0036832466512256427</x:v>
      </x:c>
      <x:c r="G1114" s="43" t="n">
        <x:v>1.007771812062994</x:v>
      </x:c>
      <x:c r="H1114" s="32" t="n">
        <x:v>862809.9610305298</x:v>
      </x:c>
      <x:c r="I1114" s="50" t="b">
        <x:v>1</x:v>
      </x:c>
      <x:c r="J1114" s="50" t="b">
        <x:v>0</x:v>
      </x:c>
      <x:c r="K1114" s="31"/>
      <x:c r="L1114" s="31"/>
    </x:row>
    <x:row r="1115">
      <x:c r="A1115" s="31"/>
      <x:c r="B1115" s="31"/>
      <x:c r="C1115" s="31"/>
      <x:c r="D1115" s="31" t="n">
        <x:v>1111</x:v>
      </x:c>
      <x:c r="E1115" s="42" t="n">
        <x:v>-0.009392856034133265</x:v>
      </x:c>
      <x:c r="F1115" s="42" t="n">
        <x:v>0.004299961178368871</x:v>
      </x:c>
      <x:c r="G1115" s="43" t="n">
        <x:v>1.0840368868224546</x:v>
      </x:c>
      <x:c r="H1115" s="32" t="n">
        <x:v>355389.26169992564</x:v>
      </x:c>
      <x:c r="I1115" s="50" t="b">
        <x:v>1</x:v>
      </x:c>
      <x:c r="J1115" s="50" t="b">
        <x:v>0</x:v>
      </x:c>
      <x:c r="K1115" s="31"/>
      <x:c r="L1115" s="31"/>
    </x:row>
    <x:row r="1116">
      <x:c r="A1116" s="31"/>
      <x:c r="B1116" s="31"/>
      <x:c r="C1116" s="31"/>
      <x:c r="D1116" s="31" t="n">
        <x:v>1112</x:v>
      </x:c>
      <x:c r="E1116" s="42" t="n">
        <x:v>-0.014534019597766195</x:v>
      </x:c>
      <x:c r="F1116" s="42" t="n">
        <x:v>0.007234655876831956</x:v>
      </x:c>
      <x:c r="G1116" s="43" t="n">
        <x:v>1.0626313755226289</x:v>
      </x:c>
      <x:c r="H1116" s="32" t="n">
        <x:v>468850.0879617487</x:v>
      </x:c>
      <x:c r="I1116" s="50" t="b">
        <x:v>1</x:v>
      </x:c>
      <x:c r="J1116" s="50" t="b">
        <x:v>0</x:v>
      </x:c>
      <x:c r="K1116" s="31"/>
      <x:c r="L1116" s="31"/>
    </x:row>
    <x:row r="1117">
      <x:c r="A1117" s="31"/>
      <x:c r="B1117" s="31"/>
      <x:c r="C1117" s="31"/>
      <x:c r="D1117" s="31" t="n">
        <x:v>1113</x:v>
      </x:c>
      <x:c r="E1117" s="42" t="n">
        <x:v>0.00007174449761358628</x:v>
      </x:c>
      <x:c r="F1117" s="42" t="n">
        <x:v>-0.003979173078827382</x:v>
      </x:c>
      <x:c r="G1117" s="43" t="n">
        <x:v>0.9837656911240915</x:v>
      </x:c>
      <x:c r="H1117" s="32" t="n">
        <x:v>1041572.4483998267</x:v>
      </x:c>
      <x:c r="I1117" s="50" t="b">
        <x:v>0</x:v>
      </x:c>
      <x:c r="J1117" s="50" t="b">
        <x:v>0</x:v>
      </x:c>
      <x:c r="K1117" s="31"/>
      <x:c r="L1117" s="31"/>
    </x:row>
    <x:row r="1118">
      <x:c r="A1118" s="31"/>
      <x:c r="B1118" s="31"/>
      <x:c r="C1118" s="31"/>
      <x:c r="D1118" s="31" t="n">
        <x:v>1114</x:v>
      </x:c>
      <x:c r="E1118" s="42" t="n">
        <x:v>0.002608516431333915</x:v>
      </x:c>
      <x:c r="F1118" s="42" t="n">
        <x:v>-0.007089505813158745</x:v>
      </x:c>
      <x:c r="G1118" s="43" t="n">
        <x:v>1.0036604680614953</x:v>
      </x:c>
      <x:c r="H1118" s="32" t="n">
        <x:v>930945.3658188715</x:v>
      </x:c>
      <x:c r="I1118" s="50" t="b">
        <x:v>1</x:v>
      </x:c>
      <x:c r="J1118" s="50" t="b">
        <x:v>0</x:v>
      </x:c>
      <x:c r="K1118" s="31"/>
      <x:c r="L1118" s="31"/>
    </x:row>
    <x:row r="1119">
      <x:c r="A1119" s="31"/>
      <x:c r="B1119" s="31"/>
      <x:c r="C1119" s="31"/>
      <x:c r="D1119" s="31" t="n">
        <x:v>1115</x:v>
      </x:c>
      <x:c r="E1119" s="42" t="n">
        <x:v>0.000253608080036438</x:v>
      </x:c>
      <x:c r="F1119" s="42" t="n">
        <x:v>-0.005587317087026629</x:v>
      </x:c>
      <x:c r="G1119" s="43" t="n">
        <x:v>0.9668880624860317</x:v>
      </x:c>
      <x:c r="H1119" s="32" t="n">
        <x:v>1153739.8692752067</x:v>
      </x:c>
      <x:c r="I1119" s="50" t="b">
        <x:v>0</x:v>
      </x:c>
      <x:c r="J1119" s="50" t="b">
        <x:v>0</x:v>
      </x:c>
      <x:c r="K1119" s="31"/>
      <x:c r="L1119" s="31"/>
    </x:row>
    <x:row r="1120">
      <x:c r="A1120" s="31"/>
      <x:c r="B1120" s="31"/>
      <x:c r="C1120" s="31"/>
      <x:c r="D1120" s="31" t="n">
        <x:v>1116</x:v>
      </x:c>
      <x:c r="E1120" s="42" t="n">
        <x:v>-0.006124237034596052</x:v>
      </x:c>
      <x:c r="F1120" s="42" t="n">
        <x:v>0.009084290671575311</x:v>
      </x:c>
      <x:c r="G1120" s="43" t="n">
        <x:v>1.0454033413251929</x:v>
      </x:c>
      <x:c r="H1120" s="32" t="n">
        <x:v>596520.6232278561</x:v>
      </x:c>
      <x:c r="I1120" s="50" t="b">
        <x:v>1</x:v>
      </x:c>
      <x:c r="J1120" s="50" t="b">
        <x:v>0</x:v>
      </x:c>
      <x:c r="K1120" s="31"/>
      <x:c r="L1120" s="31"/>
    </x:row>
    <x:row r="1121">
      <x:c r="A1121" s="31"/>
      <x:c r="B1121" s="31"/>
      <x:c r="C1121" s="31"/>
      <x:c r="D1121" s="31" t="n">
        <x:v>1117</x:v>
      </x:c>
      <x:c r="E1121" s="42" t="n">
        <x:v>0.000909251685594788</x:v>
      </x:c>
      <x:c r="F1121" s="42" t="n">
        <x:v>0.0013139034482285584</x:v>
      </x:c>
      <x:c r="G1121" s="43" t="n">
        <x:v>1.0107216444253706</x:v>
      </x:c>
      <x:c r="H1121" s="32" t="n">
        <x:v>857980.8779438671</x:v>
      </x:c>
      <x:c r="I1121" s="50" t="b">
        <x:v>1</x:v>
      </x:c>
      <x:c r="J1121" s="50" t="b">
        <x:v>0</x:v>
      </x:c>
      <x:c r="K1121" s="31"/>
      <x:c r="L1121" s="31"/>
    </x:row>
    <x:row r="1122">
      <x:c r="A1122" s="31"/>
      <x:c r="B1122" s="31"/>
      <x:c r="C1122" s="31"/>
      <x:c r="D1122" s="31" t="n">
        <x:v>1118</x:v>
      </x:c>
      <x:c r="E1122" s="42" t="n">
        <x:v>-0.013062951889126288</x:v>
      </x:c>
      <x:c r="F1122" s="42" t="n">
        <x:v>-0.005874102991249268</x:v>
      </x:c>
      <x:c r="G1122" s="43" t="n">
        <x:v>0.9151023583630845</x:v>
      </x:c>
      <x:c r="H1122" s="32" t="n">
        <x:v>1446347.101634217</x:v>
      </x:c>
      <x:c r="I1122" s="50" t="b">
        <x:v>0</x:v>
      </x:c>
      <x:c r="J1122" s="50" t="b">
        <x:v>0</x:v>
      </x:c>
      <x:c r="K1122" s="31"/>
      <x:c r="L1122" s="31"/>
    </x:row>
    <x:row r="1123">
      <x:c r="A1123" s="31"/>
      <x:c r="B1123" s="31"/>
      <x:c r="C1123" s="31"/>
      <x:c r="D1123" s="31" t="n">
        <x:v>1119</x:v>
      </x:c>
      <x:c r="E1123" s="42" t="n">
        <x:v>-0.0005981443940609113</x:v>
      </x:c>
      <x:c r="F1123" s="42" t="n">
        <x:v>-0.009610700376233515</x:v>
      </x:c>
      <x:c r="G1123" s="43" t="n">
        <x:v>0.9463507428518196</x:v>
      </x:c>
      <x:c r="H1123" s="32" t="n">
        <x:v>1292994.6987444435</x:v>
      </x:c>
      <x:c r="I1123" s="50" t="b">
        <x:v>0</x:v>
      </x:c>
      <x:c r="J1123" s="50" t="b">
        <x:v>0</x:v>
      </x:c>
      <x:c r="K1123" s="31"/>
      <x:c r="L1123" s="31"/>
    </x:row>
    <x:row r="1124">
      <x:c r="A1124" s="31"/>
      <x:c r="B1124" s="31"/>
      <x:c r="C1124" s="31"/>
      <x:c r="D1124" s="31" t="n">
        <x:v>1120</x:v>
      </x:c>
      <x:c r="E1124" s="42" t="n">
        <x:v>0.006690726128890905</x:v>
      </x:c>
      <x:c r="F1124" s="42" t="n">
        <x:v>0.0016520319473121666</x:v>
      </x:c>
      <x:c r="G1124" s="43" t="n">
        <x:v>0.8949297689480791</x:v>
      </x:c>
      <x:c r="H1124" s="32" t="n">
        <x:v>1608492.9684234445</x:v>
      </x:c>
      <x:c r="I1124" s="50" t="b">
        <x:v>0</x:v>
      </x:c>
      <x:c r="J1124" s="50" t="b">
        <x:v>0</x:v>
      </x:c>
      <x:c r="K1124" s="31"/>
      <x:c r="L1124" s="31"/>
    </x:row>
    <x:row r="1125">
      <x:c r="A1125" s="31"/>
      <x:c r="B1125" s="31"/>
      <x:c r="C1125" s="31"/>
      <x:c r="D1125" s="31" t="n">
        <x:v>1121</x:v>
      </x:c>
      <x:c r="E1125" s="42" t="n">
        <x:v>0.0037527661458809963</x:v>
      </x:c>
      <x:c r="F1125" s="42" t="n">
        <x:v>0.004169559709206492</x:v>
      </x:c>
      <x:c r="G1125" s="43" t="n">
        <x:v>0.9799376528954837</x:v>
      </x:c>
      <x:c r="H1125" s="32" t="n">
        <x:v>1053447.2292868164</x:v>
      </x:c>
      <x:c r="I1125" s="50" t="b">
        <x:v>0</x:v>
      </x:c>
      <x:c r="J1125" s="50" t="b">
        <x:v>0</x:v>
      </x:c>
      <x:c r="K1125" s="31"/>
      <x:c r="L1125" s="31"/>
    </x:row>
    <x:row r="1126">
      <x:c r="A1126" s="31"/>
      <x:c r="B1126" s="31"/>
      <x:c r="C1126" s="31"/>
      <x:c r="D1126" s="31" t="n">
        <x:v>1122</x:v>
      </x:c>
      <x:c r="E1126" s="42" t="n">
        <x:v>0.01741003896006877</x:v>
      </x:c>
      <x:c r="F1126" s="42" t="n">
        <x:v>-0.0016869910243665206</x:v>
      </x:c>
      <x:c r="G1126" s="43" t="n">
        <x:v>1.033288957727389</x:v>
      </x:c>
      <x:c r="H1126" s="32" t="n">
        <x:v>768945.8190860206</x:v>
      </x:c>
      <x:c r="I1126" s="50" t="b">
        <x:v>1</x:v>
      </x:c>
      <x:c r="J1126" s="50" t="b">
        <x:v>0</x:v>
      </x:c>
      <x:c r="K1126" s="31"/>
      <x:c r="L1126" s="31"/>
    </x:row>
    <x:row r="1127">
      <x:c r="A1127" s="31"/>
      <x:c r="B1127" s="31"/>
      <x:c r="C1127" s="31"/>
      <x:c r="D1127" s="31" t="n">
        <x:v>1123</x:v>
      </x:c>
      <x:c r="E1127" s="42" t="n">
        <x:v>-0.004450185638379631</x:v>
      </x:c>
      <x:c r="F1127" s="42" t="n">
        <x:v>0.0017473173308688462</x:v>
      </x:c>
      <x:c r="G1127" s="43" t="n">
        <x:v>1.0305392169787773</x:v>
      </x:c>
      <x:c r="H1127" s="32" t="n">
        <x:v>716000.7271204962</x:v>
      </x:c>
      <x:c r="I1127" s="50" t="b">
        <x:v>1</x:v>
      </x:c>
      <x:c r="J1127" s="50" t="b">
        <x:v>0</x:v>
      </x:c>
      <x:c r="K1127" s="31"/>
      <x:c r="L1127" s="31"/>
    </x:row>
    <x:row r="1128">
      <x:c r="A1128" s="31"/>
      <x:c r="B1128" s="31"/>
      <x:c r="C1128" s="31"/>
      <x:c r="D1128" s="31" t="n">
        <x:v>1124</x:v>
      </x:c>
      <x:c r="E1128" s="42" t="n">
        <x:v>0.01450004521037207</x:v>
      </x:c>
      <x:c r="F1128" s="42" t="n">
        <x:v>0.003755788731299413</x:v>
      </x:c>
      <x:c r="G1128" s="43" t="n">
        <x:v>0.9938926086944898</x:v>
      </x:c>
      <x:c r="H1128" s="32" t="n">
        <x:v>995890.4068586926</x:v>
      </x:c>
      <x:c r="I1128" s="50" t="b">
        <x:v>1</x:v>
      </x:c>
      <x:c r="J1128" s="50" t="b">
        <x:v>0</x:v>
      </x:c>
      <x:c r="K1128" s="31"/>
      <x:c r="L1128" s="31"/>
    </x:row>
    <x:row r="1129">
      <x:c r="A1129" s="31"/>
      <x:c r="B1129" s="31"/>
      <x:c r="C1129" s="31"/>
      <x:c r="D1129" s="31" t="n">
        <x:v>1125</x:v>
      </x:c>
      <x:c r="E1129" s="42" t="n">
        <x:v>0.003384881550378219</x:v>
      </x:c>
      <x:c r="F1129" s="42" t="n">
        <x:v>-0.002083582078941358</x:v>
      </x:c>
      <x:c r="G1129" s="43" t="n">
        <x:v>0.984181756074509</x:v>
      </x:c>
      <x:c r="H1129" s="32" t="n">
        <x:v>1042875.9121556308</x:v>
      </x:c>
      <x:c r="I1129" s="50" t="b">
        <x:v>0</x:v>
      </x:c>
      <x:c r="J1129" s="50" t="b">
        <x:v>0</x:v>
      </x:c>
      <x:c r="K1129" s="31"/>
      <x:c r="L1129" s="31"/>
    </x:row>
    <x:row r="1130">
      <x:c r="A1130" s="31"/>
      <x:c r="B1130" s="31"/>
      <x:c r="C1130" s="31"/>
      <x:c r="D1130" s="31" t="n">
        <x:v>1126</x:v>
      </x:c>
      <x:c r="E1130" s="42" t="n">
        <x:v>-0.006242904961857596</x:v>
      </x:c>
      <x:c r="F1130" s="42" t="n">
        <x:v>0.0009417833727871254</x:v>
      </x:c>
      <x:c r="G1130" s="43" t="n">
        <x:v>0.9451349737191869</x:v>
      </x:c>
      <x:c r="H1130" s="32" t="n">
        <x:v>1255630.3051894214</x:v>
      </x:c>
      <x:c r="I1130" s="50" t="b">
        <x:v>0</x:v>
      </x:c>
      <x:c r="J1130" s="50" t="b">
        <x:v>0</x:v>
      </x:c>
      <x:c r="K1130" s="31"/>
      <x:c r="L1130" s="31"/>
    </x:row>
    <x:row r="1131">
      <x:c r="A1131" s="31"/>
      <x:c r="B1131" s="31"/>
      <x:c r="C1131" s="31"/>
      <x:c r="D1131" s="31" t="n">
        <x:v>1127</x:v>
      </x:c>
      <x:c r="E1131" s="42" t="n">
        <x:v>-0.012690903827812941</x:v>
      </x:c>
      <x:c r="F1131" s="42" t="n">
        <x:v>0.009426032434214441</x:v>
      </x:c>
      <x:c r="G1131" s="43" t="n">
        <x:v>1.0585987948124318</x:v>
      </x:c>
      <x:c r="H1131" s="32" t="n">
        <x:v>493490.4398385304</x:v>
      </x:c>
      <x:c r="I1131" s="50" t="b">
        <x:v>1</x:v>
      </x:c>
      <x:c r="J1131" s="50" t="b">
        <x:v>0</x:v>
      </x:c>
      <x:c r="K1131" s="31"/>
      <x:c r="L1131" s="31"/>
    </x:row>
    <x:row r="1132">
      <x:c r="A1132" s="31"/>
      <x:c r="B1132" s="31"/>
      <x:c r="C1132" s="31"/>
      <x:c r="D1132" s="31" t="n">
        <x:v>1128</x:v>
      </x:c>
      <x:c r="E1132" s="42" t="n">
        <x:v>0.0038826351070668057</x:v>
      </x:c>
      <x:c r="F1132" s="42" t="n">
        <x:v>-0.008195948993977633</x:v>
      </x:c>
      <x:c r="G1132" s="43" t="n">
        <x:v>1.0681396413230384</x:v>
      </x:c>
      <x:c r="H1132" s="32" t="n">
        <x:v>528083.2963172623</x:v>
      </x:c>
      <x:c r="I1132" s="50" t="b">
        <x:v>1</x:v>
      </x:c>
      <x:c r="J1132" s="50" t="b">
        <x:v>0</x:v>
      </x:c>
      <x:c r="K1132" s="31"/>
      <x:c r="L1132" s="31"/>
    </x:row>
    <x:row r="1133">
      <x:c r="A1133" s="31"/>
      <x:c r="B1133" s="31"/>
      <x:c r="C1133" s="31"/>
      <x:c r="D1133" s="31" t="n">
        <x:v>1129</x:v>
      </x:c>
      <x:c r="E1133" s="42" t="n">
        <x:v>-0.00417642958729326</x:v>
      </x:c>
      <x:c r="F1133" s="42" t="n">
        <x:v>-0.004458264741116807</x:v>
      </x:c>
      <x:c r="G1133" s="43" t="n">
        <x:v>0.9739131673176868</x:v>
      </x:c>
      <x:c r="H1133" s="32" t="n">
        <x:v>1093651.6279383213</x:v>
      </x:c>
      <x:c r="I1133" s="50" t="b">
        <x:v>0</x:v>
      </x:c>
      <x:c r="J1133" s="50" t="b">
        <x:v>0</x:v>
      </x:c>
      <x:c r="K1133" s="31"/>
      <x:c r="L1133" s="31"/>
    </x:row>
    <x:row r="1134">
      <x:c r="A1134" s="31"/>
      <x:c r="B1134" s="31"/>
      <x:c r="C1134" s="31"/>
      <x:c r="D1134" s="31" t="n">
        <x:v>1130</x:v>
      </x:c>
      <x:c r="E1134" s="42" t="n">
        <x:v>-0.003263421229525299</x:v>
      </x:c>
      <x:c r="F1134" s="42" t="n">
        <x:v>0.0032993885101709423</x:v>
      </x:c>
      <x:c r="G1134" s="43" t="n">
        <x:v>1.0500384908583087</x:v>
      </x:c>
      <x:c r="H1134" s="32" t="n">
        <x:v>591149.6885513116</x:v>
      </x:c>
      <x:c r="I1134" s="50" t="b">
        <x:v>1</x:v>
      </x:c>
      <x:c r="J1134" s="50" t="b">
        <x:v>0</x:v>
      </x:c>
      <x:c r="K1134" s="31"/>
      <x:c r="L1134" s="31"/>
    </x:row>
    <x:row r="1135">
      <x:c r="A1135" s="31"/>
      <x:c r="B1135" s="31"/>
      <x:c r="C1135" s="31"/>
      <x:c r="D1135" s="31" t="n">
        <x:v>1131</x:v>
      </x:c>
      <x:c r="E1135" s="42" t="n">
        <x:v>-0.011296880417002162</x:v>
      </x:c>
      <x:c r="F1135" s="42" t="n">
        <x:v>-0.003506410315907144</x:v>
      </x:c>
      <x:c r="G1135" s="43" t="n">
        <x:v>1.0722623615659936</x:v>
      </x:c>
      <x:c r="H1135" s="32" t="n">
        <x:v>446595.1501506425</x:v>
      </x:c>
      <x:c r="I1135" s="50" t="b">
        <x:v>1</x:v>
      </x:c>
      <x:c r="J1135" s="50" t="b">
        <x:v>0</x:v>
      </x:c>
      <x:c r="K1135" s="31"/>
      <x:c r="L1135" s="31"/>
    </x:row>
    <x:row r="1136">
      <x:c r="A1136" s="31"/>
      <x:c r="B1136" s="31"/>
      <x:c r="C1136" s="31"/>
      <x:c r="D1136" s="31" t="n">
        <x:v>1132</x:v>
      </x:c>
      <x:c r="E1136" s="42" t="n">
        <x:v>-0.005979875796656895</x:v>
      </x:c>
      <x:c r="F1136" s="42" t="n">
        <x:v>0.007788155887443607</x:v>
      </x:c>
      <x:c r="G1136" s="43" t="n">
        <x:v>0.9685092689516195</x:v>
      </x:c>
      <x:c r="H1136" s="32" t="n">
        <x:v>1088862.093980019</x:v>
      </x:c>
      <x:c r="I1136" s="50" t="b">
        <x:v>0</x:v>
      </x:c>
      <x:c r="J1136" s="50" t="b">
        <x:v>0</x:v>
      </x:c>
      <x:c r="K1136" s="31"/>
      <x:c r="L1136" s="31"/>
    </x:row>
    <x:row r="1137">
      <x:c r="A1137" s="31"/>
      <x:c r="B1137" s="31"/>
      <x:c r="C1137" s="31"/>
      <x:c r="D1137" s="31" t="n">
        <x:v>1133</x:v>
      </x:c>
      <x:c r="E1137" s="42" t="n">
        <x:v>-0.014477917161975785</x:v>
      </x:c>
      <x:c r="F1137" s="42" t="n">
        <x:v>-0.0016147527668764453</x:v>
      </x:c>
      <x:c r="G1137" s="43" t="n">
        <x:v>0.9371157019020309</x:v>
      </x:c>
      <x:c r="H1137" s="32" t="n">
        <x:v>1290752.1967197182</x:v>
      </x:c>
      <x:c r="I1137" s="50" t="b">
        <x:v>0</x:v>
      </x:c>
      <x:c r="J1137" s="50" t="b">
        <x:v>0</x:v>
      </x:c>
      <x:c r="K1137" s="31"/>
      <x:c r="L1137" s="31"/>
    </x:row>
    <x:row r="1138">
      <x:c r="A1138" s="31"/>
      <x:c r="B1138" s="31"/>
      <x:c r="C1138" s="31"/>
      <x:c r="D1138" s="31" t="n">
        <x:v>1134</x:v>
      </x:c>
      <x:c r="E1138" s="42" t="n">
        <x:v>-0.0005813792803713099</x:v>
      </x:c>
      <x:c r="F1138" s="42" t="n">
        <x:v>0.010618581513903873</x:v>
      </x:c>
      <x:c r="G1138" s="43" t="n">
        <x:v>1.0602700058075782</x:v>
      </x:c>
      <x:c r="H1138" s="32" t="n">
        <x:v>513264.70962405833</x:v>
      </x:c>
      <x:c r="I1138" s="50" t="b">
        <x:v>1</x:v>
      </x:c>
      <x:c r="J1138" s="50" t="b">
        <x:v>0</x:v>
      </x:c>
      <x:c r="K1138" s="31"/>
      <x:c r="L1138" s="31"/>
    </x:row>
    <x:row r="1139">
      <x:c r="A1139" s="31"/>
      <x:c r="B1139" s="31"/>
      <x:c r="C1139" s="31"/>
      <x:c r="D1139" s="31" t="n">
        <x:v>1135</x:v>
      </x:c>
      <x:c r="E1139" s="42" t="n">
        <x:v>-0.006813819028862158</x:v>
      </x:c>
      <x:c r="F1139" s="42" t="n">
        <x:v>0.011129137813937843</x:v>
      </x:c>
      <x:c r="G1139" s="43" t="n">
        <x:v>0.9593708112676673</x:v>
      </x:c>
      <x:c r="H1139" s="32" t="n">
        <x:v>1135276.7756670406</x:v>
      </x:c>
      <x:c r="I1139" s="50" t="b">
        <x:v>0</x:v>
      </x:c>
      <x:c r="J1139" s="50" t="b">
        <x:v>0</x:v>
      </x:c>
      <x:c r="K1139" s="31"/>
      <x:c r="L1139" s="31"/>
    </x:row>
    <x:row r="1140">
      <x:c r="A1140" s="31"/>
      <x:c r="B1140" s="31"/>
      <x:c r="C1140" s="31"/>
      <x:c r="D1140" s="31" t="n">
        <x:v>1136</x:v>
      </x:c>
      <x:c r="E1140" s="42" t="n">
        <x:v>-0.0026682843824205704</x:v>
      </x:c>
      <x:c r="F1140" s="42" t="n">
        <x:v>0.0009757602299181337</x:v>
      </x:c>
      <x:c r="G1140" s="43" t="n">
        <x:v>1.1129667816264697</x:v>
      </x:c>
      <x:c r="H1140" s="32" t="n">
        <x:v>199634.9219961171</x:v>
      </x:c>
      <x:c r="I1140" s="50" t="b">
        <x:v>1</x:v>
      </x:c>
      <x:c r="J1140" s="50" t="b">
        <x:v>0</x:v>
      </x:c>
      <x:c r="K1140" s="31"/>
      <x:c r="L1140" s="31"/>
    </x:row>
    <x:row r="1141">
      <x:c r="A1141" s="31"/>
      <x:c r="B1141" s="31"/>
      <x:c r="C1141" s="31"/>
      <x:c r="D1141" s="31" t="n">
        <x:v>1137</x:v>
      </x:c>
      <x:c r="E1141" s="42" t="n">
        <x:v>0.00015357203632949143</x:v>
      </x:c>
      <x:c r="F1141" s="42" t="n">
        <x:v>-0.0009175294848458864</x:v>
      </x:c>
      <x:c r="G1141" s="43" t="n">
        <x:v>1.0250959957534342</x:v>
      </x:c>
      <x:c r="H1141" s="32" t="n">
        <x:v>770801.358663208</x:v>
      </x:c>
      <x:c r="I1141" s="50" t="b">
        <x:v>1</x:v>
      </x:c>
      <x:c r="J1141" s="50" t="b">
        <x:v>0</x:v>
      </x:c>
      <x:c r="K1141" s="31"/>
      <x:c r="L1141" s="31"/>
    </x:row>
    <x:row r="1142">
      <x:c r="A1142" s="31"/>
      <x:c r="B1142" s="31"/>
      <x:c r="C1142" s="31"/>
      <x:c r="D1142" s="31" t="n">
        <x:v>1138</x:v>
      </x:c>
      <x:c r="E1142" s="42" t="n">
        <x:v>0.007781787182313054</x:v>
      </x:c>
      <x:c r="F1142" s="42" t="n">
        <x:v>-0.007186164118657026</x:v>
      </x:c>
      <x:c r="G1142" s="43" t="n">
        <x:v>1.0399027508455012</x:v>
      </x:c>
      <x:c r="H1142" s="32" t="n">
        <x:v>715450.1666673532</x:v>
      </x:c>
      <x:c r="I1142" s="50" t="b">
        <x:v>1</x:v>
      </x:c>
      <x:c r="J1142" s="50" t="b">
        <x:v>0</x:v>
      </x:c>
      <x:c r="K1142" s="31"/>
      <x:c r="L1142" s="31"/>
    </x:row>
    <x:row r="1143">
      <x:c r="A1143" s="31"/>
      <x:c r="B1143" s="31"/>
      <x:c r="C1143" s="31"/>
      <x:c r="D1143" s="31" t="n">
        <x:v>1139</x:v>
      </x:c>
      <x:c r="E1143" s="42" t="n">
        <x:v>-0.009670726895707237</x:v>
      </x:c>
      <x:c r="F1143" s="42" t="n">
        <x:v>-0.00265687045129087</x:v>
      </x:c>
      <x:c r="G1143" s="43" t="n">
        <x:v>0.9971535098647689</x:v>
      </x:c>
      <x:c r="H1143" s="32" t="n">
        <x:v>925751.2740093537</x:v>
      </x:c>
      <x:c r="I1143" s="50" t="b">
        <x:v>1</x:v>
      </x:c>
      <x:c r="J1143" s="50" t="b">
        <x:v>0</x:v>
      </x:c>
      <x:c r="K1143" s="31"/>
      <x:c r="L1143" s="31"/>
    </x:row>
    <x:row r="1144">
      <x:c r="A1144" s="31"/>
      <x:c r="B1144" s="31"/>
      <x:c r="C1144" s="31"/>
      <x:c r="D1144" s="31" t="n">
        <x:v>1140</x:v>
      </x:c>
      <x:c r="E1144" s="42" t="n">
        <x:v>0.0043234578121682165</x:v>
      </x:c>
      <x:c r="F1144" s="42" t="n">
        <x:v>-0.006512512325144927</x:v>
      </x:c>
      <x:c r="G1144" s="43" t="n">
        <x:v>0.9792735375600954</x:v>
      </x:c>
      <x:c r="H1144" s="32" t="n">
        <x:v>1088987.1492052963</x:v>
      </x:c>
      <x:c r="I1144" s="50" t="b">
        <x:v>0</x:v>
      </x:c>
      <x:c r="J1144" s="50" t="b">
        <x:v>0</x:v>
      </x:c>
      <x:c r="K1144" s="31"/>
      <x:c r="L1144" s="31"/>
    </x:row>
    <x:row r="1145">
      <x:c r="A1145" s="31"/>
      <x:c r="B1145" s="31"/>
      <x:c r="C1145" s="31"/>
      <x:c r="D1145" s="31" t="n">
        <x:v>1141</x:v>
      </x:c>
      <x:c r="E1145" s="42" t="n">
        <x:v>0.0035412398129267713</x:v>
      </x:c>
      <x:c r="F1145" s="42" t="n">
        <x:v>0.0033975382597429674</x:v>
      </x:c>
      <x:c r="G1145" s="43" t="n">
        <x:v>1.0801044905539843</x:v>
      </x:c>
      <x:c r="H1145" s="32" t="n">
        <x:v>418877.0197290785</x:v>
      </x:c>
      <x:c r="I1145" s="50" t="b">
        <x:v>1</x:v>
      </x:c>
      <x:c r="J1145" s="50" t="b">
        <x:v>0</x:v>
      </x:c>
      <x:c r="K1145" s="31"/>
      <x:c r="L1145" s="31"/>
    </x:row>
    <x:row r="1146">
      <x:c r="A1146" s="31"/>
      <x:c r="B1146" s="31"/>
      <x:c r="C1146" s="31"/>
      <x:c r="D1146" s="31" t="n">
        <x:v>1142</x:v>
      </x:c>
      <x:c r="E1146" s="42" t="n">
        <x:v>0.001036255266231461</x:v>
      </x:c>
      <x:c r="F1146" s="42" t="n">
        <x:v>0.001902104174350058</x:v>
      </x:c>
      <x:c r="G1146" s="43" t="n">
        <x:v>1.0391508798063132</x:v>
      </x:c>
      <x:c r="H1146" s="32" t="n">
        <x:v>676151.3464032054</x:v>
      </x:c>
      <x:c r="I1146" s="50" t="b">
        <x:v>1</x:v>
      </x:c>
      <x:c r="J1146" s="50" t="b">
        <x:v>0</x:v>
      </x:c>
      <x:c r="K1146" s="31"/>
      <x:c r="L1146" s="31"/>
    </x:row>
    <x:row r="1147">
      <x:c r="A1147" s="31"/>
      <x:c r="B1147" s="31"/>
      <x:c r="C1147" s="31"/>
      <x:c r="D1147" s="31" t="n">
        <x:v>1143</x:v>
      </x:c>
      <x:c r="E1147" s="42" t="n">
        <x:v>-0.017856414837861805</x:v>
      </x:c>
      <x:c r="F1147" s="42" t="n">
        <x:v>0.001967497821778642</x:v>
      </x:c>
      <x:c r="G1147" s="43" t="n">
        <x:v>1.0328133868033702</x:v>
      </x:c>
      <x:c r="H1147" s="32" t="n">
        <x:v>663628.72468159</x:v>
      </x:c>
      <x:c r="I1147" s="50" t="b">
        <x:v>1</x:v>
      </x:c>
      <x:c r="J1147" s="50" t="b">
        <x:v>0</x:v>
      </x:c>
      <x:c r="K1147" s="31"/>
      <x:c r="L1147" s="31"/>
    </x:row>
    <x:row r="1148">
      <x:c r="A1148" s="31"/>
      <x:c r="B1148" s="31"/>
      <x:c r="C1148" s="31"/>
      <x:c r="D1148" s="31" t="n">
        <x:v>1144</x:v>
      </x:c>
      <x:c r="E1148" s="42" t="n">
        <x:v>0.009173339164899163</x:v>
      </x:c>
      <x:c r="F1148" s="42" t="n">
        <x:v>0.006345858030664833</x:v>
      </x:c>
      <x:c r="G1148" s="43" t="n">
        <x:v>1.0568420823250984</x:v>
      </x:c>
      <x:c r="H1148" s="32" t="n">
        <x:v>574080.1470359655</x:v>
      </x:c>
      <x:c r="I1148" s="50" t="b">
        <x:v>1</x:v>
      </x:c>
      <x:c r="J1148" s="50" t="b">
        <x:v>0</x:v>
      </x:c>
      <x:c r="K1148" s="31"/>
      <x:c r="L1148" s="31"/>
    </x:row>
    <x:row r="1149">
      <x:c r="A1149" s="31"/>
      <x:c r="B1149" s="31"/>
      <x:c r="C1149" s="31"/>
      <x:c r="D1149" s="31" t="n">
        <x:v>1145</x:v>
      </x:c>
      <x:c r="E1149" s="42" t="n">
        <x:v>0.014202977170122342</x:v>
      </x:c>
      <x:c r="F1149" s="42" t="n">
        <x:v>-0.005610964576756895</x:v>
      </x:c>
      <x:c r="G1149" s="43" t="n">
        <x:v>0.9799616484855918</x:v>
      </x:c>
      <x:c r="H1149" s="32" t="n">
        <x:v>1109607.540472681</x:v>
      </x:c>
      <x:c r="I1149" s="50" t="b">
        <x:v>0</x:v>
      </x:c>
      <x:c r="J1149" s="50" t="b">
        <x:v>0</x:v>
      </x:c>
      <x:c r="K1149" s="31"/>
      <x:c r="L1149" s="31"/>
    </x:row>
    <x:row r="1150">
      <x:c r="A1150" s="31"/>
      <x:c r="B1150" s="31"/>
      <x:c r="C1150" s="31"/>
      <x:c r="D1150" s="31" t="n">
        <x:v>1146</x:v>
      </x:c>
      <x:c r="E1150" s="42" t="n">
        <x:v>-0.014415899390746383</x:v>
      </x:c>
      <x:c r="F1150" s="42" t="n">
        <x:v>0.0027849748276959113</x:v>
      </x:c>
      <x:c r="G1150" s="43" t="n">
        <x:v>1.055198398724214</x:v>
      </x:c>
      <x:c r="H1150" s="32" t="n">
        <x:v>528769.3309255121</x:v>
      </x:c>
      <x:c r="I1150" s="50" t="b">
        <x:v>1</x:v>
      </x:c>
      <x:c r="J1150" s="50" t="b">
        <x:v>0</x:v>
      </x:c>
      <x:c r="K1150" s="31"/>
      <x:c r="L1150" s="31"/>
    </x:row>
    <x:row r="1151">
      <x:c r="A1151" s="31"/>
      <x:c r="B1151" s="31"/>
      <x:c r="C1151" s="31"/>
      <x:c r="D1151" s="31" t="n">
        <x:v>1147</x:v>
      </x:c>
      <x:c r="E1151" s="42" t="n">
        <x:v>0.00550689237151448</x:v>
      </x:c>
      <x:c r="F1151" s="42" t="n">
        <x:v>0.0030993654400947104</x:v>
      </x:c>
      <x:c r="G1151" s="43" t="n">
        <x:v>0.9155899001907707</x:v>
      </x:c>
      <x:c r="H1151" s="32" t="n">
        <x:v>1469962.5905748256</x:v>
      </x:c>
      <x:c r="I1151" s="50" t="b">
        <x:v>0</x:v>
      </x:c>
      <x:c r="J1151" s="50" t="b">
        <x:v>0</x:v>
      </x:c>
      <x:c r="K1151" s="31"/>
      <x:c r="L1151" s="31"/>
    </x:row>
    <x:row r="1152">
      <x:c r="A1152" s="31"/>
      <x:c r="B1152" s="31"/>
      <x:c r="C1152" s="31"/>
      <x:c r="D1152" s="31" t="n">
        <x:v>1148</x:v>
      </x:c>
      <x:c r="E1152" s="42" t="n">
        <x:v>0.019852932641046782</x:v>
      </x:c>
      <x:c r="F1152" s="42" t="n">
        <x:v>0.00048104842582397984</x:v>
      </x:c>
      <x:c r="G1152" s="43" t="n">
        <x:v>0.9859108830994595</x:v>
      </x:c>
      <x:c r="H1152" s="32" t="n">
        <x:v>1070595.2103190667</x:v>
      </x:c>
      <x:c r="I1152" s="50" t="b">
        <x:v>0</x:v>
      </x:c>
      <x:c r="J1152" s="50" t="b">
        <x:v>0</x:v>
      </x:c>
      <x:c r="K1152" s="31"/>
      <x:c r="L1152" s="31"/>
    </x:row>
    <x:row r="1153">
      <x:c r="A1153" s="31"/>
      <x:c r="B1153" s="31"/>
      <x:c r="C1153" s="31"/>
      <x:c r="D1153" s="31" t="n">
        <x:v>1149</x:v>
      </x:c>
      <x:c r="E1153" s="42" t="n">
        <x:v>0.0023250902186358843</x:v>
      </x:c>
      <x:c r="F1153" s="42" t="n">
        <x:v>0.001252183208580867</x:v>
      </x:c>
      <x:c r="G1153" s="43" t="n">
        <x:v>1.0316876196433107</x:v>
      </x:c>
      <x:c r="H1153" s="32" t="n">
        <x:v>728944.9042050422</x:v>
      </x:c>
      <x:c r="I1153" s="50" t="b">
        <x:v>1</x:v>
      </x:c>
      <x:c r="J1153" s="50" t="b">
        <x:v>0</x:v>
      </x:c>
      <x:c r="K1153" s="31"/>
      <x:c r="L1153" s="31"/>
    </x:row>
    <x:row r="1154">
      <x:c r="A1154" s="31"/>
      <x:c r="B1154" s="31"/>
      <x:c r="C1154" s="31"/>
      <x:c r="D1154" s="31" t="n">
        <x:v>1150</x:v>
      </x:c>
      <x:c r="E1154" s="42" t="n">
        <x:v>0.01816668653526271</x:v>
      </x:c>
      <x:c r="F1154" s="42" t="n">
        <x:v>0.005962141167073645</x:v>
      </x:c>
      <x:c r="G1154" s="43" t="n">
        <x:v>0.9018288407999939</x:v>
      </x:c>
      <x:c r="H1154" s="32" t="n">
        <x:v>1584625.2816632723</x:v>
      </x:c>
      <x:c r="I1154" s="50" t="b">
        <x:v>0</x:v>
      </x:c>
      <x:c r="J1154" s="50" t="b">
        <x:v>0</x:v>
      </x:c>
      <x:c r="K1154" s="31"/>
      <x:c r="L1154" s="31"/>
    </x:row>
    <x:row r="1155">
      <x:c r="A1155" s="31"/>
      <x:c r="B1155" s="31"/>
      <x:c r="C1155" s="31"/>
      <x:c r="D1155" s="31" t="n">
        <x:v>1151</x:v>
      </x:c>
      <x:c r="E1155" s="42" t="n">
        <x:v>-0.008390145467227684</x:v>
      </x:c>
      <x:c r="F1155" s="42" t="n">
        <x:v>-0.00026416198885287605</x:v>
      </x:c>
      <x:c r="G1155" s="43" t="n">
        <x:v>0.971772597437338</x:v>
      </x:c>
      <x:c r="H1155" s="32" t="n">
        <x:v>1083842.4131577567</x:v>
      </x:c>
      <x:c r="I1155" s="50" t="b">
        <x:v>0</x:v>
      </x:c>
      <x:c r="J1155" s="50" t="b">
        <x:v>0</x:v>
      </x:c>
      <x:c r="K1155" s="31"/>
      <x:c r="L1155" s="31"/>
    </x:row>
    <x:row r="1156">
      <x:c r="A1156" s="31"/>
      <x:c r="B1156" s="31"/>
      <x:c r="C1156" s="31"/>
      <x:c r="D1156" s="31" t="n">
        <x:v>1152</x:v>
      </x:c>
      <x:c r="E1156" s="42" t="n">
        <x:v>0.007098951505793595</x:v>
      </x:c>
      <x:c r="F1156" s="42" t="n">
        <x:v>-0.002962873470440775</x:v>
      </x:c>
      <x:c r="G1156" s="43" t="n">
        <x:v>1.0330913197921416</x:v>
      </x:c>
      <x:c r="H1156" s="32" t="n">
        <x:v>745051.2665298576</x:v>
      </x:c>
      <x:c r="I1156" s="50" t="b">
        <x:v>1</x:v>
      </x:c>
      <x:c r="J1156" s="50" t="b">
        <x:v>0</x:v>
      </x:c>
      <x:c r="K1156" s="31"/>
      <x:c r="L1156" s="31"/>
    </x:row>
    <x:row r="1157">
      <x:c r="A1157" s="31"/>
      <x:c r="B1157" s="31"/>
      <x:c r="C1157" s="31"/>
      <x:c r="D1157" s="31" t="n">
        <x:v>1153</x:v>
      </x:c>
      <x:c r="E1157" s="42" t="n">
        <x:v>-0.009954803923533947</x:v>
      </x:c>
      <x:c r="F1157" s="42" t="n">
        <x:v>0.009509403851921781</x:v>
      </x:c>
      <x:c r="G1157" s="43" t="n">
        <x:v>0.9746194998963945</x:v>
      </x:c>
      <x:c r="H1157" s="32" t="n">
        <x:v>1034202.367627432</x:v>
      </x:c>
      <x:c r="I1157" s="50" t="b">
        <x:v>0</x:v>
      </x:c>
      <x:c r="J1157" s="50" t="b">
        <x:v>0</x:v>
      </x:c>
      <x:c r="K1157" s="31"/>
      <x:c r="L1157" s="31"/>
    </x:row>
    <x:row r="1158">
      <x:c r="A1158" s="31"/>
      <x:c r="B1158" s="31"/>
      <x:c r="C1158" s="31"/>
      <x:c r="D1158" s="31" t="n">
        <x:v>1154</x:v>
      </x:c>
      <x:c r="E1158" s="42" t="n">
        <x:v>0.006723027976008021</x:v>
      </x:c>
      <x:c r="F1158" s="42" t="n">
        <x:v>0.0028739511953477562</x:v>
      </x:c>
      <x:c r="G1158" s="43" t="n">
        <x:v>0.9868735364145612</x:v>
      </x:c>
      <x:c r="H1158" s="32" t="n">
        <x:v>1021273.6014116694</x:v>
      </x:c>
      <x:c r="I1158" s="50" t="b">
        <x:v>0</x:v>
      </x:c>
      <x:c r="J1158" s="50" t="b">
        <x:v>0</x:v>
      </x:c>
      <x:c r="K1158" s="31"/>
      <x:c r="L1158" s="31"/>
    </x:row>
    <x:row r="1159">
      <x:c r="A1159" s="31"/>
      <x:c r="B1159" s="31"/>
      <x:c r="C1159" s="31"/>
      <x:c r="D1159" s="31" t="n">
        <x:v>1155</x:v>
      </x:c>
      <x:c r="E1159" s="42" t="n">
        <x:v>0.0017843289560766922</x:v>
      </x:c>
      <x:c r="F1159" s="42" t="n">
        <x:v>0.001597621925253908</x:v>
      </x:c>
      <x:c r="G1159" s="43" t="n">
        <x:v>1.0377194465781154</x:v>
      </x:c>
      <x:c r="H1159" s="32" t="n">
        <x:v>688171.7739714024</x:v>
      </x:c>
      <x:c r="I1159" s="50" t="b">
        <x:v>1</x:v>
      </x:c>
      <x:c r="J1159" s="50" t="b">
        <x:v>0</x:v>
      </x:c>
      <x:c r="K1159" s="31"/>
      <x:c r="L1159" s="31"/>
    </x:row>
    <x:row r="1160">
      <x:c r="A1160" s="31"/>
      <x:c r="B1160" s="31"/>
      <x:c r="C1160" s="31"/>
      <x:c r="D1160" s="31" t="n">
        <x:v>1156</x:v>
      </x:c>
      <x:c r="E1160" s="42" t="n">
        <x:v>0.027373612155758658</x:v>
      </x:c>
      <x:c r="F1160" s="42" t="n">
        <x:v>-0.003410530349897969</x:v>
      </x:c>
      <x:c r="G1160" s="43" t="n">
        <x:v>0.9736942975833444</x:v>
      </x:c>
      <x:c r="H1160" s="32" t="n">
        <x:v>1179945.4543996654</x:v>
      </x:c>
      <x:c r="I1160" s="50" t="b">
        <x:v>0</x:v>
      </x:c>
      <x:c r="J1160" s="50" t="b">
        <x:v>0</x:v>
      </x:c>
      <x:c r="K1160" s="31"/>
      <x:c r="L1160" s="31"/>
    </x:row>
    <x:row r="1161">
      <x:c r="A1161" s="31"/>
      <x:c r="B1161" s="31"/>
      <x:c r="C1161" s="31"/>
      <x:c r="D1161" s="31" t="n">
        <x:v>1157</x:v>
      </x:c>
      <x:c r="E1161" s="42" t="n">
        <x:v>-0.006129464416739988</x:v>
      </x:c>
      <x:c r="F1161" s="42" t="n">
        <x:v>0.007874273365709271</x:v>
      </x:c>
      <x:c r="G1161" s="43" t="n">
        <x:v>0.9920587423514192</x:v>
      </x:c>
      <x:c r="H1161" s="32" t="n">
        <x:v>938650.1663340412</x:v>
      </x:c>
      <x:c r="I1161" s="50" t="b">
        <x:v>1</x:v>
      </x:c>
      <x:c r="J1161" s="50" t="b">
        <x:v>0</x:v>
      </x:c>
      <x:c r="K1161" s="31"/>
      <x:c r="L1161" s="31"/>
    </x:row>
    <x:row r="1162">
      <x:c r="A1162" s="31"/>
      <x:c r="B1162" s="31"/>
      <x:c r="C1162" s="31"/>
      <x:c r="D1162" s="31" t="n">
        <x:v>1158</x:v>
      </x:c>
      <x:c r="E1162" s="42" t="n">
        <x:v>0.008826816859089415</x:v>
      </x:c>
      <x:c r="F1162" s="42" t="n">
        <x:v>0.004935458680202667</x:v>
      </x:c>
      <x:c r="G1162" s="43" t="n">
        <x:v>0.9531050358512891</x:v>
      </x:c>
      <x:c r="H1162" s="32" t="n">
        <x:v>1235845.1870114638</x:v>
      </x:c>
      <x:c r="I1162" s="50" t="b">
        <x:v>0</x:v>
      </x:c>
      <x:c r="J1162" s="50" t="b">
        <x:v>0</x:v>
      </x:c>
      <x:c r="K1162" s="31"/>
      <x:c r="L1162" s="31"/>
    </x:row>
    <x:row r="1163">
      <x:c r="A1163" s="31"/>
      <x:c r="B1163" s="31"/>
      <x:c r="C1163" s="31"/>
      <x:c r="D1163" s="31" t="n">
        <x:v>1159</x:v>
      </x:c>
      <x:c r="E1163" s="42" t="n">
        <x:v>-0.0009569345031191207</x:v>
      </x:c>
      <x:c r="F1163" s="42" t="n">
        <x:v>-0.00245401227895515</x:v>
      </x:c>
      <x:c r="G1163" s="43" t="n">
        <x:v>0.9617644339459884</x:v>
      </x:c>
      <x:c r="H1163" s="32" t="n">
        <x:v>1174187.3437034355</x:v>
      </x:c>
      <x:c r="I1163" s="50" t="b">
        <x:v>0</x:v>
      </x:c>
      <x:c r="J1163" s="50" t="b">
        <x:v>0</x:v>
      </x:c>
      <x:c r="K1163" s="31"/>
      <x:c r="L1163" s="31"/>
    </x:row>
    <x:row r="1164">
      <x:c r="A1164" s="31"/>
      <x:c r="B1164" s="31"/>
      <x:c r="C1164" s="31"/>
      <x:c r="D1164" s="31" t="n">
        <x:v>1160</x:v>
      </x:c>
      <x:c r="E1164" s="42" t="n">
        <x:v>0.01809981920097163</x:v>
      </x:c>
      <x:c r="F1164" s="42" t="n">
        <x:v>-0.013559004913021788</x:v>
      </x:c>
      <x:c r="G1164" s="43" t="n">
        <x:v>1.036650269069191</x:v>
      </x:c>
      <x:c r="H1164" s="32" t="n">
        <x:v>782565.1438978405</x:v>
      </x:c>
      <x:c r="I1164" s="50" t="b">
        <x:v>1</x:v>
      </x:c>
      <x:c r="J1164" s="50" t="b">
        <x:v>0</x:v>
      </x:c>
      <x:c r="K1164" s="31"/>
      <x:c r="L1164" s="31"/>
    </x:row>
    <x:row r="1165">
      <x:c r="A1165" s="31"/>
      <x:c r="B1165" s="31"/>
      <x:c r="C1165" s="31"/>
      <x:c r="D1165" s="31" t="n">
        <x:v>1161</x:v>
      </x:c>
      <x:c r="E1165" s="42" t="n">
        <x:v>-0.0153596154190756</x:v>
      </x:c>
      <x:c r="F1165" s="42" t="n">
        <x:v>0.0069650277387553975</x:v>
      </x:c>
      <x:c r="G1165" s="43" t="n">
        <x:v>1.0111176117157077</x:v>
      </x:c>
      <x:c r="H1165" s="32" t="n">
        <x:v>794451.4232802945</x:v>
      </x:c>
      <x:c r="I1165" s="50" t="b">
        <x:v>1</x:v>
      </x:c>
      <x:c r="J1165" s="50" t="b">
        <x:v>0</x:v>
      </x:c>
      <x:c r="K1165" s="31"/>
      <x:c r="L1165" s="31"/>
    </x:row>
    <x:row r="1166">
      <x:c r="A1166" s="31"/>
      <x:c r="B1166" s="31"/>
      <x:c r="C1166" s="31"/>
      <x:c r="D1166" s="31" t="n">
        <x:v>1162</x:v>
      </x:c>
      <x:c r="E1166" s="42" t="n">
        <x:v>0.011474140687982621</x:v>
      </x:c>
      <x:c r="F1166" s="42" t="n">
        <x:v>-0.0013529889918753185</x:v>
      </x:c>
      <x:c r="G1166" s="43" t="n">
        <x:v>0.9490775030030321</x:v>
      </x:c>
      <x:c r="H1166" s="32" t="n">
        <x:v>1286295.7910577096</x:v>
      </x:c>
      <x:c r="I1166" s="50" t="b">
        <x:v>0</x:v>
      </x:c>
      <x:c r="J1166" s="50" t="b">
        <x:v>0</x:v>
      </x:c>
      <x:c r="K1166" s="31"/>
      <x:c r="L1166" s="31"/>
    </x:row>
    <x:row r="1167">
      <x:c r="A1167" s="31"/>
      <x:c r="B1167" s="31"/>
      <x:c r="C1167" s="31"/>
      <x:c r="D1167" s="31" t="n">
        <x:v>1163</x:v>
      </x:c>
      <x:c r="E1167" s="42" t="n">
        <x:v>-0.005139415414633105</x:v>
      </x:c>
      <x:c r="F1167" s="42" t="n">
        <x:v>-0.0021135112986586015</x:v>
      </x:c>
      <x:c r="G1167" s="43" t="n">
        <x:v>0.9959155831704752</x:v>
      </x:c>
      <x:c r="H1167" s="32" t="n">
        <x:v>944713.538957604</x:v>
      </x:c>
      <x:c r="I1167" s="50" t="b">
        <x:v>1</x:v>
      </x:c>
      <x:c r="J1167" s="50" t="b">
        <x:v>0</x:v>
      </x:c>
      <x:c r="K1167" s="31"/>
      <x:c r="L1167" s="31"/>
    </x:row>
    <x:row r="1168">
      <x:c r="A1168" s="31"/>
      <x:c r="B1168" s="31"/>
      <x:c r="C1168" s="31"/>
      <x:c r="D1168" s="31" t="n">
        <x:v>1164</x:v>
      </x:c>
      <x:c r="E1168" s="42" t="n">
        <x:v>-0.003672466533632806</x:v>
      </x:c>
      <x:c r="F1168" s="42" t="n">
        <x:v>-0.003618962139544675</x:v>
      </x:c>
      <x:c r="G1168" s="43" t="n">
        <x:v>1.0659934493965066</x:v>
      </x:c>
      <x:c r="H1168" s="32" t="n">
        <x:v>507943.1977947261</x:v>
      </x:c>
      <x:c r="I1168" s="50" t="b">
        <x:v>1</x:v>
      </x:c>
      <x:c r="J1168" s="50" t="b">
        <x:v>0</x:v>
      </x:c>
      <x:c r="K1168" s="31"/>
      <x:c r="L1168" s="31"/>
    </x:row>
    <x:row r="1169">
      <x:c r="A1169" s="31"/>
      <x:c r="B1169" s="31"/>
      <x:c r="C1169" s="31"/>
      <x:c r="D1169" s="31" t="n">
        <x:v>1165</x:v>
      </x:c>
      <x:c r="E1169" s="42" t="n">
        <x:v>0.017334384928533456</x:v>
      </x:c>
      <x:c r="F1169" s="42" t="n">
        <x:v>-0.00675359520162843</x:v>
      </x:c>
      <x:c r="G1169" s="43" t="n">
        <x:v>0.9705863823207829</x:v>
      </x:c>
      <x:c r="H1169" s="32" t="n">
        <x:v>1181044.0010293992</x:v>
      </x:c>
      <x:c r="I1169" s="50" t="b">
        <x:v>0</x:v>
      </x:c>
      <x:c r="J1169" s="50" t="b">
        <x:v>0</x:v>
      </x:c>
      <x:c r="K1169" s="31"/>
      <x:c r="L1169" s="31"/>
    </x:row>
    <x:row r="1170">
      <x:c r="A1170" s="31"/>
      <x:c r="B1170" s="31"/>
      <x:c r="C1170" s="31"/>
      <x:c r="D1170" s="31" t="n">
        <x:v>1166</x:v>
      </x:c>
      <x:c r="E1170" s="42" t="n">
        <x:v>-0.008549678626564078</x:v>
      </x:c>
      <x:c r="F1170" s="42" t="n">
        <x:v>0.007117375837088003</x:v>
      </x:c>
      <x:c r="G1170" s="43" t="n">
        <x:v>1.0162571790011323</x:v>
      </x:c>
      <x:c r="H1170" s="32" t="n">
        <x:v>780343.0767345751</x:v>
      </x:c>
      <x:c r="I1170" s="50" t="b">
        <x:v>1</x:v>
      </x:c>
      <x:c r="J1170" s="50" t="b">
        <x:v>0</x:v>
      </x:c>
      <x:c r="K1170" s="31"/>
      <x:c r="L1170" s="31"/>
    </x:row>
    <x:row r="1171">
      <x:c r="A1171" s="31"/>
      <x:c r="B1171" s="31"/>
      <x:c r="C1171" s="31"/>
      <x:c r="D1171" s="31" t="n">
        <x:v>1167</x:v>
      </x:c>
      <x:c r="E1171" s="42" t="n">
        <x:v>-0.004346450620592752</x:v>
      </x:c>
      <x:c r="F1171" s="42" t="n">
        <x:v>0.005681867288646917</x:v>
      </x:c>
      <x:c r="G1171" s="43" t="n">
        <x:v>0.9853330353597882</x:v>
      </x:c>
      <x:c r="H1171" s="32" t="n">
        <x:v>992428.8384057456</x:v>
      </x:c>
      <x:c r="I1171" s="50" t="b">
        <x:v>1</x:v>
      </x:c>
      <x:c r="J1171" s="50" t="b">
        <x:v>0</x:v>
      </x:c>
      <x:c r="K1171" s="31"/>
      <x:c r="L1171" s="31"/>
    </x:row>
    <x:row r="1172">
      <x:c r="A1172" s="31"/>
      <x:c r="B1172" s="31"/>
      <x:c r="C1172" s="31"/>
      <x:c r="D1172" s="31" t="n">
        <x:v>1168</x:v>
      </x:c>
      <x:c r="E1172" s="42" t="n">
        <x:v>0.02564836154793057</x:v>
      </x:c>
      <x:c r="F1172" s="42" t="n">
        <x:v>-0.005709472593449629</x:v>
      </x:c>
      <x:c r="G1172" s="43" t="n">
        <x:v>1.0446729536865709</x:v>
      </x:c>
      <x:c r="H1172" s="32" t="n">
        <x:v>730777.6024231294</x:v>
      </x:c>
      <x:c r="I1172" s="50" t="b">
        <x:v>1</x:v>
      </x:c>
      <x:c r="J1172" s="50" t="b">
        <x:v>0</x:v>
      </x:c>
      <x:c r="K1172" s="31"/>
      <x:c r="L1172" s="31"/>
    </x:row>
    <x:row r="1173">
      <x:c r="A1173" s="31"/>
      <x:c r="B1173" s="31"/>
      <x:c r="C1173" s="31"/>
      <x:c r="D1173" s="31" t="n">
        <x:v>1169</x:v>
      </x:c>
      <x:c r="E1173" s="42" t="n">
        <x:v>-0.008289376720258505</x:v>
      </x:c>
      <x:c r="F1173" s="42" t="n">
        <x:v>-0.008148098599050956</x:v>
      </x:c>
      <x:c r="G1173" s="43" t="n">
        <x:v>1.0099017760278794</x:v>
      </x:c>
      <x:c r="H1173" s="32" t="n">
        <x:v>863920.729291026</x:v>
      </x:c>
      <x:c r="I1173" s="50" t="b">
        <x:v>1</x:v>
      </x:c>
      <x:c r="J1173" s="50" t="b">
        <x:v>0</x:v>
      </x:c>
      <x:c r="K1173" s="31"/>
      <x:c r="L1173" s="31"/>
    </x:row>
    <x:row r="1174">
      <x:c r="A1174" s="31"/>
      <x:c r="B1174" s="31"/>
      <x:c r="C1174" s="31"/>
      <x:c r="D1174" s="31" t="n">
        <x:v>1170</x:v>
      </x:c>
      <x:c r="E1174" s="42" t="n">
        <x:v>-0.003483855736041183</x:v>
      </x:c>
      <x:c r="F1174" s="42" t="n">
        <x:v>0.004875985551752765</x:v>
      </x:c>
      <x:c r="G1174" s="43" t="n">
        <x:v>0.9947567055886896</x:v>
      </x:c>
      <x:c r="H1174" s="32" t="n">
        <x:v>937226.1000004009</x:v>
      </x:c>
      <x:c r="I1174" s="50" t="b">
        <x:v>1</x:v>
      </x:c>
      <x:c r="J1174" s="50" t="b">
        <x:v>0</x:v>
      </x:c>
      <x:c r="K1174" s="31"/>
      <x:c r="L1174" s="31"/>
    </x:row>
    <x:row r="1175">
      <x:c r="A1175" s="31"/>
      <x:c r="B1175" s="31"/>
      <x:c r="C1175" s="31"/>
      <x:c r="D1175" s="31" t="n">
        <x:v>1171</x:v>
      </x:c>
      <x:c r="E1175" s="42" t="n">
        <x:v>0.014261487521101865</x:v>
      </x:c>
      <x:c r="F1175" s="42" t="n">
        <x:v>0.00610984068723204</x:v>
      </x:c>
      <x:c r="G1175" s="43" t="n">
        <x:v>0.9706614764553557</x:v>
      </x:c>
      <x:c r="H1175" s="32" t="n">
        <x:v>1136207.963110569</x:v>
      </x:c>
      <x:c r="I1175" s="50" t="b">
        <x:v>0</x:v>
      </x:c>
      <x:c r="J1175" s="50" t="b">
        <x:v>0</x:v>
      </x:c>
      <x:c r="K1175" s="31"/>
      <x:c r="L1175" s="31"/>
    </x:row>
    <x:row r="1176">
      <x:c r="A1176" s="31"/>
      <x:c r="B1176" s="31"/>
      <x:c r="C1176" s="31"/>
      <x:c r="D1176" s="31" t="n">
        <x:v>1172</x:v>
      </x:c>
      <x:c r="E1176" s="42" t="n">
        <x:v>0.013064315225693837</x:v>
      </x:c>
      <x:c r="F1176" s="42" t="n">
        <x:v>-0.00033122374090109136</x:v>
      </x:c>
      <x:c r="G1176" s="43" t="n">
        <x:v>1.0450286053412619</x:v>
      </x:c>
      <x:c r="H1176" s="32" t="n">
        <x:v>678520.5157557658</x:v>
      </x:c>
      <x:c r="I1176" s="50" t="b">
        <x:v>1</x:v>
      </x:c>
      <x:c r="J1176" s="50" t="b">
        <x:v>0</x:v>
      </x:c>
      <x:c r="K1176" s="31"/>
      <x:c r="L1176" s="31"/>
    </x:row>
    <x:row r="1177">
      <x:c r="A1177" s="31"/>
      <x:c r="B1177" s="31"/>
      <x:c r="C1177" s="31"/>
      <x:c r="D1177" s="31" t="n">
        <x:v>1173</x:v>
      </x:c>
      <x:c r="E1177" s="42" t="n">
        <x:v>0.009159850226477518</x:v>
      </x:c>
      <x:c r="F1177" s="42" t="n">
        <x:v>-0.0037677447341696434</x:v>
      </x:c>
      <x:c r="G1177" s="43" t="n">
        <x:v>1.0508618097234648</x:v>
      </x:c>
      <x:c r="H1177" s="32" t="n">
        <x:v>640173.004174141</x:v>
      </x:c>
      <x:c r="I1177" s="50" t="b">
        <x:v>1</x:v>
      </x:c>
      <x:c r="J1177" s="50" t="b">
        <x:v>0</x:v>
      </x:c>
      <x:c r="K1177" s="31"/>
      <x:c r="L1177" s="31"/>
    </x:row>
    <x:row r="1178">
      <x:c r="A1178" s="31"/>
      <x:c r="B1178" s="31"/>
      <x:c r="C1178" s="31"/>
      <x:c r="D1178" s="31" t="n">
        <x:v>1174</x:v>
      </x:c>
      <x:c r="E1178" s="42" t="n">
        <x:v>-0.008247540934466124</x:v>
      </x:c>
      <x:c r="F1178" s="42" t="n">
        <x:v>-0.004041767182261245</x:v>
      </x:c>
      <x:c r="G1178" s="43" t="n">
        <x:v>0.9930846205683266</x:v>
      </x:c>
      <x:c r="H1178" s="32" t="n">
        <x:v>959407.9631637445</x:v>
      </x:c>
      <x:c r="I1178" s="50" t="b">
        <x:v>1</x:v>
      </x:c>
      <x:c r="J1178" s="50" t="b">
        <x:v>0</x:v>
      </x:c>
      <x:c r="K1178" s="31"/>
      <x:c r="L1178" s="31"/>
    </x:row>
    <x:row r="1179">
      <x:c r="A1179" s="31"/>
      <x:c r="B1179" s="31"/>
      <x:c r="C1179" s="31"/>
      <x:c r="D1179" s="31" t="n">
        <x:v>1175</x:v>
      </x:c>
      <x:c r="E1179" s="42" t="n">
        <x:v>-0.0023003871441395728</x:v>
      </x:c>
      <x:c r="F1179" s="42" t="n">
        <x:v>0.005662266586768021</x:v>
      </x:c>
      <x:c r="G1179" s="43" t="n">
        <x:v>0.9993327638052132</x:v>
      </x:c>
      <x:c r="H1179" s="32" t="n">
        <x:v>909270.4697995101</x:v>
      </x:c>
      <x:c r="I1179" s="50" t="b">
        <x:v>1</x:v>
      </x:c>
      <x:c r="J1179" s="50" t="b">
        <x:v>0</x:v>
      </x:c>
      <x:c r="K1179" s="31"/>
      <x:c r="L1179" s="31"/>
    </x:row>
    <x:row r="1180">
      <x:c r="A1180" s="31"/>
      <x:c r="B1180" s="31"/>
      <x:c r="C1180" s="31"/>
      <x:c r="D1180" s="31" t="n">
        <x:v>1176</x:v>
      </x:c>
      <x:c r="E1180" s="42" t="n">
        <x:v>-0.008659522517112606</x:v>
      </x:c>
      <x:c r="F1180" s="42" t="n">
        <x:v>-0.004422024288683542</x:v>
      </x:c>
      <x:c r="G1180" s="43" t="n">
        <x:v>0.9710035339649267</x:v>
      </x:c>
      <x:c r="H1180" s="32" t="n">
        <x:v>1099550.1957669514</x:v>
      </x:c>
      <x:c r="I1180" s="50" t="b">
        <x:v>0</x:v>
      </x:c>
      <x:c r="J1180" s="50" t="b">
        <x:v>0</x:v>
      </x:c>
      <x:c r="K1180" s="31"/>
      <x:c r="L1180" s="31"/>
    </x:row>
    <x:row r="1181">
      <x:c r="A1181" s="31"/>
      <x:c r="B1181" s="31"/>
      <x:c r="C1181" s="31"/>
      <x:c r="D1181" s="31" t="n">
        <x:v>1177</x:v>
      </x:c>
      <x:c r="E1181" s="42" t="n">
        <x:v>0.016095637252109617</x:v>
      </x:c>
      <x:c r="F1181" s="42" t="n">
        <x:v>0.006603979011885674</x:v>
      </x:c>
      <x:c r="G1181" s="43" t="n">
        <x:v>1.0142027465630263</x:v>
      </x:c>
      <x:c r="H1181" s="32" t="n">
        <x:v>863420.0122120522</x:v>
      </x:c>
      <x:c r="I1181" s="50" t="b">
        <x:v>1</x:v>
      </x:c>
      <x:c r="J1181" s="50" t="b">
        <x:v>0</x:v>
      </x:c>
      <x:c r="K1181" s="31"/>
      <x:c r="L1181" s="31"/>
    </x:row>
    <x:row r="1182">
      <x:c r="A1182" s="31"/>
      <x:c r="B1182" s="31"/>
      <x:c r="C1182" s="31"/>
      <x:c r="D1182" s="31" t="n">
        <x:v>1178</x:v>
      </x:c>
      <x:c r="E1182" s="42" t="n">
        <x:v>0.00264114731871788</x:v>
      </x:c>
      <x:c r="F1182" s="42" t="n">
        <x:v>0.004271490122753361</x:v>
      </x:c>
      <x:c r="G1182" s="43" t="n">
        <x:v>1.0262530897262467</x:v>
      </x:c>
      <x:c r="H1182" s="32" t="n">
        <x:v>755933.4622885716</x:v>
      </x:c>
      <x:c r="I1182" s="50" t="b">
        <x:v>1</x:v>
      </x:c>
      <x:c r="J1182" s="50" t="b">
        <x:v>0</x:v>
      </x:c>
      <x:c r="K1182" s="31"/>
      <x:c r="L1182" s="31"/>
    </x:row>
    <x:row r="1183">
      <x:c r="A1183" s="31"/>
      <x:c r="B1183" s="31"/>
      <x:c r="C1183" s="31"/>
      <x:c r="D1183" s="31" t="n">
        <x:v>1179</x:v>
      </x:c>
      <x:c r="E1183" s="42" t="n">
        <x:v>-0.012267071630258196</x:v>
      </x:c>
      <x:c r="F1183" s="42" t="n">
        <x:v>0.003943164364760749</x:v>
      </x:c>
      <x:c r="G1183" s="43" t="n">
        <x:v>1.0378119412769393</x:v>
      </x:c>
      <x:c r="H1183" s="32" t="n">
        <x:v>641943.1127537665</x:v>
      </x:c>
      <x:c r="I1183" s="50" t="b">
        <x:v>1</x:v>
      </x:c>
      <x:c r="J1183" s="50" t="b">
        <x:v>0</x:v>
      </x:c>
      <x:c r="K1183" s="31"/>
      <x:c r="L1183" s="31"/>
    </x:row>
    <x:row r="1184">
      <x:c r="A1184" s="31"/>
      <x:c r="B1184" s="31"/>
      <x:c r="C1184" s="31"/>
      <x:c r="D1184" s="31" t="n">
        <x:v>1180</x:v>
      </x:c>
      <x:c r="E1184" s="42" t="n">
        <x:v>0.011931425168479158</x:v>
      </x:c>
      <x:c r="F1184" s="42" t="n">
        <x:v>0.00021647896596503283</x:v>
      </x:c>
      <x:c r="G1184" s="43" t="n">
        <x:v>1.059974250444383</x:v>
      </x:c>
      <x:c r="H1184" s="32" t="n">
        <x:v>578927.1172080134</x:v>
      </x:c>
      <x:c r="I1184" s="50" t="b">
        <x:v>1</x:v>
      </x:c>
      <x:c r="J1184" s="50" t="b">
        <x:v>0</x:v>
      </x:c>
      <x:c r="K1184" s="31"/>
      <x:c r="L1184" s="31"/>
    </x:row>
    <x:row r="1185">
      <x:c r="A1185" s="31"/>
      <x:c r="B1185" s="31"/>
      <x:c r="C1185" s="31"/>
      <x:c r="D1185" s="31" t="n">
        <x:v>1181</x:v>
      </x:c>
      <x:c r="E1185" s="42" t="n">
        <x:v>0.01121715056210675</x:v>
      </x:c>
      <x:c r="F1185" s="42" t="n">
        <x:v>-0.0024574366676396453</x:v>
      </x:c>
      <x:c r="G1185" s="43" t="n">
        <x:v>0.990655014461054</x:v>
      </x:c>
      <x:c r="H1185" s="32" t="n">
        <x:v>1024608.0637966753</x:v>
      </x:c>
      <x:c r="I1185" s="50" t="b">
        <x:v>0</x:v>
      </x:c>
      <x:c r="J1185" s="50" t="b">
        <x:v>0</x:v>
      </x:c>
      <x:c r="K1185" s="31"/>
      <x:c r="L1185" s="31"/>
    </x:row>
    <x:row r="1186">
      <x:c r="A1186" s="31"/>
      <x:c r="B1186" s="31"/>
      <x:c r="C1186" s="31"/>
      <x:c r="D1186" s="31" t="n">
        <x:v>1182</x:v>
      </x:c>
      <x:c r="E1186" s="42" t="n">
        <x:v>-0.005195980759179415</x:v>
      </x:c>
      <x:c r="F1186" s="42" t="n">
        <x:v>-0.000917679981403584</x:v>
      </x:c>
      <x:c r="G1186" s="43" t="n">
        <x:v>1.0317464129788578</x:v>
      </x:c>
      <x:c r="H1186" s="32" t="n">
        <x:v>713676.319391058</x:v>
      </x:c>
      <x:c r="I1186" s="50" t="b">
        <x:v>1</x:v>
      </x:c>
      <x:c r="J1186" s="50" t="b">
        <x:v>0</x:v>
      </x:c>
      <x:c r="K1186" s="31"/>
      <x:c r="L1186" s="31"/>
    </x:row>
    <x:row r="1187">
      <x:c r="A1187" s="31"/>
      <x:c r="B1187" s="31"/>
      <x:c r="C1187" s="31"/>
      <x:c r="D1187" s="31" t="n">
        <x:v>1183</x:v>
      </x:c>
      <x:c r="E1187" s="42" t="n">
        <x:v>-0.0011752532740617351</x:v>
      </x:c>
      <x:c r="F1187" s="42" t="n">
        <x:v>-0.0017360306686679053</x:v>
      </x:c>
      <x:c r="G1187" s="43" t="n">
        <x:v>0.9703967980173605</x:v>
      </x:c>
      <x:c r="H1187" s="32" t="n">
        <x:v>1116759.5052986261</x:v>
      </x:c>
      <x:c r="I1187" s="50" t="b">
        <x:v>0</x:v>
      </x:c>
      <x:c r="J1187" s="50" t="b">
        <x:v>0</x:v>
      </x:c>
      <x:c r="K1187" s="31"/>
      <x:c r="L1187" s="31"/>
    </x:row>
    <x:row r="1188">
      <x:c r="A1188" s="31"/>
      <x:c r="B1188" s="31"/>
      <x:c r="C1188" s="31"/>
      <x:c r="D1188" s="31" t="n">
        <x:v>1184</x:v>
      </x:c>
      <x:c r="E1188" s="42" t="n">
        <x:v>-0.004514374122908763</x:v>
      </x:c>
      <x:c r="F1188" s="42" t="n">
        <x:v>0.0016758520116763698</x:v>
      </x:c>
      <x:c r="G1188" s="43" t="n">
        <x:v>1.0354237756618314</x:v>
      </x:c>
      <x:c r="H1188" s="32" t="n">
        <x:v>685000.5753301156</x:v>
      </x:c>
      <x:c r="I1188" s="50" t="b">
        <x:v>1</x:v>
      </x:c>
      <x:c r="J1188" s="50" t="b">
        <x:v>0</x:v>
      </x:c>
      <x:c r="K1188" s="31"/>
      <x:c r="L1188" s="31"/>
    </x:row>
    <x:row r="1189">
      <x:c r="A1189" s="31"/>
      <x:c r="B1189" s="31"/>
      <x:c r="C1189" s="31"/>
      <x:c r="D1189" s="31" t="n">
        <x:v>1185</x:v>
      </x:c>
      <x:c r="E1189" s="42" t="n">
        <x:v>-0.004176609989368367</x:v>
      </x:c>
      <x:c r="F1189" s="42" t="n">
        <x:v>-0.005743596101770911</x:v>
      </x:c>
      <x:c r="G1189" s="43" t="n">
        <x:v>0.9991970568004374</x:v>
      </x:c>
      <x:c r="H1189" s="32" t="n">
        <x:v>936658.2691325394</x:v>
      </x:c>
      <x:c r="I1189" s="50" t="b">
        <x:v>1</x:v>
      </x:c>
      <x:c r="J1189" s="50" t="b">
        <x:v>0</x:v>
      </x:c>
      <x:c r="K1189" s="31"/>
      <x:c r="L1189" s="31"/>
    </x:row>
    <x:row r="1190">
      <x:c r="A1190" s="31"/>
      <x:c r="B1190" s="31"/>
      <x:c r="C1190" s="31"/>
      <x:c r="D1190" s="31" t="n">
        <x:v>1186</x:v>
      </x:c>
      <x:c r="E1190" s="42" t="n">
        <x:v>0.0037688338620254715</x:v>
      </x:c>
      <x:c r="F1190" s="42" t="n">
        <x:v>0.0008539562161800595</x:v>
      </x:c>
      <x:c r="G1190" s="43" t="n">
        <x:v>0.9561051715449206</x:v>
      </x:c>
      <x:c r="H1190" s="32" t="n">
        <x:v>1214074.1453666368</x:v>
      </x:c>
      <x:c r="I1190" s="50" t="b">
        <x:v>0</x:v>
      </x:c>
      <x:c r="J1190" s="50" t="b">
        <x:v>0</x:v>
      </x:c>
      <x:c r="K1190" s="31"/>
      <x:c r="L1190" s="31"/>
    </x:row>
    <x:row r="1191">
      <x:c r="A1191" s="31"/>
      <x:c r="B1191" s="31"/>
      <x:c r="C1191" s="31"/>
      <x:c r="D1191" s="31" t="n">
        <x:v>1187</x:v>
      </x:c>
      <x:c r="E1191" s="42" t="n">
        <x:v>0.005842443461136039</x:v>
      </x:c>
      <x:c r="F1191" s="42" t="n">
        <x:v>-0.002149693808974055</x:v>
      </x:c>
      <x:c r="G1191" s="43" t="n">
        <x:v>0.9979398786717931</x:v>
      </x:c>
      <x:c r="H1191" s="32" t="n">
        <x:v>962526.7912883803</x:v>
      </x:c>
      <x:c r="I1191" s="50" t="b">
        <x:v>1</x:v>
      </x:c>
      <x:c r="J1191" s="50" t="b">
        <x:v>0</x:v>
      </x:c>
      <x:c r="K1191" s="31"/>
      <x:c r="L1191" s="31"/>
    </x:row>
    <x:row r="1192">
      <x:c r="A1192" s="31"/>
      <x:c r="B1192" s="31"/>
      <x:c r="C1192" s="31"/>
      <x:c r="D1192" s="31" t="n">
        <x:v>1188</x:v>
      </x:c>
      <x:c r="E1192" s="42" t="n">
        <x:v>-0.01063856190401443</x:v>
      </x:c>
      <x:c r="F1192" s="42" t="n">
        <x:v>0.0006122773983439911</x:v>
      </x:c>
      <x:c r="G1192" s="43" t="n">
        <x:v>0.9705129244845854</x:v>
      </x:c>
      <x:c r="H1192" s="32" t="n">
        <x:v>1083144.123091307</x:v>
      </x:c>
      <x:c r="I1192" s="50" t="b">
        <x:v>0</x:v>
      </x:c>
      <x:c r="J1192" s="50" t="b">
        <x:v>0</x:v>
      </x:c>
      <x:c r="K1192" s="31"/>
      <x:c r="L1192" s="31"/>
    </x:row>
    <x:row r="1193">
      <x:c r="A1193" s="31"/>
      <x:c r="B1193" s="31"/>
      <x:c r="C1193" s="31"/>
      <x:c r="D1193" s="31" t="n">
        <x:v>1189</x:v>
      </x:c>
      <x:c r="E1193" s="42" t="n">
        <x:v>-0.018400241469895908</x:v>
      </x:c>
      <x:c r="F1193" s="42" t="n">
        <x:v>-0.00892453486002294</x:v>
      </x:c>
      <x:c r="G1193" s="43" t="n">
        <x:v>0.995676214295416</x:v>
      </x:c>
      <x:c r="H1193" s="32" t="n">
        <x:v>928280.5326317719</x:v>
      </x:c>
      <x:c r="I1193" s="50" t="b">
        <x:v>1</x:v>
      </x:c>
      <x:c r="J1193" s="50" t="b">
        <x:v>0</x:v>
      </x:c>
      <x:c r="K1193" s="31"/>
      <x:c r="L1193" s="31"/>
    </x:row>
    <x:row r="1194">
      <x:c r="A1194" s="31"/>
      <x:c r="B1194" s="31"/>
      <x:c r="C1194" s="31"/>
      <x:c r="D1194" s="31" t="n">
        <x:v>1190</x:v>
      </x:c>
      <x:c r="E1194" s="42" t="n">
        <x:v>0.017110410269536556</x:v>
      </x:c>
      <x:c r="F1194" s="42" t="n">
        <x:v>0.007740608776954341</x:v>
      </x:c>
      <x:c r="G1194" s="43" t="n">
        <x:v>1.0432910440524465</x:v>
      </x:c>
      <x:c r="H1194" s="32" t="n">
        <x:v>678349.5310353348</x:v>
      </x:c>
      <x:c r="I1194" s="50" t="b">
        <x:v>1</x:v>
      </x:c>
      <x:c r="J1194" s="50" t="b">
        <x:v>0</x:v>
      </x:c>
      <x:c r="K1194" s="31"/>
      <x:c r="L1194" s="31"/>
    </x:row>
    <x:row r="1195">
      <x:c r="A1195" s="31"/>
      <x:c r="B1195" s="31"/>
      <x:c r="C1195" s="31"/>
      <x:c r="D1195" s="31" t="n">
        <x:v>1191</x:v>
      </x:c>
      <x:c r="E1195" s="42" t="n">
        <x:v>-0.01217149584567705</x:v>
      </x:c>
      <x:c r="F1195" s="42" t="n">
        <x:v>0.0018615649236778653</x:v>
      </x:c>
      <x:c r="G1195" s="43" t="n">
        <x:v>0.966016367564839</x:v>
      </x:c>
      <x:c r="H1195" s="32" t="n">
        <x:v>1103956.0689963042</x:v>
      </x:c>
      <x:c r="I1195" s="50" t="b">
        <x:v>0</x:v>
      </x:c>
      <x:c r="J1195" s="50" t="b">
        <x:v>0</x:v>
      </x:c>
      <x:c r="K1195" s="31"/>
      <x:c r="L1195" s="31"/>
    </x:row>
    <x:row r="1196">
      <x:c r="A1196" s="31"/>
      <x:c r="B1196" s="31"/>
      <x:c r="C1196" s="31"/>
      <x:c r="D1196" s="31" t="n">
        <x:v>1192</x:v>
      </x:c>
      <x:c r="E1196" s="42" t="n">
        <x:v>0.009025801602574445</x:v>
      </x:c>
      <x:c r="F1196" s="42" t="n">
        <x:v>0.009840556019453077</x:v>
      </x:c>
      <x:c r="G1196" s="43" t="n">
        <x:v>1.0184525903395538</x:v>
      </x:c>
      <x:c r="H1196" s="32" t="n">
        <x:v>807742.3662841613</x:v>
      </x:c>
      <x:c r="I1196" s="50" t="b">
        <x:v>1</x:v>
      </x:c>
      <x:c r="J1196" s="50" t="b">
        <x:v>0</x:v>
      </x:c>
      <x:c r="K1196" s="31"/>
      <x:c r="L1196" s="31"/>
    </x:row>
    <x:row r="1197">
      <x:c r="A1197" s="31"/>
      <x:c r="B1197" s="31"/>
      <x:c r="C1197" s="31"/>
      <x:c r="D1197" s="31" t="n">
        <x:v>1193</x:v>
      </x:c>
      <x:c r="E1197" s="42" t="n">
        <x:v>-0.020201705727235123</x:v>
      </x:c>
      <x:c r="F1197" s="42" t="n">
        <x:v>-0.0009223109624658977</x:v>
      </x:c>
      <x:c r="G1197" s="43" t="n">
        <x:v>1.0751969740288776</x:v>
      </x:c>
      <x:c r="H1197" s="32" t="n">
        <x:v>395978.6061664021</x:v>
      </x:c>
      <x:c r="I1197" s="50" t="b">
        <x:v>1</x:v>
      </x:c>
      <x:c r="J1197" s="50" t="b">
        <x:v>0</x:v>
      </x:c>
      <x:c r="K1197" s="31"/>
      <x:c r="L1197" s="31"/>
    </x:row>
    <x:row r="1198">
      <x:c r="A1198" s="31"/>
      <x:c r="B1198" s="31"/>
      <x:c r="C1198" s="31"/>
      <x:c r="D1198" s="31" t="n">
        <x:v>1194</x:v>
      </x:c>
      <x:c r="E1198" s="42" t="n">
        <x:v>-0.00007191313541709392</x:v>
      </x:c>
      <x:c r="F1198" s="42" t="n">
        <x:v>0.0034675658866749892</x:v>
      </x:c>
      <x:c r="G1198" s="43" t="n">
        <x:v>1.057223666773769</x:v>
      </x:c>
      <x:c r="H1198" s="32" t="n">
        <x:v>553934.2408105629</x:v>
      </x:c>
      <x:c r="I1198" s="50" t="b">
        <x:v>1</x:v>
      </x:c>
      <x:c r="J1198" s="50" t="b">
        <x:v>0</x:v>
      </x:c>
      <x:c r="K1198" s="31"/>
      <x:c r="L1198" s="31"/>
    </x:row>
    <x:row r="1199">
      <x:c r="A1199" s="31"/>
      <x:c r="B1199" s="31"/>
      <x:c r="C1199" s="31"/>
      <x:c r="D1199" s="31" t="n">
        <x:v>1195</x:v>
      </x:c>
      <x:c r="E1199" s="42" t="n">
        <x:v>0.010522020292909233</x:v>
      </x:c>
      <x:c r="F1199" s="42" t="n">
        <x:v>-0.007213512328900788</x:v>
      </x:c>
      <x:c r="G1199" s="43" t="n">
        <x:v>1.0445635369193305</x:v>
      </x:c>
      <x:c r="H1199" s="32" t="n">
        <x:v>693554.4981508197</x:v>
      </x:c>
      <x:c r="I1199" s="50" t="b">
        <x:v>1</x:v>
      </x:c>
      <x:c r="J1199" s="50" t="b">
        <x:v>0</x:v>
      </x:c>
      <x:c r="K1199" s="31"/>
      <x:c r="L1199" s="31"/>
    </x:row>
    <x:row r="1200">
      <x:c r="A1200" s="31"/>
      <x:c r="B1200" s="31"/>
      <x:c r="C1200" s="31"/>
      <x:c r="D1200" s="31" t="n">
        <x:v>1196</x:v>
      </x:c>
      <x:c r="E1200" s="42" t="n">
        <x:v>0.028006412802414553</x:v>
      </x:c>
      <x:c r="F1200" s="42" t="n">
        <x:v>0.004238299215966429</x:v>
      </x:c>
      <x:c r="G1200" s="43" t="n">
        <x:v>0.9581708984705262</x:v>
      </x:c>
      <x:c r="H1200" s="32" t="n">
        <x:v>1259000.7608630876</x:v>
      </x:c>
      <x:c r="I1200" s="50" t="b">
        <x:v>0</x:v>
      </x:c>
      <x:c r="J1200" s="50" t="b">
        <x:v>0</x:v>
      </x:c>
      <x:c r="K1200" s="31"/>
      <x:c r="L1200" s="31"/>
    </x:row>
    <x:row r="1201">
      <x:c r="A1201" s="31"/>
      <x:c r="B1201" s="31"/>
      <x:c r="C1201" s="31"/>
      <x:c r="D1201" s="31" t="n">
        <x:v>1197</x:v>
      </x:c>
      <x:c r="E1201" s="42" t="n">
        <x:v>-0.012876712676056331</x:v>
      </x:c>
      <x:c r="F1201" s="42" t="n">
        <x:v>0.005879124231539461</x:v>
      </x:c>
      <x:c r="G1201" s="43" t="n">
        <x:v>1.0465707699926365</x:v>
      </x:c>
      <x:c r="H1201" s="32" t="n">
        <x:v>579232.6105903143</x:v>
      </x:c>
      <x:c r="I1201" s="50" t="b">
        <x:v>1</x:v>
      </x:c>
      <x:c r="J1201" s="50" t="b">
        <x:v>0</x:v>
      </x:c>
      <x:c r="K1201" s="31"/>
      <x:c r="L1201" s="31"/>
    </x:row>
    <x:row r="1202">
      <x:c r="A1202" s="31"/>
      <x:c r="B1202" s="31"/>
      <x:c r="C1202" s="31"/>
      <x:c r="D1202" s="31" t="n">
        <x:v>1198</x:v>
      </x:c>
      <x:c r="E1202" s="42" t="n">
        <x:v>-0.006905125495405163</x:v>
      </x:c>
      <x:c r="F1202" s="42" t="n">
        <x:v>0.01071244320215698</x:v>
      </x:c>
      <x:c r="G1202" s="43" t="n">
        <x:v>1.0747953108561668</x:v>
      </x:c>
      <x:c r="H1202" s="32" t="n">
        <x:v>403155.18147709523</x:v>
      </x:c>
      <x:c r="I1202" s="50" t="b">
        <x:v>1</x:v>
      </x:c>
      <x:c r="J1202" s="50" t="b">
        <x:v>0</x:v>
      </x:c>
      <x:c r="K1202" s="31"/>
      <x:c r="L1202" s="31"/>
    </x:row>
    <x:row r="1203">
      <x:c r="A1203" s="31"/>
      <x:c r="B1203" s="31"/>
      <x:c r="C1203" s="31"/>
      <x:c r="D1203" s="31" t="n">
        <x:v>1199</x:v>
      </x:c>
      <x:c r="E1203" s="42" t="n">
        <x:v>-0.005203845029766801</x:v>
      </x:c>
      <x:c r="F1203" s="42" t="n">
        <x:v>0.004782627493283921</x:v>
      </x:c>
      <x:c r="G1203" s="43" t="n">
        <x:v>1.0145598283899013</x:v>
      </x:c>
      <x:c r="H1203" s="32" t="n">
        <x:v>806934.4809773371</x:v>
      </x:c>
      <x:c r="I1203" s="50" t="b">
        <x:v>1</x:v>
      </x:c>
      <x:c r="J1203" s="50" t="b">
        <x:v>0</x:v>
      </x:c>
      <x:c r="K1203" s="31"/>
      <x:c r="L1203" s="31"/>
    </x:row>
    <x:row r="1204">
      <x:c r="A1204" s="31"/>
      <x:c r="B1204" s="31"/>
      <x:c r="C1204" s="31"/>
      <x:c r="D1204" s="31" t="n">
        <x:v>1200</x:v>
      </x:c>
      <x:c r="E1204" s="42" t="n">
        <x:v>0.003854186280935215</x:v>
      </x:c>
      <x:c r="F1204" s="42" t="n">
        <x:v>-0.012301513914624923</x:v>
      </x:c>
      <x:c r="G1204" s="43" t="n">
        <x:v>0.9556882531388294</x:v>
      </x:c>
      <x:c r="H1204" s="32" t="n">
        <x:v>1253577.9955865745</x:v>
      </x:c>
      <x:c r="I1204" s="50" t="b">
        <x:v>0</x:v>
      </x:c>
      <x:c r="J1204" s="50" t="b">
        <x:v>0</x:v>
      </x:c>
      <x:c r="K1204" s="31"/>
      <x:c r="L1204" s="31"/>
    </x:row>
    <x:row r="1205">
      <x:c r="A1205" s="31"/>
      <x:c r="B1205" s="31"/>
      <x:c r="C1205" s="31"/>
      <x:c r="D1205" s="31" t="n">
        <x:v>1201</x:v>
      </x:c>
      <x:c r="E1205" s="42" t="n">
        <x:v>0.015507840655002242</x:v>
      </x:c>
      <x:c r="F1205" s="42" t="n">
        <x:v>-0.005190463155228788</x:v>
      </x:c>
      <x:c r="G1205" s="43" t="n">
        <x:v>0.960126308676596</x:v>
      </x:c>
      <x:c r="H1205" s="32" t="n">
        <x:v>1238037.6376187846</x:v>
      </x:c>
      <x:c r="I1205" s="50" t="b">
        <x:v>0</x:v>
      </x:c>
      <x:c r="J1205" s="50" t="b">
        <x:v>0</x:v>
      </x:c>
      <x:c r="K1205" s="31"/>
      <x:c r="L1205" s="31"/>
    </x:row>
    <x:row r="1206">
      <x:c r="A1206" s="31"/>
      <x:c r="B1206" s="31"/>
      <x:c r="C1206" s="31"/>
      <x:c r="D1206" s="31" t="n">
        <x:v>1202</x:v>
      </x:c>
      <x:c r="E1206" s="42" t="n">
        <x:v>-0.01633389050056958</x:v>
      </x:c>
      <x:c r="F1206" s="42" t="n">
        <x:v>0.0021166259685512787</x:v>
      </x:c>
      <x:c r="G1206" s="43" t="n">
        <x:v>1.0865354403193535</x:v>
      </x:c>
      <x:c r="H1206" s="32" t="n">
        <x:v>326278.5161062719</x:v>
      </x:c>
      <x:c r="I1206" s="50" t="b">
        <x:v>1</x:v>
      </x:c>
      <x:c r="J1206" s="50" t="b">
        <x:v>0</x:v>
      </x:c>
      <x:c r="K1206" s="31"/>
      <x:c r="L1206" s="31"/>
    </x:row>
    <x:row r="1207">
      <x:c r="A1207" s="31"/>
      <x:c r="B1207" s="31"/>
      <x:c r="C1207" s="31"/>
      <x:c r="D1207" s="31" t="n">
        <x:v>1203</x:v>
      </x:c>
      <x:c r="E1207" s="42" t="n">
        <x:v>-0.012846590443785166</x:v>
      </x:c>
      <x:c r="F1207" s="42" t="n">
        <x:v>-0.005678393557942314</x:v>
      </x:c>
      <x:c r="G1207" s="43" t="n">
        <x:v>0.9477202964917386</x:v>
      </x:c>
      <x:c r="H1207" s="32" t="n">
        <x:v>1239257.5788977956</x:v>
      </x:c>
      <x:c r="I1207" s="50" t="b">
        <x:v>0</x:v>
      </x:c>
      <x:c r="J1207" s="50" t="b">
        <x:v>0</x:v>
      </x:c>
      <x:c r="K1207" s="31"/>
      <x:c r="L1207" s="31"/>
    </x:row>
    <x:row r="1208">
      <x:c r="A1208" s="31"/>
      <x:c r="B1208" s="31"/>
      <x:c r="C1208" s="31"/>
      <x:c r="D1208" s="31" t="n">
        <x:v>1204</x:v>
      </x:c>
      <x:c r="E1208" s="42" t="n">
        <x:v>-0.007607434376278444</x:v>
      </x:c>
      <x:c r="F1208" s="42" t="n">
        <x:v>0.0006639844953658102</x:v>
      </x:c>
      <x:c r="G1208" s="43" t="n">
        <x:v>0.981861329819417</x:v>
      </x:c>
      <x:c r="H1208" s="32" t="n">
        <x:v>1019366.9947630181</x:v>
      </x:c>
      <x:c r="I1208" s="50" t="b">
        <x:v>0</x:v>
      </x:c>
      <x:c r="J1208" s="50" t="b">
        <x:v>0</x:v>
      </x:c>
      <x:c r="K1208" s="31"/>
      <x:c r="L1208" s="31"/>
    </x:row>
    <x:row r="1209">
      <x:c r="A1209" s="31"/>
      <x:c r="B1209" s="31"/>
      <x:c r="C1209" s="31"/>
      <x:c r="D1209" s="31" t="n">
        <x:v>1205</x:v>
      </x:c>
      <x:c r="E1209" s="42" t="n">
        <x:v>-0.01660445938596479</x:v>
      </x:c>
      <x:c r="F1209" s="42" t="n">
        <x:v>-0.003918829232065679</x:v>
      </x:c>
      <x:c r="G1209" s="43" t="n">
        <x:v>0.9802546173463619</x:v>
      </x:c>
      <x:c r="H1209" s="32" t="n">
        <x:v>1017283.7019353646</x:v>
      </x:c>
      <x:c r="I1209" s="50" t="b">
        <x:v>0</x:v>
      </x:c>
      <x:c r="J1209" s="50" t="b">
        <x:v>0</x:v>
      </x:c>
      <x:c r="K1209" s="31"/>
      <x:c r="L1209" s="31"/>
    </x:row>
    <x:row r="1210">
      <x:c r="A1210" s="31"/>
      <x:c r="B1210" s="31"/>
      <x:c r="C1210" s="31"/>
      <x:c r="D1210" s="31" t="n">
        <x:v>1206</x:v>
      </x:c>
      <x:c r="E1210" s="42" t="n">
        <x:v>-0.0028830162277156297</x:v>
      </x:c>
      <x:c r="F1210" s="42" t="n">
        <x:v>0.000936948454117305</x:v>
      </x:c>
      <x:c r="G1210" s="43" t="n">
        <x:v>0.9944102808052105</x:v>
      </x:c>
      <x:c r="H1210" s="32" t="n">
        <x:v>952062.9898885532</x:v>
      </x:c>
      <x:c r="I1210" s="50" t="b">
        <x:v>1</x:v>
      </x:c>
      <x:c r="J1210" s="50" t="b">
        <x:v>0</x:v>
      </x:c>
      <x:c r="K1210" s="31"/>
      <x:c r="L1210" s="31"/>
    </x:row>
    <x:row r="1211">
      <x:c r="A1211" s="31"/>
      <x:c r="B1211" s="31"/>
      <x:c r="C1211" s="31"/>
      <x:c r="D1211" s="31" t="n">
        <x:v>1207</x:v>
      </x:c>
      <x:c r="E1211" s="42" t="n">
        <x:v>-0.0046511065338747</x:v>
      </x:c>
      <x:c r="F1211" s="42" t="n">
        <x:v>-0.002511308078957916</x:v>
      </x:c>
      <x:c r="G1211" s="43" t="n">
        <x:v>0.967354443787415</x:v>
      </x:c>
      <x:c r="H1211" s="32" t="n">
        <x:v>1128563.4966016496</x:v>
      </x:c>
      <x:c r="I1211" s="50" t="b">
        <x:v>0</x:v>
      </x:c>
      <x:c r="J1211" s="50" t="b">
        <x:v>0</x:v>
      </x:c>
      <x:c r="K1211" s="31"/>
      <x:c r="L1211" s="31"/>
    </x:row>
    <x:row r="1212">
      <x:c r="A1212" s="31"/>
      <x:c r="B1212" s="31"/>
      <x:c r="C1212" s="31"/>
      <x:c r="D1212" s="31" t="n">
        <x:v>1208</x:v>
      </x:c>
      <x:c r="E1212" s="42" t="n">
        <x:v>0.004324232666451335</x:v>
      </x:c>
      <x:c r="F1212" s="42" t="n">
        <x:v>0.0009624275454370064</x:v>
      </x:c>
      <x:c r="G1212" s="43" t="n">
        <x:v>0.9915729445314605</x:v>
      </x:c>
      <x:c r="H1212" s="32" t="n">
        <x:v>990072.700149035</x:v>
      </x:c>
      <x:c r="I1212" s="50" t="b">
        <x:v>1</x:v>
      </x:c>
      <x:c r="J1212" s="50" t="b">
        <x:v>0</x:v>
      </x:c>
      <x:c r="K1212" s="31"/>
      <x:c r="L1212" s="31"/>
    </x:row>
    <x:row r="1213">
      <x:c r="A1213" s="31"/>
      <x:c r="B1213" s="31"/>
      <x:c r="C1213" s="31"/>
      <x:c r="D1213" s="31" t="n">
        <x:v>1209</x:v>
      </x:c>
      <x:c r="E1213" s="42" t="n">
        <x:v>-0.0023665787236364453</x:v>
      </x:c>
      <x:c r="F1213" s="42" t="n">
        <x:v>0.005991007134140122</x:v>
      </x:c>
      <x:c r="G1213" s="43" t="n">
        <x:v>1.0525361237225057</x:v>
      </x:c>
      <x:c r="H1213" s="32" t="n">
        <x:v>570292.1518606304</x:v>
      </x:c>
      <x:c r="I1213" s="50" t="b">
        <x:v>1</x:v>
      </x:c>
      <x:c r="J1213" s="50" t="b">
        <x:v>0</x:v>
      </x:c>
      <x:c r="K1213" s="31"/>
      <x:c r="L1213" s="31"/>
    </x:row>
    <x:row r="1214">
      <x:c r="A1214" s="31"/>
      <x:c r="B1214" s="31"/>
      <x:c r="C1214" s="31"/>
      <x:c r="D1214" s="31" t="n">
        <x:v>1210</x:v>
      </x:c>
      <x:c r="E1214" s="42" t="n">
        <x:v>0.016738375220210686</x:v>
      </x:c>
      <x:c r="F1214" s="42" t="n">
        <x:v>0.004520511810396842</x:v>
      </x:c>
      <x:c r="G1214" s="43" t="n">
        <x:v>0.9395336654881844</x:v>
      </x:c>
      <x:c r="H1214" s="32" t="n">
        <x:v>1345210.0123266552</x:v>
      </x:c>
      <x:c r="I1214" s="50" t="b">
        <x:v>0</x:v>
      </x:c>
      <x:c r="J1214" s="50" t="b">
        <x:v>0</x:v>
      </x:c>
      <x:c r="K1214" s="31"/>
      <x:c r="L1214" s="31"/>
    </x:row>
    <x:row r="1215">
      <x:c r="A1215" s="31"/>
      <x:c r="B1215" s="31"/>
      <x:c r="C1215" s="31"/>
      <x:c r="D1215" s="31" t="n">
        <x:v>1211</x:v>
      </x:c>
      <x:c r="E1215" s="42" t="n">
        <x:v>-0.011913032285423203</x:v>
      </x:c>
      <x:c r="F1215" s="42" t="n">
        <x:v>-0.001198499753150419</x:v>
      </x:c>
      <x:c r="G1215" s="43" t="n">
        <x:v>1.0355091391572946</x:v>
      </x:c>
      <x:c r="H1215" s="32" t="n">
        <x:v>671864.9495317679</x:v>
      </x:c>
      <x:c r="I1215" s="50" t="b">
        <x:v>1</x:v>
      </x:c>
      <x:c r="J1215" s="50" t="b">
        <x:v>0</x:v>
      </x:c>
      <x:c r="K1215" s="31"/>
      <x:c r="L1215" s="31"/>
    </x:row>
    <x:row r="1216">
      <x:c r="A1216" s="31"/>
      <x:c r="B1216" s="31"/>
      <x:c r="C1216" s="31"/>
      <x:c r="D1216" s="31" t="n">
        <x:v>1212</x:v>
      </x:c>
      <x:c r="E1216" s="42" t="n">
        <x:v>-0.009842539204023995</x:v>
      </x:c>
      <x:c r="F1216" s="42" t="n">
        <x:v>-0.013772177704761383</x:v>
      </x:c>
      <x:c r="G1216" s="43" t="n">
        <x:v>1.077252512631454</x:v>
      </x:c>
      <x:c r="H1216" s="32" t="n">
        <x:v>447527.33880303404</x:v>
      </x:c>
      <x:c r="I1216" s="50" t="b">
        <x:v>1</x:v>
      </x:c>
      <x:c r="J1216" s="50" t="b">
        <x:v>0</x:v>
      </x:c>
      <x:c r="K1216" s="31"/>
      <x:c r="L1216" s="31"/>
    </x:row>
    <x:row r="1217">
      <x:c r="A1217" s="31"/>
      <x:c r="B1217" s="31"/>
      <x:c r="C1217" s="31"/>
      <x:c r="D1217" s="31" t="n">
        <x:v>1213</x:v>
      </x:c>
      <x:c r="E1217" s="42" t="n">
        <x:v>0.013399577424160156</x:v>
      </x:c>
      <x:c r="F1217" s="42" t="n">
        <x:v>0.0008662972648795141</x:v>
      </x:c>
      <x:c r="G1217" s="43" t="n">
        <x:v>1.0330965473757032</x:v>
      </x:c>
      <x:c r="H1217" s="32" t="n">
        <x:v>751897.4179570558</x:v>
      </x:c>
      <x:c r="I1217" s="50" t="b">
        <x:v>1</x:v>
      </x:c>
      <x:c r="J1217" s="50" t="b">
        <x:v>0</x:v>
      </x:c>
      <x:c r="K1217" s="31"/>
      <x:c r="L1217" s="31"/>
    </x:row>
    <x:row r="1218">
      <x:c r="A1218" s="31"/>
      <x:c r="B1218" s="31"/>
      <x:c r="C1218" s="31"/>
      <x:c r="D1218" s="31" t="n">
        <x:v>1214</x:v>
      </x:c>
      <x:c r="E1218" s="42" t="n">
        <x:v>0.016235040420237826</x:v>
      </x:c>
      <x:c r="F1218" s="42" t="n">
        <x:v>-0.0034668984438710054</x:v>
      </x:c>
      <x:c r="G1218" s="43" t="n">
        <x:v>0.9814137088027272</x:v>
      </x:c>
      <x:c r="H1218" s="32" t="n">
        <x:v>1100074.1665615137</x:v>
      </x:c>
      <x:c r="I1218" s="50" t="b">
        <x:v>0</x:v>
      </x:c>
      <x:c r="J1218" s="50" t="b">
        <x:v>0</x:v>
      </x:c>
      <x:c r="K1218" s="31"/>
      <x:c r="L1218" s="31"/>
    </x:row>
    <x:row r="1219">
      <x:c r="A1219" s="31"/>
      <x:c r="B1219" s="31"/>
      <x:c r="C1219" s="31"/>
      <x:c r="D1219" s="31" t="n">
        <x:v>1215</x:v>
      </x:c>
      <x:c r="E1219" s="42" t="n">
        <x:v>0.0013107939754984557</x:v>
      </x:c>
      <x:c r="F1219" s="42" t="n">
        <x:v>-0.002346720012883612</x:v>
      </x:c>
      <x:c r="G1219" s="43" t="n">
        <x:v>1.0282034981723454</x:v>
      </x:c>
      <x:c r="H1219" s="32" t="n">
        <x:v>758265.8539151881</x:v>
      </x:c>
      <x:c r="I1219" s="50" t="b">
        <x:v>1</x:v>
      </x:c>
      <x:c r="J1219" s="50" t="b">
        <x:v>0</x:v>
      </x:c>
      <x:c r="K1219" s="31"/>
      <x:c r="L1219" s="31"/>
    </x:row>
    <x:row r="1220">
      <x:c r="A1220" s="31"/>
      <x:c r="B1220" s="31"/>
      <x:c r="C1220" s="31"/>
      <x:c r="D1220" s="31" t="n">
        <x:v>1216</x:v>
      </x:c>
      <x:c r="E1220" s="42" t="n">
        <x:v>-0.006160712175235893</x:v>
      </x:c>
      <x:c r="F1220" s="42" t="n">
        <x:v>-0.00045879930241525774</x:v>
      </x:c>
      <x:c r="G1220" s="43" t="n">
        <x:v>0.9348969131509153</x:v>
      </x:c>
      <x:c r="H1220" s="32" t="n">
        <x:v>1324776.579049721</x:v>
      </x:c>
      <x:c r="I1220" s="50" t="b">
        <x:v>0</x:v>
      </x:c>
      <x:c r="J1220" s="50" t="b">
        <x:v>0</x:v>
      </x:c>
      <x:c r="K1220" s="31"/>
      <x:c r="L1220" s="31"/>
    </x:row>
    <x:row r="1221">
      <x:c r="A1221" s="31"/>
      <x:c r="B1221" s="31"/>
      <x:c r="C1221" s="31"/>
      <x:c r="D1221" s="31" t="n">
        <x:v>1217</x:v>
      </x:c>
      <x:c r="E1221" s="42" t="n">
        <x:v>0.006846339340143663</x:v>
      </x:c>
      <x:c r="F1221" s="42" t="n">
        <x:v>-0.004061444486451068</x:v>
      </x:c>
      <x:c r="G1221" s="43" t="n">
        <x:v>0.9791559364264193</x:v>
      </x:c>
      <x:c r="H1221" s="32" t="n">
        <x:v>1089933.8946885734</x:v>
      </x:c>
      <x:c r="I1221" s="50" t="b">
        <x:v>0</x:v>
      </x:c>
      <x:c r="J1221" s="50" t="b">
        <x:v>0</x:v>
      </x:c>
      <x:c r="K1221" s="31"/>
      <x:c r="L1221" s="31"/>
    </x:row>
    <x:row r="1222">
      <x:c r="A1222" s="31"/>
      <x:c r="B1222" s="31"/>
      <x:c r="C1222" s="31"/>
      <x:c r="D1222" s="31" t="n">
        <x:v>1218</x:v>
      </x:c>
      <x:c r="E1222" s="42" t="n">
        <x:v>0.01247479980821414</x:v>
      </x:c>
      <x:c r="F1222" s="42" t="n">
        <x:v>-0.0019511108080548282</x:v>
      </x:c>
      <x:c r="G1222" s="43" t="n">
        <x:v>1.0525439858922276</x:v>
      </x:c>
      <x:c r="H1222" s="32" t="n">
        <x:v>633660.5889770299</x:v>
      </x:c>
      <x:c r="I1222" s="50" t="b">
        <x:v>1</x:v>
      </x:c>
      <x:c r="J1222" s="50" t="b">
        <x:v>0</x:v>
      </x:c>
      <x:c r="K1222" s="31"/>
      <x:c r="L1222" s="31"/>
    </x:row>
    <x:row r="1223">
      <x:c r="A1223" s="31"/>
      <x:c r="B1223" s="31"/>
      <x:c r="C1223" s="31"/>
      <x:c r="D1223" s="31" t="n">
        <x:v>1219</x:v>
      </x:c>
      <x:c r="E1223" s="42" t="n">
        <x:v>-0.005586896517738048</x:v>
      </x:c>
      <x:c r="F1223" s="42" t="n">
        <x:v>0.000015363851802851773</x:v>
      </x:c>
      <x:c r="G1223" s="43" t="n">
        <x:v>1.045889100018271</x:v>
      </x:c>
      <x:c r="H1223" s="32" t="n">
        <x:v>620174.9695660141</x:v>
      </x:c>
      <x:c r="I1223" s="50" t="b">
        <x:v>1</x:v>
      </x:c>
      <x:c r="J1223" s="50" t="b">
        <x:v>0</x:v>
      </x:c>
      <x:c r="K1223" s="31"/>
      <x:c r="L1223" s="31"/>
    </x:row>
    <x:row r="1224">
      <x:c r="A1224" s="31"/>
      <x:c r="B1224" s="31"/>
      <x:c r="C1224" s="31"/>
      <x:c r="D1224" s="31" t="n">
        <x:v>1220</x:v>
      </x:c>
      <x:c r="E1224" s="42" t="n">
        <x:v>-0.002536943167753983</x:v>
      </x:c>
      <x:c r="F1224" s="42" t="n">
        <x:v>0.000681362690400966</x:v>
      </x:c>
      <x:c r="G1224" s="43" t="n">
        <x:v>1.004339979357657</x:v>
      </x:c>
      <x:c r="H1224" s="32" t="n">
        <x:v>890677.1022574895</x:v>
      </x:c>
      <x:c r="I1224" s="50" t="b">
        <x:v>1</x:v>
      </x:c>
      <x:c r="J1224" s="50" t="b">
        <x:v>0</x:v>
      </x:c>
      <x:c r="K1224" s="31"/>
      <x:c r="L1224" s="31"/>
    </x:row>
    <x:row r="1225">
      <x:c r="A1225" s="31"/>
      <x:c r="B1225" s="31"/>
      <x:c r="C1225" s="31"/>
      <x:c r="D1225" s="31" t="n">
        <x:v>1221</x:v>
      </x:c>
      <x:c r="E1225" s="42" t="n">
        <x:v>0.005799258849190455</x:v>
      </x:c>
      <x:c r="F1225" s="42" t="n">
        <x:v>-0.00787723922421834</x:v>
      </x:c>
      <x:c r="G1225" s="43" t="n">
        <x:v>0.9777706649573797</x:v>
      </x:c>
      <x:c r="H1225" s="32" t="n">
        <x:v>1106438.1270839637</x:v>
      </x:c>
      <x:c r="I1225" s="50" t="b">
        <x:v>0</x:v>
      </x:c>
      <x:c r="J1225" s="50" t="b">
        <x:v>0</x:v>
      </x:c>
      <x:c r="K1225" s="31"/>
      <x:c r="L1225" s="31"/>
    </x:row>
    <x:row r="1226">
      <x:c r="A1226" s="31"/>
      <x:c r="B1226" s="31"/>
      <x:c r="C1226" s="31"/>
      <x:c r="D1226" s="31" t="n">
        <x:v>1222</x:v>
      </x:c>
      <x:c r="E1226" s="42" t="n">
        <x:v>-0.016385851227217467</x:v>
      </x:c>
      <x:c r="F1226" s="42" t="n">
        <x:v>-0.0016009114437214103</x:v>
      </x:c>
      <x:c r="G1226" s="43" t="n">
        <x:v>1.0193200952816543</x:v>
      </x:c>
      <x:c r="H1226" s="32" t="n">
        <x:v>763346.7748741908</x:v>
      </x:c>
      <x:c r="I1226" s="50" t="b">
        <x:v>1</x:v>
      </x:c>
      <x:c r="J1226" s="50" t="b">
        <x:v>0</x:v>
      </x:c>
      <x:c r="K1226" s="31"/>
      <x:c r="L1226" s="31"/>
    </x:row>
    <x:row r="1227">
      <x:c r="A1227" s="31"/>
      <x:c r="B1227" s="31"/>
      <x:c r="C1227" s="31"/>
      <x:c r="D1227" s="31" t="n">
        <x:v>1223</x:v>
      </x:c>
      <x:c r="E1227" s="42" t="n">
        <x:v>-0.019267688755797686</x:v>
      </x:c>
      <x:c r="F1227" s="42" t="n">
        <x:v>-0.0026126476604401145</x:v>
      </x:c>
      <x:c r="G1227" s="43" t="n">
        <x:v>0.9215888701155013</x:v>
      </x:c>
      <x:c r="H1227" s="32" t="n">
        <x:v>1378803.8022614438</x:v>
      </x:c>
      <x:c r="I1227" s="50" t="b">
        <x:v>0</x:v>
      </x:c>
      <x:c r="J1227" s="50" t="b">
        <x:v>0</x:v>
      </x:c>
      <x:c r="K1227" s="31"/>
      <x:c r="L1227" s="31"/>
    </x:row>
    <x:row r="1228">
      <x:c r="A1228" s="31"/>
      <x:c r="B1228" s="31"/>
      <x:c r="C1228" s="31"/>
      <x:c r="D1228" s="31" t="n">
        <x:v>1224</x:v>
      </x:c>
      <x:c r="E1228" s="42" t="n">
        <x:v>0.010627387954667594</x:v>
      </x:c>
      <x:c r="F1228" s="42" t="n">
        <x:v>-0.006910564724002038</x:v>
      </x:c>
      <x:c r="G1228" s="43" t="n">
        <x:v>0.9815919000979971</x:v>
      </x:c>
      <x:c r="H1228" s="32" t="n">
        <x:v>1092919.022121565</x:v>
      </x:c>
      <x:c r="I1228" s="50" t="b">
        <x:v>0</x:v>
      </x:c>
      <x:c r="J1228" s="50" t="b">
        <x:v>0</x:v>
      </x:c>
      <x:c r="K1228" s="31"/>
      <x:c r="L1228" s="31"/>
    </x:row>
    <x:row r="1229">
      <x:c r="A1229" s="31"/>
      <x:c r="B1229" s="31"/>
      <x:c r="C1229" s="31"/>
      <x:c r="D1229" s="31" t="n">
        <x:v>1225</x:v>
      </x:c>
      <x:c r="E1229" s="42" t="n">
        <x:v>-0.006929897740962427</x:v>
      </x:c>
      <x:c r="F1229" s="42" t="n">
        <x:v>0.011210234594536368</x:v>
      </x:c>
      <x:c r="G1229" s="43" t="n">
        <x:v>1.0009987071329989</x:v>
      </x:c>
      <x:c r="H1229" s="32" t="n">
        <x:v>870361.3125061799</x:v>
      </x:c>
      <x:c r="I1229" s="50" t="b">
        <x:v>1</x:v>
      </x:c>
      <x:c r="J1229" s="50" t="b">
        <x:v>0</x:v>
      </x:c>
      <x:c r="K1229" s="31"/>
      <x:c r="L1229" s="31"/>
    </x:row>
    <x:row r="1230">
      <x:c r="A1230" s="31"/>
      <x:c r="B1230" s="31"/>
      <x:c r="C1230" s="31"/>
      <x:c r="D1230" s="31" t="n">
        <x:v>1226</x:v>
      </x:c>
      <x:c r="E1230" s="42" t="n">
        <x:v>-0.000013257684439803335</x:v>
      </x:c>
      <x:c r="F1230" s="42" t="n">
        <x:v>-0.006748330546113936</x:v>
      </x:c>
      <x:c r="G1230" s="43" t="n">
        <x:v>1.103162013758075</x:v>
      </x:c>
      <x:c r="H1230" s="32" t="n">
        <x:v>290792.64553228</x:v>
      </x:c>
      <x:c r="I1230" s="50" t="b">
        <x:v>1</x:v>
      </x:c>
      <x:c r="J1230" s="50" t="b">
        <x:v>0</x:v>
      </x:c>
      <x:c r="K1230" s="31"/>
      <x:c r="L1230" s="31"/>
    </x:row>
    <x:row r="1231">
      <x:c r="A1231" s="31"/>
      <x:c r="B1231" s="31"/>
      <x:c r="C1231" s="31"/>
      <x:c r="D1231" s="31" t="n">
        <x:v>1227</x:v>
      </x:c>
      <x:c r="E1231" s="42" t="n">
        <x:v>-0.014990525353073056</x:v>
      </x:c>
      <x:c r="F1231" s="42" t="n">
        <x:v>-0.002151115323342451</x:v>
      </x:c>
      <x:c r="G1231" s="43" t="n">
        <x:v>0.9307199126355323</x:v>
      </x:c>
      <x:c r="H1231" s="32" t="n">
        <x:v>1331436.109044647</x:v>
      </x:c>
      <x:c r="I1231" s="50" t="b">
        <x:v>0</x:v>
      </x:c>
      <x:c r="J1231" s="50" t="b">
        <x:v>0</x:v>
      </x:c>
      <x:c r="K1231" s="31"/>
      <x:c r="L1231" s="31"/>
    </x:row>
    <x:row r="1232">
      <x:c r="A1232" s="31"/>
      <x:c r="B1232" s="31"/>
      <x:c r="C1232" s="31"/>
      <x:c r="D1232" s="31" t="n">
        <x:v>1228</x:v>
      </x:c>
      <x:c r="E1232" s="42" t="n">
        <x:v>0.0126064969955914</x:v>
      </x:c>
      <x:c r="F1232" s="42" t="n">
        <x:v>0.004472681524284609</x:v>
      </x:c>
      <x:c r="G1232" s="43" t="n">
        <x:v>1.010017836385092</x:v>
      </x:c>
      <x:c r="H1232" s="32" t="n">
        <x:v>886217.5702688183</x:v>
      </x:c>
      <x:c r="I1232" s="50" t="b">
        <x:v>1</x:v>
      </x:c>
      <x:c r="J1232" s="50" t="b">
        <x:v>0</x:v>
      </x:c>
      <x:c r="K1232" s="31"/>
      <x:c r="L1232" s="31"/>
    </x:row>
    <x:row r="1233">
      <x:c r="A1233" s="31"/>
      <x:c r="B1233" s="31"/>
      <x:c r="C1233" s="31"/>
      <x:c r="D1233" s="31" t="n">
        <x:v>1229</x:v>
      </x:c>
      <x:c r="E1233" s="42" t="n">
        <x:v>0.01387898333941621</x:v>
      </x:c>
      <x:c r="F1233" s="42" t="n">
        <x:v>0.005235666442180465</x:v>
      </x:c>
      <x:c r="G1233" s="43" t="n">
        <x:v>0.9862481840966602</x:v>
      </x:c>
      <x:c r="H1233" s="32" t="n">
        <x:v>1038589.9051579305</x:v>
      </x:c>
      <x:c r="I1233" s="50" t="b">
        <x:v>0</x:v>
      </x:c>
      <x:c r="J1233" s="50" t="b">
        <x:v>0</x:v>
      </x:c>
      <x:c r="K1233" s="31"/>
      <x:c r="L1233" s="31"/>
    </x:row>
    <x:row r="1234">
      <x:c r="A1234" s="31"/>
      <x:c r="B1234" s="31"/>
      <x:c r="C1234" s="31"/>
      <x:c r="D1234" s="31" t="n">
        <x:v>1230</x:v>
      </x:c>
      <x:c r="E1234" s="42" t="n">
        <x:v>0.011739287833121321</x:v>
      </x:c>
      <x:c r="F1234" s="42" t="n">
        <x:v>0.008170885464844157</x:v>
      </x:c>
      <x:c r="G1234" s="43" t="n">
        <x:v>1.0173191055031257</x:v>
      </x:c>
      <x:c r="H1234" s="32" t="n">
        <x:v>827141.411831769</x:v>
      </x:c>
      <x:c r="I1234" s="50" t="b">
        <x:v>1</x:v>
      </x:c>
      <x:c r="J1234" s="50" t="b">
        <x:v>0</x:v>
      </x:c>
      <x:c r="K1234" s="31"/>
      <x:c r="L1234" s="31"/>
    </x:row>
    <x:row r="1235">
      <x:c r="A1235" s="31"/>
      <x:c r="B1235" s="31"/>
      <x:c r="C1235" s="31"/>
      <x:c r="D1235" s="31" t="n">
        <x:v>1231</x:v>
      </x:c>
      <x:c r="E1235" s="42" t="n">
        <x:v>0.017745923706153067</x:v>
      </x:c>
      <x:c r="F1235" s="42" t="n">
        <x:v>0.010266045333792351</x:v>
      </x:c>
      <x:c r="G1235" s="43" t="n">
        <x:v>1.0313432219454872</x:v>
      </x:c>
      <x:c r="H1235" s="32" t="n">
        <x:v>748966.0203045931</x:v>
      </x:c>
      <x:c r="I1235" s="50" t="b">
        <x:v>1</x:v>
      </x:c>
      <x:c r="J1235" s="50" t="b">
        <x:v>0</x:v>
      </x:c>
      <x:c r="K1235" s="31"/>
      <x:c r="L1235" s="31"/>
    </x:row>
    <x:row r="1236">
      <x:c r="A1236" s="31"/>
      <x:c r="B1236" s="31"/>
      <x:c r="C1236" s="31"/>
      <x:c r="D1236" s="31" t="n">
        <x:v>1232</x:v>
      </x:c>
      <x:c r="E1236" s="42" t="n">
        <x:v>-0.0032196811783326467</x:v>
      </x:c>
      <x:c r="F1236" s="42" t="n">
        <x:v>0.004725410367784145</x:v>
      </x:c>
      <x:c r="G1236" s="43" t="n">
        <x:v>1.0433434167997202</x:v>
      </x:c>
      <x:c r="H1236" s="32" t="n">
        <x:v>629820.5384171668</x:v>
      </x:c>
      <x:c r="I1236" s="50" t="b">
        <x:v>1</x:v>
      </x:c>
      <x:c r="J1236" s="50" t="b">
        <x:v>0</x:v>
      </x:c>
      <x:c r="K1236" s="31"/>
      <x:c r="L1236" s="31"/>
    </x:row>
    <x:row r="1237">
      <x:c r="A1237" s="31"/>
      <x:c r="B1237" s="31"/>
      <x:c r="C1237" s="31"/>
      <x:c r="D1237" s="31" t="n">
        <x:v>1233</x:v>
      </x:c>
      <x:c r="E1237" s="42" t="n">
        <x:v>-0.0027931399059895772</x:v>
      </x:c>
      <x:c r="F1237" s="42" t="n">
        <x:v>0.005400446910550219</x:v>
      </x:c>
      <x:c r="G1237" s="43" t="n">
        <x:v>0.9980317983904499</x:v>
      </x:c>
      <x:c r="H1237" s="32" t="n">
        <x:v>916889.7142012153</x:v>
      </x:c>
      <x:c r="I1237" s="50" t="b">
        <x:v>1</x:v>
      </x:c>
      <x:c r="J1237" s="50" t="b">
        <x:v>0</x:v>
      </x:c>
      <x:c r="K1237" s="31"/>
      <x:c r="L1237" s="31"/>
    </x:row>
    <x:row r="1238">
      <x:c r="A1238" s="31"/>
      <x:c r="B1238" s="31"/>
      <x:c r="C1238" s="31"/>
      <x:c r="D1238" s="31" t="n">
        <x:v>1234</x:v>
      </x:c>
      <x:c r="E1238" s="42" t="n">
        <x:v>-0.019815330141703846</x:v>
      </x:c>
      <x:c r="F1238" s="42" t="n">
        <x:v>-0.007989087010805359</x:v>
      </x:c>
      <x:c r="G1238" s="43" t="n">
        <x:v>0.9783176470446793</x:v>
      </x:c>
      <x:c r="H1238" s="32" t="n">
        <x:v>1031976.9579965733</x:v>
      </x:c>
      <x:c r="I1238" s="50" t="b">
        <x:v>0</x:v>
      </x:c>
      <x:c r="J1238" s="50" t="b">
        <x:v>0</x:v>
      </x:c>
      <x:c r="K1238" s="31"/>
      <x:c r="L1238" s="31"/>
    </x:row>
    <x:row r="1239">
      <x:c r="A1239" s="31"/>
      <x:c r="B1239" s="31"/>
      <x:c r="C1239" s="31"/>
      <x:c r="D1239" s="31" t="n">
        <x:v>1235</x:v>
      </x:c>
      <x:c r="E1239" s="42" t="n">
        <x:v>-0.02036465319212654</x:v>
      </x:c>
      <x:c r="F1239" s="42" t="n">
        <x:v>-0.010485665019135688</x:v>
      </x:c>
      <x:c r="G1239" s="43" t="n">
        <x:v>1.0054228756642953</x:v>
      </x:c>
      <x:c r="H1239" s="32" t="n">
        <x:v>865259.7869060037</x:v>
      </x:c>
      <x:c r="I1239" s="50" t="b">
        <x:v>1</x:v>
      </x:c>
      <x:c r="J1239" s="50" t="b">
        <x:v>0</x:v>
      </x:c>
      <x:c r="K1239" s="31"/>
      <x:c r="L1239" s="31"/>
    </x:row>
    <x:row r="1240">
      <x:c r="A1240" s="31"/>
      <x:c r="B1240" s="31"/>
      <x:c r="C1240" s="31"/>
      <x:c r="D1240" s="31" t="n">
        <x:v>1236</x:v>
      </x:c>
      <x:c r="E1240" s="42" t="n">
        <x:v>-0.0033071490871045372</x:v>
      </x:c>
      <x:c r="F1240" s="42" t="n">
        <x:v>-0.005178202985178691</x:v>
      </x:c>
      <x:c r="G1240" s="43" t="n">
        <x:v>0.9803446747837687</x:v>
      </x:c>
      <x:c r="H1240" s="32" t="n">
        <x:v>1057230.626153736</x:v>
      </x:c>
      <x:c r="I1240" s="50" t="b">
        <x:v>0</x:v>
      </x:c>
      <x:c r="J1240" s="50" t="b">
        <x:v>0</x:v>
      </x:c>
      <x:c r="K1240" s="31"/>
      <x:c r="L1240" s="31"/>
    </x:row>
    <x:row r="1241">
      <x:c r="A1241" s="31"/>
      <x:c r="B1241" s="31"/>
      <x:c r="C1241" s="31"/>
      <x:c r="D1241" s="31" t="n">
        <x:v>1237</x:v>
      </x:c>
      <x:c r="E1241" s="42" t="n">
        <x:v>0.01178669093039598</x:v>
      </x:c>
      <x:c r="F1241" s="42" t="n">
        <x:v>0.006424948709145345</x:v>
      </x:c>
      <x:c r="G1241" s="43" t="n">
        <x:v>1.0570017016689475</x:v>
      </x:c>
      <x:c r="H1241" s="32" t="n">
        <x:v>580120.6230665734</x:v>
      </x:c>
      <x:c r="I1241" s="50" t="b">
        <x:v>1</x:v>
      </x:c>
      <x:c r="J1241" s="50" t="b">
        <x:v>0</x:v>
      </x:c>
      <x:c r="K1241" s="31"/>
      <x:c r="L1241" s="31"/>
    </x:row>
    <x:row r="1242">
      <x:c r="A1242" s="31"/>
      <x:c r="B1242" s="31"/>
      <x:c r="C1242" s="31"/>
      <x:c r="D1242" s="31" t="n">
        <x:v>1238</x:v>
      </x:c>
      <x:c r="E1242" s="42" t="n">
        <x:v>0.008330307978000547</x:v>
      </x:c>
      <x:c r="F1242" s="42" t="n">
        <x:v>0.002469852684278983</x:v>
      </x:c>
      <x:c r="G1242" s="43" t="n">
        <x:v>1.026088934493903</x:v>
      </x:c>
      <x:c r="H1242" s="32" t="n">
        <x:v>777826.7668220865</x:v>
      </x:c>
      <x:c r="I1242" s="50" t="b">
        <x:v>1</x:v>
      </x:c>
      <x:c r="J1242" s="50" t="b">
        <x:v>0</x:v>
      </x:c>
      <x:c r="K1242" s="31"/>
      <x:c r="L1242" s="31"/>
    </x:row>
    <x:row r="1243">
      <x:c r="A1243" s="31"/>
      <x:c r="B1243" s="31"/>
      <x:c r="C1243" s="31"/>
      <x:c r="D1243" s="31" t="n">
        <x:v>1239</x:v>
      </x:c>
      <x:c r="E1243" s="42" t="n">
        <x:v>-0.019097321854691457</x:v>
      </x:c>
      <x:c r="F1243" s="42" t="n">
        <x:v>-0.00866950026568744</x:v>
      </x:c>
      <x:c r="G1243" s="43" t="n">
        <x:v>0.913167289502529</x:v>
      </x:c>
      <x:c r="H1243" s="32" t="n">
        <x:v>1449620.407087685</x:v>
      </x:c>
      <x:c r="I1243" s="50" t="b">
        <x:v>0</x:v>
      </x:c>
      <x:c r="J1243" s="50" t="b">
        <x:v>0</x:v>
      </x:c>
      <x:c r="K1243" s="31"/>
      <x:c r="L1243" s="31"/>
    </x:row>
    <x:row r="1244">
      <x:c r="A1244" s="31"/>
      <x:c r="B1244" s="31"/>
      <x:c r="C1244" s="31"/>
      <x:c r="D1244" s="31" t="n">
        <x:v>1240</x:v>
      </x:c>
      <x:c r="E1244" s="42" t="n">
        <x:v>0.014578908045359952</x:v>
      </x:c>
      <x:c r="F1244" s="42" t="n">
        <x:v>0.002218553932633111</x:v>
      </x:c>
      <x:c r="G1244" s="43" t="n">
        <x:v>0.9934337169379085</x:v>
      </x:c>
      <x:c r="H1244" s="32" t="n">
        <x:v>1003303.1380994483</x:v>
      </x:c>
      <x:c r="I1244" s="50" t="b">
        <x:v>0</x:v>
      </x:c>
      <x:c r="J1244" s="50" t="b">
        <x:v>0</x:v>
      </x:c>
      <x:c r="K1244" s="31"/>
      <x:c r="L1244" s="31"/>
    </x:row>
    <x:row r="1245">
      <x:c r="A1245" s="31"/>
      <x:c r="B1245" s="31"/>
      <x:c r="C1245" s="31"/>
      <x:c r="D1245" s="31" t="n">
        <x:v>1241</x:v>
      </x:c>
      <x:c r="E1245" s="42" t="n">
        <x:v>0.0014074404718155177</x:v>
      </x:c>
      <x:c r="F1245" s="42" t="n">
        <x:v>-0.005203425002358901</x:v>
      </x:c>
      <x:c r="G1245" s="43" t="n">
        <x:v>1.0455728889452744</x:v>
      </x:c>
      <x:c r="H1245" s="32" t="n">
        <x:v>656178.6403355722</x:v>
      </x:c>
      <x:c r="I1245" s="50" t="b">
        <x:v>1</x:v>
      </x:c>
      <x:c r="J1245" s="50" t="b">
        <x:v>0</x:v>
      </x:c>
      <x:c r="K1245" s="31"/>
      <x:c r="L1245" s="31"/>
    </x:row>
    <x:row r="1246">
      <x:c r="A1246" s="31"/>
      <x:c r="B1246" s="31"/>
      <x:c r="C1246" s="31"/>
      <x:c r="D1246" s="31" t="n">
        <x:v>1242</x:v>
      </x:c>
      <x:c r="E1246" s="42" t="n">
        <x:v>-0.02084730871301406</x:v>
      </x:c>
      <x:c r="F1246" s="42" t="n">
        <x:v>0.0027494300603876404</x:v>
      </x:c>
      <x:c r="G1246" s="43" t="n">
        <x:v>1.0159220446406518</x:v>
      </x:c>
      <x:c r="H1246" s="32" t="n">
        <x:v>760398.9652270197</x:v>
      </x:c>
      <x:c r="I1246" s="50" t="b">
        <x:v>1</x:v>
      </x:c>
      <x:c r="J1246" s="50" t="b">
        <x:v>0</x:v>
      </x:c>
      <x:c r="K1246" s="31"/>
      <x:c r="L1246" s="31"/>
    </x:row>
    <x:row r="1247">
      <x:c r="A1247" s="31"/>
      <x:c r="B1247" s="31"/>
      <x:c r="C1247" s="31"/>
      <x:c r="D1247" s="31" t="n">
        <x:v>1243</x:v>
      </x:c>
      <x:c r="E1247" s="42" t="n">
        <x:v>-0.00817083412993886</x:v>
      </x:c>
      <x:c r="F1247" s="42" t="n">
        <x:v>0.0016259379064549391</x:v>
      </x:c>
      <x:c r="G1247" s="43" t="n">
        <x:v>1.039906128397652</x:v>
      </x:c>
      <x:c r="H1247" s="32" t="n">
        <x:v>646495.5604661654</x:v>
      </x:c>
      <x:c r="I1247" s="50" t="b">
        <x:v>1</x:v>
      </x:c>
      <x:c r="J1247" s="50" t="b">
        <x:v>0</x:v>
      </x:c>
      <x:c r="K1247" s="31"/>
      <x:c r="L1247" s="31"/>
    </x:row>
    <x:row r="1248">
      <x:c r="A1248" s="31"/>
      <x:c r="B1248" s="31"/>
      <x:c r="C1248" s="31"/>
      <x:c r="D1248" s="31" t="n">
        <x:v>1244</x:v>
      </x:c>
      <x:c r="E1248" s="42" t="n">
        <x:v>-0.005790810940743306</x:v>
      </x:c>
      <x:c r="F1248" s="42" t="n">
        <x:v>0.00499933709995583</x:v>
      </x:c>
      <x:c r="G1248" s="43" t="n">
        <x:v>0.9300176936642556</x:v>
      </x:c>
      <x:c r="H1248" s="32" t="n">
        <x:v>1341599.8630148459</x:v>
      </x:c>
      <x:c r="I1248" s="50" t="b">
        <x:v>0</x:v>
      </x:c>
      <x:c r="J1248" s="50" t="b">
        <x:v>0</x:v>
      </x:c>
      <x:c r="K1248" s="31"/>
      <x:c r="L1248" s="31"/>
    </x:row>
    <x:row r="1249">
      <x:c r="A1249" s="31"/>
      <x:c r="B1249" s="31"/>
      <x:c r="C1249" s="31"/>
      <x:c r="D1249" s="31" t="n">
        <x:v>1245</x:v>
      </x:c>
      <x:c r="E1249" s="42" t="n">
        <x:v>-0.01585578325074518</x:v>
      </x:c>
      <x:c r="F1249" s="42" t="n">
        <x:v>-0.00021819241807721784</x:v>
      </x:c>
      <x:c r="G1249" s="43" t="n">
        <x:v>0.890154948271398</x:v>
      </x:c>
      <x:c r="H1249" s="32" t="n">
        <x:v>1581263.56372954</x:v>
      </x:c>
      <x:c r="I1249" s="50" t="b">
        <x:v>0</x:v>
      </x:c>
      <x:c r="J1249" s="50" t="b">
        <x:v>0</x:v>
      </x:c>
      <x:c r="K1249" s="31"/>
      <x:c r="L1249" s="31"/>
    </x:row>
    <x:row r="1250">
      <x:c r="A1250" s="31"/>
      <x:c r="B1250" s="31"/>
      <x:c r="C1250" s="31"/>
      <x:c r="D1250" s="31" t="n">
        <x:v>1246</x:v>
      </x:c>
      <x:c r="E1250" s="42" t="n">
        <x:v>-0.006837335490214679</x:v>
      </x:c>
      <x:c r="F1250" s="42" t="n">
        <x:v>-0.0028543148384595255</x:v>
      </x:c>
      <x:c r="G1250" s="43" t="n">
        <x:v>0.9729159887927066</x:v>
      </x:c>
      <x:c r="H1250" s="32" t="n">
        <x:v>1088113.0971310835</x:v>
      </x:c>
      <x:c r="I1250" s="50" t="b">
        <x:v>0</x:v>
      </x:c>
      <x:c r="J1250" s="50" t="b">
        <x:v>0</x:v>
      </x:c>
      <x:c r="K1250" s="31"/>
      <x:c r="L1250" s="31"/>
    </x:row>
    <x:row r="1251">
      <x:c r="A1251" s="31"/>
      <x:c r="B1251" s="31"/>
      <x:c r="C1251" s="31"/>
      <x:c r="D1251" s="31" t="n">
        <x:v>1247</x:v>
      </x:c>
      <x:c r="E1251" s="42" t="n">
        <x:v>0.013115020942953588</x:v>
      </x:c>
      <x:c r="F1251" s="42" t="n">
        <x:v>0.0024844128817672986</x:v>
      </x:c>
      <x:c r="G1251" s="43" t="n">
        <x:v>1.0051686382842762</x:v>
      </x:c>
      <x:c r="H1251" s="32" t="n">
        <x:v>923963.2900678931</x:v>
      </x:c>
      <x:c r="I1251" s="50" t="b">
        <x:v>1</x:v>
      </x:c>
      <x:c r="J1251" s="50" t="b">
        <x:v>0</x:v>
      </x:c>
      <x:c r="K1251" s="31"/>
      <x:c r="L1251" s="31"/>
    </x:row>
    <x:row r="1252">
      <x:c r="A1252" s="31"/>
      <x:c r="B1252" s="31"/>
      <x:c r="C1252" s="31"/>
      <x:c r="D1252" s="31" t="n">
        <x:v>1248</x:v>
      </x:c>
      <x:c r="E1252" s="42" t="n">
        <x:v>-0.003846399205035061</x:v>
      </x:c>
      <x:c r="F1252" s="42" t="n">
        <x:v>0.0007390937959534708</x:v>
      </x:c>
      <x:c r="G1252" s="43" t="n">
        <x:v>1.013143692692289</x:v>
      </x:c>
      <x:c r="H1252" s="32" t="n">
        <x:v>830961.6918244433</x:v>
      </x:c>
      <x:c r="I1252" s="50" t="b">
        <x:v>1</x:v>
      </x:c>
      <x:c r="J1252" s="50" t="b">
        <x:v>0</x:v>
      </x:c>
      <x:c r="K1252" s="31"/>
      <x:c r="L1252" s="31"/>
    </x:row>
    <x:row r="1253">
      <x:c r="A1253" s="31"/>
      <x:c r="B1253" s="31"/>
      <x:c r="C1253" s="31"/>
      <x:c r="D1253" s="31" t="n">
        <x:v>1249</x:v>
      </x:c>
      <x:c r="E1253" s="42" t="n">
        <x:v>0.01132600441464633</x:v>
      </x:c>
      <x:c r="F1253" s="42" t="n">
        <x:v>-0.010290708250540058</x:v>
      </x:c>
      <x:c r="G1253" s="43" t="n">
        <x:v>1.0455440212861193</x:v>
      </x:c>
      <x:c r="H1253" s="32" t="n">
        <x:v>698131.0786970707</x:v>
      </x:c>
      <x:c r="I1253" s="50" t="b">
        <x:v>1</x:v>
      </x:c>
      <x:c r="J1253" s="50" t="b">
        <x:v>0</x:v>
      </x:c>
      <x:c r="K1253" s="31"/>
      <x:c r="L1253" s="31"/>
    </x:row>
    <x:row r="1254">
      <x:c r="A1254" s="31"/>
      <x:c r="B1254" s="31"/>
      <x:c r="C1254" s="31"/>
      <x:c r="D1254" s="31" t="n">
        <x:v>1250</x:v>
      </x:c>
      <x:c r="E1254" s="42" t="n">
        <x:v>0.005345488748345074</x:v>
      </x:c>
      <x:c r="F1254" s="42" t="n">
        <x:v>-0.0038862193328275015</x:v>
      </x:c>
      <x:c r="G1254" s="43" t="n">
        <x:v>0.9893414908140915</x:v>
      </x:c>
      <x:c r="H1254" s="32" t="n">
        <x:v>1020583.0166372968</x:v>
      </x:c>
      <x:c r="I1254" s="50" t="b">
        <x:v>0</x:v>
      </x:c>
      <x:c r="J1254" s="50" t="b">
        <x:v>0</x:v>
      </x:c>
      <x:c r="K1254" s="31"/>
      <x:c r="L1254" s="31"/>
    </x:row>
    <x:row r="1255">
      <x:c r="A1255" s="31"/>
      <x:c r="B1255" s="31"/>
      <x:c r="C1255" s="31"/>
      <x:c r="D1255" s="31" t="n">
        <x:v>1251</x:v>
      </x:c>
      <x:c r="E1255" s="42" t="n">
        <x:v>-0.0007727099325515175</x:v>
      </x:c>
      <x:c r="F1255" s="42" t="n">
        <x:v>-0.0033619007408689982</x:v>
      </x:c>
      <x:c r="G1255" s="43" t="n">
        <x:v>0.935101678101656</x:v>
      </x:c>
      <x:c r="H1255" s="32" t="n">
        <x:v>1346554.6474720594</x:v>
      </x:c>
      <x:c r="I1255" s="50" t="b">
        <x:v>0</x:v>
      </x:c>
      <x:c r="J1255" s="50" t="b">
        <x:v>0</x:v>
      </x:c>
      <x:c r="K1255" s="31"/>
      <x:c r="L1255" s="31"/>
    </x:row>
    <x:row r="1256">
      <x:c r="A1256" s="31"/>
      <x:c r="B1256" s="31"/>
      <x:c r="C1256" s="31"/>
      <x:c r="D1256" s="31" t="n">
        <x:v>1252</x:v>
      </x:c>
      <x:c r="E1256" s="42" t="n">
        <x:v>-0.00866913231640649</x:v>
      </x:c>
      <x:c r="F1256" s="42" t="n">
        <x:v>-0.0014296660972482602</x:v>
      </x:c>
      <x:c r="G1256" s="43" t="n">
        <x:v>0.9490938161559003</x:v>
      </x:c>
      <x:c r="H1256" s="32" t="n">
        <x:v>1230336.37649556</x:v>
      </x:c>
      <x:c r="I1256" s="50" t="b">
        <x:v>0</x:v>
      </x:c>
      <x:c r="J1256" s="50" t="b">
        <x:v>0</x:v>
      </x:c>
      <x:c r="K1256" s="31"/>
      <x:c r="L1256" s="31"/>
    </x:row>
    <x:row r="1257">
      <x:c r="A1257" s="31"/>
      <x:c r="B1257" s="31"/>
      <x:c r="C1257" s="31"/>
      <x:c r="D1257" s="31" t="n">
        <x:v>1253</x:v>
      </x:c>
      <x:c r="E1257" s="42" t="n">
        <x:v>-0.02046151371246994</x:v>
      </x:c>
      <x:c r="F1257" s="42" t="n">
        <x:v>0.004294014868945774</x:v>
      </x:c>
      <x:c r="G1257" s="43" t="n">
        <x:v>1.0190522309987886</x:v>
      </x:c>
      <x:c r="H1257" s="32" t="n">
        <x:v>737294.5478489826</x:v>
      </x:c>
      <x:c r="I1257" s="50" t="b">
        <x:v>1</x:v>
      </x:c>
      <x:c r="J1257" s="50" t="b">
        <x:v>0</x:v>
      </x:c>
      <x:c r="K1257" s="31"/>
      <x:c r="L1257" s="31"/>
    </x:row>
    <x:row r="1258">
      <x:c r="A1258" s="31"/>
      <x:c r="B1258" s="31"/>
      <x:c r="C1258" s="31"/>
      <x:c r="D1258" s="31" t="n">
        <x:v>1254</x:v>
      </x:c>
      <x:c r="E1258" s="42" t="n">
        <x:v>0.00015247938280157347</x:v>
      </x:c>
      <x:c r="F1258" s="42" t="n">
        <x:v>-0.005935616977179719</x:v>
      </x:c>
      <x:c r="G1258" s="43" t="n">
        <x:v>0.9964165194154492</x:v>
      </x:c>
      <x:c r="H1258" s="32" t="n">
        <x:v>966901.2613736046</x:v>
      </x:c>
      <x:c r="I1258" s="50" t="b">
        <x:v>1</x:v>
      </x:c>
      <x:c r="J1258" s="50" t="b">
        <x:v>0</x:v>
      </x:c>
      <x:c r="K1258" s="31"/>
      <x:c r="L1258" s="31"/>
    </x:row>
    <x:row r="1259">
      <x:c r="A1259" s="31"/>
      <x:c r="B1259" s="31"/>
      <x:c r="C1259" s="31"/>
      <x:c r="D1259" s="31" t="n">
        <x:v>1255</x:v>
      </x:c>
      <x:c r="E1259" s="42" t="n">
        <x:v>-0.010944249190026237</x:v>
      </x:c>
      <x:c r="F1259" s="42" t="n">
        <x:v>-0.000928970970906091</x:v>
      </x:c>
      <x:c r="G1259" s="43" t="n">
        <x:v>1.0525321360907682</x:v>
      </x:c>
      <x:c r="H1259" s="32" t="n">
        <x:v>565703.2527135378</x:v>
      </x:c>
      <x:c r="I1259" s="50" t="b">
        <x:v>1</x:v>
      </x:c>
      <x:c r="J1259" s="50" t="b">
        <x:v>0</x:v>
      </x:c>
      <x:c r="K1259" s="31"/>
      <x:c r="L1259" s="31"/>
    </x:row>
    <x:row r="1260">
      <x:c r="A1260" s="31"/>
      <x:c r="B1260" s="31"/>
      <x:c r="C1260" s="31"/>
      <x:c r="D1260" s="31" t="n">
        <x:v>1256</x:v>
      </x:c>
      <x:c r="E1260" s="42" t="n">
        <x:v>-0.0007590040791119819</x:v>
      </x:c>
      <x:c r="F1260" s="42" t="n">
        <x:v>-0.0006781226272434749</x:v>
      </x:c>
      <x:c r="G1260" s="43" t="n">
        <x:v>1.00275287267026</x:v>
      </x:c>
      <x:c r="H1260" s="32" t="n">
        <x:v>909489.4441367476</x:v>
      </x:c>
      <x:c r="I1260" s="50" t="b">
        <x:v>1</x:v>
      </x:c>
      <x:c r="J1260" s="50" t="b">
        <x:v>0</x:v>
      </x:c>
      <x:c r="K1260" s="31"/>
      <x:c r="L1260" s="31"/>
    </x:row>
    <x:row r="1261">
      <x:c r="A1261" s="31"/>
      <x:c r="B1261" s="31"/>
      <x:c r="C1261" s="31"/>
      <x:c r="D1261" s="31" t="n">
        <x:v>1257</x:v>
      </x:c>
      <x:c r="E1261" s="42" t="n">
        <x:v>0.005101778420095499</x:v>
      </x:c>
      <x:c r="F1261" s="42" t="n">
        <x:v>-0.0013895638370012872</x:v>
      </x:c>
      <x:c r="G1261" s="43" t="n">
        <x:v>1.055124170279327</x:v>
      </x:c>
      <x:c r="H1261" s="32" t="n">
        <x:v>595188.5438507468</x:v>
      </x:c>
      <x:c r="I1261" s="50" t="b">
        <x:v>1</x:v>
      </x:c>
      <x:c r="J1261" s="50" t="b">
        <x:v>0</x:v>
      </x:c>
      <x:c r="K1261" s="31"/>
      <x:c r="L1261" s="31"/>
    </x:row>
    <x:row r="1262">
      <x:c r="A1262" s="31"/>
      <x:c r="B1262" s="31"/>
      <x:c r="C1262" s="31"/>
      <x:c r="D1262" s="31" t="n">
        <x:v>1258</x:v>
      </x:c>
      <x:c r="E1262" s="42" t="n">
        <x:v>0.005213157049678205</x:v>
      </x:c>
      <x:c r="F1262" s="42" t="n">
        <x:v>-0.002464229917703337</x:v>
      </x:c>
      <x:c r="G1262" s="43" t="n">
        <x:v>0.9217203804699166</x:v>
      </x:c>
      <x:c r="H1262" s="32" t="n">
        <x:v>1445698.4712451545</x:v>
      </x:c>
      <x:c r="I1262" s="50" t="b">
        <x:v>0</x:v>
      </x:c>
      <x:c r="J1262" s="50" t="b">
        <x:v>0</x:v>
      </x:c>
      <x:c r="K1262" s="31"/>
      <x:c r="L1262" s="31"/>
    </x:row>
    <x:row r="1263">
      <x:c r="A1263" s="31"/>
      <x:c r="B1263" s="31"/>
      <x:c r="C1263" s="31"/>
      <x:c r="D1263" s="31" t="n">
        <x:v>1259</x:v>
      </x:c>
      <x:c r="E1263" s="42" t="n">
        <x:v>0.0020246346141995597</x:v>
      </x:c>
      <x:c r="F1263" s="42" t="n">
        <x:v>-0.00118736128281683</x:v>
      </x:c>
      <x:c r="G1263" s="43" t="n">
        <x:v>0.9968632009331622</x:v>
      </x:c>
      <x:c r="H1263" s="32" t="n">
        <x:v>956058.8279922572</x:v>
      </x:c>
      <x:c r="I1263" s="50" t="b">
        <x:v>1</x:v>
      </x:c>
      <x:c r="J1263" s="50" t="b">
        <x:v>0</x:v>
      </x:c>
      <x:c r="K1263" s="31"/>
      <x:c r="L1263" s="31"/>
    </x:row>
    <x:row r="1264">
      <x:c r="A1264" s="31"/>
      <x:c r="B1264" s="31"/>
      <x:c r="C1264" s="31"/>
      <x:c r="D1264" s="31" t="n">
        <x:v>1260</x:v>
      </x:c>
      <x:c r="E1264" s="42" t="n">
        <x:v>-0.008437710719950331</x:v>
      </x:c>
      <x:c r="F1264" s="42" t="n">
        <x:v>-0.0016942045781407915</x:v>
      </x:c>
      <x:c r="G1264" s="43" t="n">
        <x:v>1.0718774189823363</x:v>
      </x:c>
      <x:c r="H1264" s="32" t="n">
        <x:v>451954.05557220266</x:v>
      </x:c>
      <x:c r="I1264" s="50" t="b">
        <x:v>1</x:v>
      </x:c>
      <x:c r="J1264" s="50" t="b">
        <x:v>0</x:v>
      </x:c>
      <x:c r="K1264" s="31"/>
      <x:c r="L1264" s="31"/>
    </x:row>
    <x:row r="1265">
      <x:c r="A1265" s="31"/>
      <x:c r="B1265" s="31"/>
      <x:c r="C1265" s="31"/>
      <x:c r="D1265" s="31" t="n">
        <x:v>1261</x:v>
      </x:c>
      <x:c r="E1265" s="42" t="n">
        <x:v>-0.011887580392531715</x:v>
      </x:c>
      <x:c r="F1265" s="42" t="n">
        <x:v>0.00302690061889209</x:v>
      </x:c>
      <x:c r="G1265" s="43" t="n">
        <x:v>0.9658314750565339</x:v>
      </x:c>
      <x:c r="H1265" s="32" t="n">
        <x:v>1102676.8145885174</x:v>
      </x:c>
      <x:c r="I1265" s="50" t="b">
        <x:v>0</x:v>
      </x:c>
      <x:c r="J1265" s="50" t="b">
        <x:v>0</x:v>
      </x:c>
      <x:c r="K1265" s="31"/>
      <x:c r="L1265" s="31"/>
    </x:row>
    <x:row r="1266">
      <x:c r="A1266" s="31"/>
      <x:c r="B1266" s="31"/>
      <x:c r="C1266" s="31"/>
      <x:c r="D1266" s="31" t="n">
        <x:v>1262</x:v>
      </x:c>
      <x:c r="E1266" s="42" t="n">
        <x:v>-0.00003699584114940233</x:v>
      </x:c>
      <x:c r="F1266" s="42" t="n">
        <x:v>-0.005259657050543817</x:v>
      </x:c>
      <x:c r="G1266" s="43" t="n">
        <x:v>0.9581106315593576</x:v>
      </x:c>
      <x:c r="H1266" s="32" t="n">
        <x:v>1207761.8206553287</x:v>
      </x:c>
      <x:c r="I1266" s="50" t="b">
        <x:v>0</x:v>
      </x:c>
      <x:c r="J1266" s="50" t="b">
        <x:v>0</x:v>
      </x:c>
      <x:c r="K1266" s="31"/>
      <x:c r="L1266" s="31"/>
    </x:row>
    <x:row r="1267">
      <x:c r="A1267" s="31"/>
      <x:c r="B1267" s="31"/>
      <x:c r="C1267" s="31"/>
      <x:c r="D1267" s="31" t="n">
        <x:v>1263</x:v>
      </x:c>
      <x:c r="E1267" s="42" t="n">
        <x:v>-0.012438936790999685</x:v>
      </x:c>
      <x:c r="F1267" s="42" t="n">
        <x:v>0.005619860584901146</x:v>
      </x:c>
      <x:c r="G1267" s="43" t="n">
        <x:v>1.0249689978308967</x:v>
      </x:c>
      <x:c r="H1267" s="32" t="n">
        <x:v>718359.3877949198</x:v>
      </x:c>
      <x:c r="I1267" s="50" t="b">
        <x:v>1</x:v>
      </x:c>
      <x:c r="J1267" s="50" t="b">
        <x:v>0</x:v>
      </x:c>
      <x:c r="K1267" s="31"/>
      <x:c r="L1267" s="31"/>
    </x:row>
    <x:row r="1268">
      <x:c r="A1268" s="31"/>
      <x:c r="B1268" s="31"/>
      <x:c r="C1268" s="31"/>
      <x:c r="D1268" s="31" t="n">
        <x:v>1264</x:v>
      </x:c>
      <x:c r="E1268" s="42" t="n">
        <x:v>0.004856706902344446</x:v>
      </x:c>
      <x:c r="F1268" s="42" t="n">
        <x:v>0.0017424512705928948</x:v>
      </x:c>
      <x:c r="G1268" s="43" t="n">
        <x:v>0.954263117624583</x:v>
      </x:c>
      <x:c r="H1268" s="32" t="n">
        <x:v>1226327.465399079</x:v>
      </x:c>
      <x:c r="I1268" s="50" t="b">
        <x:v>0</x:v>
      </x:c>
      <x:c r="J1268" s="50" t="b">
        <x:v>0</x:v>
      </x:c>
      <x:c r="K1268" s="31"/>
      <x:c r="L1268" s="31"/>
    </x:row>
    <x:row r="1269">
      <x:c r="A1269" s="31"/>
      <x:c r="B1269" s="31"/>
      <x:c r="C1269" s="31"/>
      <x:c r="D1269" s="31" t="n">
        <x:v>1265</x:v>
      </x:c>
      <x:c r="E1269" s="42" t="n">
        <x:v>-0.009061746750220272</x:v>
      </x:c>
      <x:c r="F1269" s="42" t="n">
        <x:v>0.0023800445958290493</x:v>
      </x:c>
      <x:c r="G1269" s="43" t="n">
        <x:v>0.9694242299636958</x:v>
      </x:c>
      <x:c r="H1269" s="32" t="n">
        <x:v>1089526.5850970983</x:v>
      </x:c>
      <x:c r="I1269" s="50" t="b">
        <x:v>0</x:v>
      </x:c>
      <x:c r="J1269" s="50" t="b">
        <x:v>0</x:v>
      </x:c>
      <x:c r="K1269" s="31"/>
      <x:c r="L1269" s="31"/>
    </x:row>
    <x:row r="1270">
      <x:c r="A1270" s="31"/>
      <x:c r="B1270" s="31"/>
      <x:c r="C1270" s="31"/>
      <x:c r="D1270" s="31" t="n">
        <x:v>1266</x:v>
      </x:c>
      <x:c r="E1270" s="42" t="n">
        <x:v>0.0030887241434370966</x:v>
      </x:c>
      <x:c r="F1270" s="42" t="n">
        <x:v>0.0027922769856686823</x:v>
      </x:c>
      <x:c r="G1270" s="43" t="n">
        <x:v>0.9515325515603826</x:v>
      </x:c>
      <x:c r="H1270" s="32" t="n">
        <x:v>1235825.0614235587</x:v>
      </x:c>
      <x:c r="I1270" s="50" t="b">
        <x:v>0</x:v>
      </x:c>
      <x:c r="J1270" s="50" t="b">
        <x:v>0</x:v>
      </x:c>
      <x:c r="K1270" s="31"/>
      <x:c r="L1270" s="31"/>
    </x:row>
    <x:row r="1271">
      <x:c r="A1271" s="31"/>
      <x:c r="B1271" s="31"/>
      <x:c r="C1271" s="31"/>
      <x:c r="D1271" s="31" t="n">
        <x:v>1267</x:v>
      </x:c>
      <x:c r="E1271" s="42" t="n">
        <x:v>-0.000025423983007413425</x:v>
      </x:c>
      <x:c r="F1271" s="42" t="n">
        <x:v>-0.009730533483428245</x:v>
      </x:c>
      <x:c r="G1271" s="43" t="n">
        <x:v>1.048767167898523</x:v>
      </x:c>
      <x:c r="H1271" s="32" t="n">
        <x:v>644505.603538252</x:v>
      </x:c>
      <x:c r="I1271" s="50" t="b">
        <x:v>1</x:v>
      </x:c>
      <x:c r="J1271" s="50" t="b">
        <x:v>0</x:v>
      </x:c>
      <x:c r="K1271" s="31"/>
      <x:c r="L1271" s="31"/>
    </x:row>
    <x:row r="1272">
      <x:c r="A1272" s="31"/>
      <x:c r="B1272" s="31"/>
      <x:c r="C1272" s="31"/>
      <x:c r="D1272" s="31" t="n">
        <x:v>1268</x:v>
      </x:c>
      <x:c r="E1272" s="42" t="n">
        <x:v>-0.012683352823178446</x:v>
      </x:c>
      <x:c r="F1272" s="42" t="n">
        <x:v>0.007796896543456005</x:v>
      </x:c>
      <x:c r="G1272" s="43" t="n">
        <x:v>0.9961450800624169</x:v>
      </x:c>
      <x:c r="H1272" s="32" t="n">
        <x:v>894671.5142532908</x:v>
      </x:c>
      <x:c r="I1272" s="50" t="b">
        <x:v>1</x:v>
      </x:c>
      <x:c r="J1272" s="50" t="b">
        <x:v>0</x:v>
      </x:c>
      <x:c r="K1272" s="31"/>
      <x:c r="L1272" s="31"/>
    </x:row>
    <x:row r="1273">
      <x:c r="A1273" s="31"/>
      <x:c r="B1273" s="31"/>
      <x:c r="C1273" s="31"/>
      <x:c r="D1273" s="31" t="n">
        <x:v>1269</x:v>
      </x:c>
      <x:c r="E1273" s="42" t="n">
        <x:v>-0.0015156528496805461</x:v>
      </x:c>
      <x:c r="F1273" s="42" t="n">
        <x:v>-0.0029758318090896954</x:v>
      </x:c>
      <x:c r="G1273" s="43" t="n">
        <x:v>0.979428605477229</x:v>
      </x:c>
      <x:c r="H1273" s="32" t="n">
        <x:v>1061904.6355372658</x:v>
      </x:c>
      <x:c r="I1273" s="50" t="b">
        <x:v>0</x:v>
      </x:c>
      <x:c r="J1273" s="50" t="b">
        <x:v>0</x:v>
      </x:c>
      <x:c r="K1273" s="31"/>
      <x:c r="L1273" s="31"/>
    </x:row>
    <x:row r="1274">
      <x:c r="A1274" s="31"/>
      <x:c r="B1274" s="31"/>
      <x:c r="C1274" s="31"/>
      <x:c r="D1274" s="31" t="n">
        <x:v>1270</x:v>
      </x:c>
      <x:c r="E1274" s="42" t="n">
        <x:v>-0.015484867196284672</x:v>
      </x:c>
      <x:c r="F1274" s="42" t="n">
        <x:v>0.006973399566764019</x:v>
      </x:c>
      <x:c r="G1274" s="43" t="n">
        <x:v>1.0668835500534288</x:v>
      </x:c>
      <x:c r="H1274" s="32" t="n">
        <x:v>439926.27554294385</x:v>
      </x:c>
      <x:c r="I1274" s="50" t="b">
        <x:v>1</x:v>
      </x:c>
      <x:c r="J1274" s="50" t="b">
        <x:v>0</x:v>
      </x:c>
      <x:c r="K1274" s="31"/>
      <x:c r="L1274" s="31"/>
    </x:row>
    <x:row r="1275">
      <x:c r="A1275" s="31"/>
      <x:c r="B1275" s="31"/>
      <x:c r="C1275" s="31"/>
      <x:c r="D1275" s="31" t="n">
        <x:v>1271</x:v>
      </x:c>
      <x:c r="E1275" s="42" t="n">
        <x:v>0.001629983318024943</x:v>
      </x:c>
      <x:c r="F1275" s="42" t="n">
        <x:v>0.007460109928263202</x:v>
      </x:c>
      <x:c r="G1275" s="43" t="n">
        <x:v>0.9925416960492108</x:v>
      </x:c>
      <x:c r="H1275" s="32" t="n">
        <x:v>958334.4961884343</x:v>
      </x:c>
      <x:c r="I1275" s="50" t="b">
        <x:v>1</x:v>
      </x:c>
      <x:c r="J1275" s="50" t="b">
        <x:v>0</x:v>
      </x:c>
      <x:c r="K1275" s="31"/>
      <x:c r="L1275" s="31"/>
    </x:row>
    <x:row r="1276">
      <x:c r="A1276" s="31"/>
      <x:c r="B1276" s="31"/>
      <x:c r="C1276" s="31"/>
      <x:c r="D1276" s="31" t="n">
        <x:v>1272</x:v>
      </x:c>
      <x:c r="E1276" s="42" t="n">
        <x:v>-0.006997912892876633</x:v>
      </x:c>
      <x:c r="F1276" s="42" t="n">
        <x:v>0.0028085304790992378</x:v>
      </x:c>
      <x:c r="G1276" s="43" t="n">
        <x:v>0.983326479383771</x:v>
      </x:c>
      <x:c r="H1276" s="32" t="n">
        <x:v>1005789.4826461648</x:v>
      </x:c>
      <x:c r="I1276" s="50" t="b">
        <x:v>0</x:v>
      </x:c>
      <x:c r="J1276" s="50" t="b">
        <x:v>0</x:v>
      </x:c>
      <x:c r="K1276" s="31"/>
      <x:c r="L1276" s="31"/>
    </x:row>
    <x:row r="1277">
      <x:c r="A1277" s="31"/>
      <x:c r="B1277" s="31"/>
      <x:c r="C1277" s="31"/>
      <x:c r="D1277" s="31" t="n">
        <x:v>1273</x:v>
      </x:c>
      <x:c r="E1277" s="42" t="n">
        <x:v>0.005326232362454543</x:v>
      </x:c>
      <x:c r="F1277" s="42" t="n">
        <x:v>-0.0001812836420237593</x:v>
      </x:c>
      <x:c r="G1277" s="43" t="n">
        <x:v>0.9763844921900832</x:v>
      </x:c>
      <x:c r="H1277" s="32" t="n">
        <x:v>1092502.7632179875</x:v>
      </x:c>
      <x:c r="I1277" s="50" t="b">
        <x:v>0</x:v>
      </x:c>
      <x:c r="J1277" s="50" t="b">
        <x:v>0</x:v>
      </x:c>
      <x:c r="K1277" s="31"/>
      <x:c r="L1277" s="31"/>
    </x:row>
    <x:row r="1278">
      <x:c r="A1278" s="31"/>
      <x:c r="B1278" s="31"/>
      <x:c r="C1278" s="31"/>
      <x:c r="D1278" s="31" t="n">
        <x:v>1274</x:v>
      </x:c>
      <x:c r="E1278" s="42" t="n">
        <x:v>-0.008895489948380434</x:v>
      </x:c>
      <x:c r="F1278" s="42" t="n">
        <x:v>0.00040544426444301754</x:v>
      </x:c>
      <x:c r="G1278" s="43" t="n">
        <x:v>1.1037071337259539</x:v>
      </x:c>
      <x:c r="H1278" s="32" t="n">
        <x:v>242694.16651523684</x:v>
      </x:c>
      <x:c r="I1278" s="50" t="b">
        <x:v>1</x:v>
      </x:c>
      <x:c r="J1278" s="50" t="b">
        <x:v>0</x:v>
      </x:c>
      <x:c r="K1278" s="31"/>
      <x:c r="L1278" s="31"/>
    </x:row>
    <x:row r="1279">
      <x:c r="A1279" s="31"/>
      <x:c r="B1279" s="31"/>
      <x:c r="C1279" s="31"/>
      <x:c r="D1279" s="31" t="n">
        <x:v>1275</x:v>
      </x:c>
      <x:c r="E1279" s="42" t="n">
        <x:v>0.011600279904316632</x:v>
      </x:c>
      <x:c r="F1279" s="42" t="n">
        <x:v>0.008467604852338837</x:v>
      </x:c>
      <x:c r="G1279" s="43" t="n">
        <x:v>0.9796909336617785</x:v>
      </x:c>
      <x:c r="H1279" s="32" t="n">
        <x:v>1064894.0957238749</x:v>
      </x:c>
      <x:c r="I1279" s="50" t="b">
        <x:v>0</x:v>
      </x:c>
      <x:c r="J1279" s="50" t="b">
        <x:v>0</x:v>
      </x:c>
      <x:c r="K1279" s="31"/>
      <x:c r="L1279" s="31"/>
    </x:row>
    <x:row r="1280">
      <x:c r="A1280" s="31"/>
      <x:c r="B1280" s="31"/>
      <x:c r="C1280" s="31"/>
      <x:c r="D1280" s="31" t="n">
        <x:v>1276</x:v>
      </x:c>
      <x:c r="E1280" s="42" t="n">
        <x:v>-0.0016497352228963442</x:v>
      </x:c>
      <x:c r="F1280" s="42" t="n">
        <x:v>-0.013652089042125308</x:v>
      </x:c>
      <x:c r="G1280" s="43" t="n">
        <x:v>1.0304725603522995</x:v>
      </x:c>
      <x:c r="H1280" s="32" t="n">
        <x:v>767083.7487017807</x:v>
      </x:c>
      <x:c r="I1280" s="50" t="b">
        <x:v>1</x:v>
      </x:c>
      <x:c r="J1280" s="50" t="b">
        <x:v>0</x:v>
      </x:c>
      <x:c r="K1280" s="31"/>
      <x:c r="L1280" s="31"/>
    </x:row>
    <x:row r="1281">
      <x:c r="A1281" s="31"/>
      <x:c r="B1281" s="31"/>
      <x:c r="C1281" s="31"/>
      <x:c r="D1281" s="31" t="n">
        <x:v>1277</x:v>
      </x:c>
      <x:c r="E1281" s="42" t="n">
        <x:v>0.01653792966272543</x:v>
      </x:c>
      <x:c r="F1281" s="42" t="n">
        <x:v>-0.003069132066826765</x:v>
      </x:c>
      <x:c r="G1281" s="43" t="n">
        <x:v>1.0780578955022382</x:v>
      </x:c>
      <x:c r="H1281" s="32" t="n">
        <x:v>486051.0422470444</x:v>
      </x:c>
      <x:c r="I1281" s="50" t="b">
        <x:v>1</x:v>
      </x:c>
      <x:c r="J1281" s="50" t="b">
        <x:v>0</x:v>
      </x:c>
      <x:c r="K1281" s="31"/>
      <x:c r="L1281" s="31"/>
    </x:row>
    <x:row r="1282">
      <x:c r="A1282" s="31"/>
      <x:c r="B1282" s="31"/>
      <x:c r="C1282" s="31"/>
      <x:c r="D1282" s="31" t="n">
        <x:v>1278</x:v>
      </x:c>
      <x:c r="E1282" s="42" t="n">
        <x:v>0.027463545717040544</x:v>
      </x:c>
      <x:c r="F1282" s="42" t="n">
        <x:v>-0.0030181091040842887</x:v>
      </x:c>
      <x:c r="G1282" s="43" t="n">
        <x:v>1.085235362356191</x:v>
      </x:c>
      <x:c r="H1282" s="32" t="n">
        <x:v>470738.71535837604</x:v>
      </x:c>
      <x:c r="I1282" s="50" t="b">
        <x:v>1</x:v>
      </x:c>
      <x:c r="J1282" s="50" t="b">
        <x:v>0</x:v>
      </x:c>
      <x:c r="K1282" s="31"/>
      <x:c r="L1282" s="31"/>
    </x:row>
    <x:row r="1283">
      <x:c r="A1283" s="31"/>
      <x:c r="B1283" s="31"/>
      <x:c r="C1283" s="31"/>
      <x:c r="D1283" s="31" t="n">
        <x:v>1279</x:v>
      </x:c>
      <x:c r="E1283" s="42" t="n">
        <x:v>-0.009297462472652401</x:v>
      </x:c>
      <x:c r="F1283" s="42" t="n">
        <x:v>0.0053677547293108085</x:v>
      </x:c>
      <x:c r="G1283" s="43" t="n">
        <x:v>1.0112804403637596</x:v>
      </x:c>
      <x:c r="H1283" s="32" t="n">
        <x:v>814737.5279749131</x:v>
      </x:c>
      <x:c r="I1283" s="50" t="b">
        <x:v>1</x:v>
      </x:c>
      <x:c r="J1283" s="50" t="b">
        <x:v>0</x:v>
      </x:c>
      <x:c r="K1283" s="31"/>
      <x:c r="L1283" s="31"/>
    </x:row>
    <x:row r="1284">
      <x:c r="A1284" s="31"/>
      <x:c r="B1284" s="31"/>
      <x:c r="C1284" s="31"/>
      <x:c r="D1284" s="31" t="n">
        <x:v>1280</x:v>
      </x:c>
      <x:c r="E1284" s="42" t="n">
        <x:v>-0.00889774561900622</x:v>
      </x:c>
      <x:c r="F1284" s="42" t="n">
        <x:v>0.003038547907383773</x:v>
      </x:c>
      <x:c r="G1284" s="43" t="n">
        <x:v>0.9449825773030506</x:v>
      </x:c>
      <x:c r="H1284" s="32" t="n">
        <x:v>1243371.9319864272</x:v>
      </x:c>
      <x:c r="I1284" s="50" t="b">
        <x:v>0</x:v>
      </x:c>
      <x:c r="J1284" s="50" t="b">
        <x:v>0</x:v>
      </x:c>
      <x:c r="K1284" s="31"/>
      <x:c r="L1284" s="31"/>
    </x:row>
    <x:row r="1285">
      <x:c r="A1285" s="31"/>
      <x:c r="B1285" s="31"/>
      <x:c r="C1285" s="31"/>
      <x:c r="D1285" s="31" t="n">
        <x:v>1281</x:v>
      </x:c>
      <x:c r="E1285" s="42" t="n">
        <x:v>-0.006278955489653509</x:v>
      </x:c>
      <x:c r="F1285" s="42" t="n">
        <x:v>-0.006621800145199487</x:v>
      </x:c>
      <x:c r="G1285" s="43" t="n">
        <x:v>1.0504685380686196</x:v>
      </x:c>
      <x:c r="H1285" s="32" t="n">
        <x:v>607640.6262764288</x:v>
      </x:c>
      <x:c r="I1285" s="50" t="b">
        <x:v>1</x:v>
      </x:c>
      <x:c r="J1285" s="50" t="b">
        <x:v>0</x:v>
      </x:c>
      <x:c r="K1285" s="31"/>
      <x:c r="L1285" s="31"/>
    </x:row>
    <x:row r="1286">
      <x:c r="A1286" s="31"/>
      <x:c r="B1286" s="31"/>
      <x:c r="C1286" s="31"/>
      <x:c r="D1286" s="31" t="n">
        <x:v>1282</x:v>
      </x:c>
      <x:c r="E1286" s="42" t="n">
        <x:v>-0.019747999537549497</x:v>
      </x:c>
      <x:c r="F1286" s="42" t="n">
        <x:v>-0.011735992932748043</x:v>
      </x:c>
      <x:c r="G1286" s="43" t="n">
        <x:v>1.015251285350923</x:v>
      </x:c>
      <x:c r="H1286" s="32" t="n">
        <x:v>808039.2092154766</x:v>
      </x:c>
      <x:c r="I1286" s="50" t="b">
        <x:v>1</x:v>
      </x:c>
      <x:c r="J1286" s="50" t="b">
        <x:v>0</x:v>
      </x:c>
      <x:c r="K1286" s="31"/>
      <x:c r="L1286" s="31"/>
    </x:row>
    <x:row r="1287">
      <x:c r="A1287" s="31"/>
      <x:c r="B1287" s="31"/>
      <x:c r="C1287" s="31"/>
      <x:c r="D1287" s="31" t="n">
        <x:v>1283</x:v>
      </x:c>
      <x:c r="E1287" s="42" t="n">
        <x:v>-0.0016069619478292533</x:v>
      </x:c>
      <x:c r="F1287" s="42" t="n">
        <x:v>-0.008700473946144842</x:v>
      </x:c>
      <x:c r="G1287" s="43" t="n">
        <x:v>0.9871380877756467</x:v>
      </x:c>
      <x:c r="H1287" s="32" t="n">
        <x:v>1028624.4702515809</x:v>
      </x:c>
      <x:c r="I1287" s="50" t="b">
        <x:v>0</x:v>
      </x:c>
      <x:c r="J1287" s="50" t="b">
        <x:v>0</x:v>
      </x:c>
      <x:c r="K1287" s="31"/>
      <x:c r="L1287" s="31"/>
    </x:row>
    <x:row r="1288">
      <x:c r="A1288" s="31"/>
      <x:c r="B1288" s="31"/>
      <x:c r="C1288" s="31"/>
      <x:c r="D1288" s="31" t="n">
        <x:v>1284</x:v>
      </x:c>
      <x:c r="E1288" s="42" t="n">
        <x:v>0.008756317138901381</x:v>
      </x:c>
      <x:c r="F1288" s="42" t="n">
        <x:v>0.0001791309916106101</x:v>
      </x:c>
      <x:c r="G1288" s="43" t="n">
        <x:v>0.9654650290860096</x:v>
      </x:c>
      <x:c r="H1288" s="32" t="n">
        <x:v>1170393.5822894974</x:v>
      </x:c>
      <x:c r="I1288" s="50" t="b">
        <x:v>0</x:v>
      </x:c>
      <x:c r="J1288" s="50" t="b">
        <x:v>0</x:v>
      </x:c>
      <x:c r="K1288" s="31"/>
      <x:c r="L1288" s="31"/>
    </x:row>
    <x:row r="1289">
      <x:c r="A1289" s="31"/>
      <x:c r="B1289" s="31"/>
      <x:c r="C1289" s="31"/>
      <x:c r="D1289" s="31" t="n">
        <x:v>1285</x:v>
      </x:c>
      <x:c r="E1289" s="42" t="n">
        <x:v>-0.011498613709207219</x:v>
      </x:c>
      <x:c r="F1289" s="42" t="n">
        <x:v>0.006034941448722368</x:v>
      </x:c>
      <x:c r="G1289" s="43" t="n">
        <x:v>1.030664786009046</x:v>
      </x:c>
      <x:c r="H1289" s="32" t="n">
        <x:v>683649.1223006899</x:v>
      </x:c>
      <x:c r="I1289" s="50" t="b">
        <x:v>1</x:v>
      </x:c>
      <x:c r="J1289" s="50" t="b">
        <x:v>0</x:v>
      </x:c>
      <x:c r="K1289" s="31"/>
      <x:c r="L1289" s="31"/>
    </x:row>
    <x:row r="1290">
      <x:c r="A1290" s="31"/>
      <x:c r="B1290" s="31"/>
      <x:c r="C1290" s="31"/>
      <x:c r="D1290" s="31" t="n">
        <x:v>1286</x:v>
      </x:c>
      <x:c r="E1290" s="42" t="n">
        <x:v>-0.005808457391925411</x:v>
      </x:c>
      <x:c r="F1290" s="42" t="n">
        <x:v>-0.008589297674847207</x:v>
      </x:c>
      <x:c r="G1290" s="43" t="n">
        <x:v>0.9953211603754875</x:v>
      </x:c>
      <x:c r="H1290" s="32" t="n">
        <x:v>964651.7464415564</x:v>
      </x:c>
      <x:c r="I1290" s="50" t="b">
        <x:v>1</x:v>
      </x:c>
      <x:c r="J1290" s="50" t="b">
        <x:v>0</x:v>
      </x:c>
      <x:c r="K1290" s="31"/>
      <x:c r="L1290" s="31"/>
    </x:row>
    <x:row r="1291">
      <x:c r="A1291" s="31"/>
      <x:c r="B1291" s="31"/>
      <x:c r="C1291" s="31"/>
      <x:c r="D1291" s="31" t="n">
        <x:v>1287</x:v>
      </x:c>
      <x:c r="E1291" s="42" t="n">
        <x:v>0.007366574718687779</x:v>
      </x:c>
      <x:c r="F1291" s="42" t="n">
        <x:v>-0.004018248253001097</x:v>
      </x:c>
      <x:c r="G1291" s="43" t="n">
        <x:v>0.9300433676804467</x:v>
      </x:c>
      <x:c r="H1291" s="32" t="n">
        <x:v>1403161.3381799993</x:v>
      </x:c>
      <x:c r="I1291" s="50" t="b">
        <x:v>0</x:v>
      </x:c>
      <x:c r="J1291" s="50" t="b">
        <x:v>0</x:v>
      </x:c>
      <x:c r="K1291" s="31"/>
      <x:c r="L1291" s="31"/>
    </x:row>
    <x:row r="1292">
      <x:c r="A1292" s="31"/>
      <x:c r="B1292" s="31"/>
      <x:c r="C1292" s="31"/>
      <x:c r="D1292" s="31" t="n">
        <x:v>1288</x:v>
      </x:c>
      <x:c r="E1292" s="42" t="n">
        <x:v>0.004298900729476159</x:v>
      </x:c>
      <x:c r="F1292" s="42" t="n">
        <x:v>0.006438794848202417</x:v>
      </x:c>
      <x:c r="G1292" s="43" t="n">
        <x:v>0.9949352715557692</x:v>
      </x:c>
      <x:c r="H1292" s="32" t="n">
        <x:v>953405.4404625355</x:v>
      </x:c>
      <x:c r="I1292" s="50" t="b">
        <x:v>1</x:v>
      </x:c>
      <x:c r="J1292" s="50" t="b">
        <x:v>0</x:v>
      </x:c>
      <x:c r="K1292" s="31"/>
      <x:c r="L1292" s="31"/>
    </x:row>
    <x:row r="1293">
      <x:c r="A1293" s="31"/>
      <x:c r="B1293" s="31"/>
      <x:c r="C1293" s="31"/>
      <x:c r="D1293" s="31" t="n">
        <x:v>1289</x:v>
      </x:c>
      <x:c r="E1293" s="42" t="n">
        <x:v>0.002660008395693211</x:v>
      </x:c>
      <x:c r="F1293" s="42" t="n">
        <x:v>-0.018015508819827428</x:v>
      </x:c>
      <x:c r="G1293" s="43" t="n">
        <x:v>0.9246578582684376</x:v>
      </x:c>
      <x:c r="H1293" s="32" t="n">
        <x:v>1463223.9904858416</x:v>
      </x:c>
      <x:c r="I1293" s="50" t="b">
        <x:v>0</x:v>
      </x:c>
      <x:c r="J1293" s="50" t="b">
        <x:v>0</x:v>
      </x:c>
      <x:c r="K1293" s="31"/>
      <x:c r="L1293" s="31"/>
    </x:row>
    <x:row r="1294">
      <x:c r="A1294" s="31"/>
      <x:c r="B1294" s="31"/>
      <x:c r="C1294" s="31"/>
      <x:c r="D1294" s="31" t="n">
        <x:v>1290</x:v>
      </x:c>
      <x:c r="E1294" s="42" t="n">
        <x:v>0.001281644700307342</x:v>
      </x:c>
      <x:c r="F1294" s="42" t="n">
        <x:v>-0.004863657965837479</x:v>
      </x:c>
      <x:c r="G1294" s="43" t="n">
        <x:v>0.8993447605170596</x:v>
      </x:c>
      <x:c r="H1294" s="32" t="n">
        <x:v>1583534.914383905</x:v>
      </x:c>
      <x:c r="I1294" s="50" t="b">
        <x:v>0</x:v>
      </x:c>
      <x:c r="J1294" s="50" t="b">
        <x:v>0</x:v>
      </x:c>
      <x:c r="K1294" s="31"/>
      <x:c r="L1294" s="31"/>
    </x:row>
    <x:row r="1295">
      <x:c r="A1295" s="31"/>
      <x:c r="B1295" s="31"/>
      <x:c r="C1295" s="31"/>
      <x:c r="D1295" s="31" t="n">
        <x:v>1291</x:v>
      </x:c>
      <x:c r="E1295" s="42" t="n">
        <x:v>-0.006678257237022892</x:v>
      </x:c>
      <x:c r="F1295" s="42" t="n">
        <x:v>-0.0051735508744377426</x:v>
      </x:c>
      <x:c r="G1295" s="43" t="n">
        <x:v>0.9717999342022543</x:v>
      </x:c>
      <x:c r="H1295" s="32" t="n">
        <x:v>1102099.2769611753</x:v>
      </x:c>
      <x:c r="I1295" s="50" t="b">
        <x:v>0</x:v>
      </x:c>
      <x:c r="J1295" s="50" t="b">
        <x:v>0</x:v>
      </x:c>
      <x:c r="K1295" s="31"/>
      <x:c r="L1295" s="31"/>
    </x:row>
    <x:row r="1296">
      <x:c r="A1296" s="31"/>
      <x:c r="B1296" s="31"/>
      <x:c r="C1296" s="31"/>
      <x:c r="D1296" s="31" t="n">
        <x:v>1292</x:v>
      </x:c>
      <x:c r="E1296" s="42" t="n">
        <x:v>-0.004913283342103325</x:v>
      </x:c>
      <x:c r="F1296" s="42" t="n">
        <x:v>0.003837387339047952</x:v>
      </x:c>
      <x:c r="G1296" s="43" t="n">
        <x:v>0.963374669487184</x:v>
      </x:c>
      <x:c r="H1296" s="32" t="n">
        <x:v>1135436.3726170228</x:v>
      </x:c>
      <x:c r="I1296" s="50" t="b">
        <x:v>0</x:v>
      </x:c>
      <x:c r="J1296" s="50" t="b">
        <x:v>0</x:v>
      </x:c>
      <x:c r="K1296" s="31"/>
      <x:c r="L1296" s="31"/>
    </x:row>
    <x:row r="1297">
      <x:c r="A1297" s="31"/>
      <x:c r="B1297" s="31"/>
      <x:c r="C1297" s="31"/>
      <x:c r="D1297" s="31" t="n">
        <x:v>1293</x:v>
      </x:c>
      <x:c r="E1297" s="42" t="n">
        <x:v>0.01971073806469194</x:v>
      </x:c>
      <x:c r="F1297" s="42" t="n">
        <x:v>-0.0009680641075183895</x:v>
      </x:c>
      <x:c r="G1297" s="43" t="n">
        <x:v>0.962351187564441</x:v>
      </x:c>
      <x:c r="H1297" s="32" t="n">
        <x:v>1223853.797716664</x:v>
      </x:c>
      <x:c r="I1297" s="50" t="b">
        <x:v>0</x:v>
      </x:c>
      <x:c r="J1297" s="50" t="b">
        <x:v>0</x:v>
      </x:c>
      <x:c r="K1297" s="31"/>
      <x:c r="L1297" s="31"/>
    </x:row>
    <x:row r="1298">
      <x:c r="A1298" s="31"/>
      <x:c r="B1298" s="31"/>
      <x:c r="C1298" s="31"/>
      <x:c r="D1298" s="31" t="n">
        <x:v>1294</x:v>
      </x:c>
      <x:c r="E1298" s="42" t="n">
        <x:v>0.0261528369348452</x:v>
      </x:c>
      <x:c r="F1298" s="42" t="n">
        <x:v>-0.004525361252843335</x:v>
      </x:c>
      <x:c r="G1298" s="43" t="n">
        <x:v>0.9441206938772015</x:v>
      </x:c>
      <x:c r="H1298" s="32" t="n">
        <x:v>1367463.8844446132</x:v>
      </x:c>
      <x:c r="I1298" s="50" t="b">
        <x:v>0</x:v>
      </x:c>
      <x:c r="J1298" s="50" t="b">
        <x:v>0</x:v>
      </x:c>
      <x:c r="K1298" s="31"/>
      <x:c r="L1298" s="31"/>
    </x:row>
    <x:row r="1299">
      <x:c r="A1299" s="31"/>
      <x:c r="B1299" s="31"/>
      <x:c r="C1299" s="31"/>
      <x:c r="D1299" s="31" t="n">
        <x:v>1295</x:v>
      </x:c>
      <x:c r="E1299" s="42" t="n">
        <x:v>-0.005455896793295946</x:v>
      </x:c>
      <x:c r="F1299" s="42" t="n">
        <x:v>-0.001028105354624565</x:v>
      </x:c>
      <x:c r="G1299" s="43" t="n">
        <x:v>0.9579597042071435</x:v>
      </x:c>
      <x:c r="H1299" s="32" t="n">
        <x:v>1181858.0673717856</x:v>
      </x:c>
      <x:c r="I1299" s="50" t="b">
        <x:v>0</x:v>
      </x:c>
      <x:c r="J1299" s="50" t="b">
        <x:v>0</x:v>
      </x:c>
      <x:c r="K1299" s="31"/>
      <x:c r="L1299" s="31"/>
    </x:row>
    <x:row r="1300">
      <x:c r="A1300" s="31"/>
      <x:c r="B1300" s="31"/>
      <x:c r="C1300" s="31"/>
      <x:c r="D1300" s="31" t="n">
        <x:v>1296</x:v>
      </x:c>
      <x:c r="E1300" s="42" t="n">
        <x:v>0.01766240396809291</x:v>
      </x:c>
      <x:c r="F1300" s="42" t="n">
        <x:v>0.005359655873992478</x:v>
      </x:c>
      <x:c r="G1300" s="43" t="n">
        <x:v>1.035737963052475</x:v>
      </x:c>
      <x:c r="H1300" s="32" t="n">
        <x:v>734480.8665702618</x:v>
      </x:c>
      <x:c r="I1300" s="50" t="b">
        <x:v>1</x:v>
      </x:c>
      <x:c r="J1300" s="50" t="b">
        <x:v>0</x:v>
      </x:c>
      <x:c r="K1300" s="31"/>
      <x:c r="L1300" s="31"/>
    </x:row>
    <x:row r="1301">
      <x:c r="A1301" s="31"/>
      <x:c r="B1301" s="31"/>
      <x:c r="C1301" s="31"/>
      <x:c r="D1301" s="31" t="n">
        <x:v>1297</x:v>
      </x:c>
      <x:c r="E1301" s="42" t="n">
        <x:v>0.0015209664173433265</x:v>
      </x:c>
      <x:c r="F1301" s="42" t="n">
        <x:v>0.007018571889259097</x:v>
      </x:c>
      <x:c r="G1301" s="43" t="n">
        <x:v>1.021610316374418</x:v>
      </x:c>
      <x:c r="H1301" s="32" t="n">
        <x:v>774653.7498578769</x:v>
      </x:c>
      <x:c r="I1301" s="50" t="b">
        <x:v>1</x:v>
      </x:c>
      <x:c r="J1301" s="50" t="b">
        <x:v>0</x:v>
      </x:c>
      <x:c r="K1301" s="31"/>
      <x:c r="L1301" s="31"/>
    </x:row>
    <x:row r="1302">
      <x:c r="A1302" s="31"/>
      <x:c r="B1302" s="31"/>
      <x:c r="C1302" s="31"/>
      <x:c r="D1302" s="31" t="n">
        <x:v>1298</x:v>
      </x:c>
      <x:c r="E1302" s="42" t="n">
        <x:v>0.0010225932434188773</x:v>
      </x:c>
      <x:c r="F1302" s="42" t="n">
        <x:v>0.0037983284778388333</x:v>
      </x:c>
      <x:c r="G1302" s="43" t="n">
        <x:v>0.9799861135005518</x:v>
      </x:c>
      <x:c r="H1302" s="32" t="n">
        <x:v>1046573.3036928477</x:v>
      </x:c>
      <x:c r="I1302" s="50" t="b">
        <x:v>0</x:v>
      </x:c>
      <x:c r="J1302" s="50" t="b">
        <x:v>0</x:v>
      </x:c>
      <x:c r="K1302" s="31"/>
      <x:c r="L1302" s="31"/>
    </x:row>
    <x:row r="1303">
      <x:c r="A1303" s="31"/>
      <x:c r="B1303" s="31"/>
      <x:c r="C1303" s="31"/>
      <x:c r="D1303" s="31" t="n">
        <x:v>1299</x:v>
      </x:c>
      <x:c r="E1303" s="42" t="n">
        <x:v>0.009764281424258357</x:v>
      </x:c>
      <x:c r="F1303" s="42" t="n">
        <x:v>-0.0073844631772751294</x:v>
      </x:c>
      <x:c r="G1303" s="43" t="n">
        <x:v>1.0459583622521407</x:v>
      </x:c>
      <x:c r="H1303" s="32" t="n">
        <x:v>683063.0319710639</x:v>
      </x:c>
      <x:c r="I1303" s="50" t="b">
        <x:v>1</x:v>
      </x:c>
      <x:c r="J1303" s="50" t="b">
        <x:v>0</x:v>
      </x:c>
      <x:c r="K1303" s="31"/>
      <x:c r="L1303" s="31"/>
    </x:row>
    <x:row r="1304">
      <x:c r="A1304" s="31"/>
      <x:c r="B1304" s="31"/>
      <x:c r="C1304" s="31"/>
      <x:c r="D1304" s="31" t="n">
        <x:v>1300</x:v>
      </x:c>
      <x:c r="E1304" s="42" t="n">
        <x:v>-0.013167088868320348</x:v>
      </x:c>
      <x:c r="F1304" s="42" t="n">
        <x:v>-0.0020309100403393477</x:v>
      </x:c>
      <x:c r="G1304" s="43" t="n">
        <x:v>1.0142679325944493</x:v>
      </x:c>
      <x:c r="H1304" s="32" t="n">
        <x:v>805587.9930228143</x:v>
      </x:c>
      <x:c r="I1304" s="50" t="b">
        <x:v>1</x:v>
      </x:c>
      <x:c r="J1304" s="50" t="b">
        <x:v>0</x:v>
      </x:c>
      <x:c r="K1304" s="31"/>
      <x:c r="L1304" s="31"/>
    </x:row>
    <x:row r="1305">
      <x:c r="A1305" s="31"/>
      <x:c r="B1305" s="31"/>
      <x:c r="C1305" s="31"/>
      <x:c r="D1305" s="31" t="n">
        <x:v>1301</x:v>
      </x:c>
      <x:c r="E1305" s="42" t="n">
        <x:v>0.017872844622949604</x:v>
      </x:c>
      <x:c r="F1305" s="42" t="n">
        <x:v>0.007380353340136136</x:v>
      </x:c>
      <x:c r="G1305" s="43" t="n">
        <x:v>0.9203718868351116</x:v>
      </x:c>
      <x:c r="H1305" s="32" t="n">
        <x:v>1462098.2661303403</x:v>
      </x:c>
      <x:c r="I1305" s="50" t="b">
        <x:v>0</x:v>
      </x:c>
      <x:c r="J1305" s="50" t="b">
        <x:v>0</x:v>
      </x:c>
      <x:c r="K1305" s="31"/>
      <x:c r="L1305" s="31"/>
    </x:row>
    <x:row r="1306">
      <x:c r="A1306" s="31"/>
      <x:c r="B1306" s="31"/>
      <x:c r="C1306" s="31"/>
      <x:c r="D1306" s="31" t="n">
        <x:v>1302</x:v>
      </x:c>
      <x:c r="E1306" s="42" t="n">
        <x:v>0.011066736501324625</x:v>
      </x:c>
      <x:c r="F1306" s="42" t="n">
        <x:v>0.00457654221773537</x:v>
      </x:c>
      <x:c r="G1306" s="43" t="n">
        <x:v>0.9699350402353472</x:v>
      </x:c>
      <x:c r="H1306" s="32" t="n">
        <x:v>1136196.6575884074</x:v>
      </x:c>
      <x:c r="I1306" s="50" t="b">
        <x:v>0</x:v>
      </x:c>
      <x:c r="J1306" s="50" t="b">
        <x:v>0</x:v>
      </x:c>
      <x:c r="K1306" s="31"/>
      <x:c r="L1306" s="31"/>
    </x:row>
    <x:row r="1307">
      <x:c r="A1307" s="31"/>
      <x:c r="B1307" s="31"/>
      <x:c r="C1307" s="31"/>
      <x:c r="D1307" s="31" t="n">
        <x:v>1303</x:v>
      </x:c>
      <x:c r="E1307" s="42" t="n">
        <x:v>0.005981030058235726</x:v>
      </x:c>
      <x:c r="F1307" s="42" t="n">
        <x:v>0.0013326727329023192</x:v>
      </x:c>
      <x:c r="G1307" s="43" t="n">
        <x:v>1.0006370236602322</x:v>
      </x:c>
      <x:c r="H1307" s="32" t="n">
        <x:v>936090.5248212314</x:v>
      </x:c>
      <x:c r="I1307" s="50" t="b">
        <x:v>1</x:v>
      </x:c>
      <x:c r="J1307" s="50" t="b">
        <x:v>0</x:v>
      </x:c>
      <x:c r="K1307" s="31"/>
      <x:c r="L1307" s="31"/>
    </x:row>
    <x:row r="1308">
      <x:c r="A1308" s="31"/>
      <x:c r="B1308" s="31"/>
      <x:c r="C1308" s="31"/>
      <x:c r="D1308" s="31" t="n">
        <x:v>1304</x:v>
      </x:c>
      <x:c r="E1308" s="42" t="n">
        <x:v>-0.002700741961731404</x:v>
      </x:c>
      <x:c r="F1308" s="42" t="n">
        <x:v>0.005979224264511658</x:v>
      </x:c>
      <x:c r="G1308" s="43" t="n">
        <x:v>1.0084497033753985</x:v>
      </x:c>
      <x:c r="H1308" s="32" t="n">
        <x:v>849374.7914216161</x:v>
      </x:c>
      <x:c r="I1308" s="50" t="b">
        <x:v>1</x:v>
      </x:c>
      <x:c r="J1308" s="50" t="b">
        <x:v>0</x:v>
      </x:c>
      <x:c r="K1308" s="31"/>
      <x:c r="L1308" s="31"/>
    </x:row>
    <x:row r="1309">
      <x:c r="A1309" s="31"/>
      <x:c r="B1309" s="31"/>
      <x:c r="C1309" s="31"/>
      <x:c r="D1309" s="31" t="n">
        <x:v>1305</x:v>
      </x:c>
      <x:c r="E1309" s="42" t="n">
        <x:v>0.013920665129814994</x:v>
      </x:c>
      <x:c r="F1309" s="42" t="n">
        <x:v>-0.001310072195386926</x:v>
      </x:c>
      <x:c r="G1309" s="43" t="n">
        <x:v>1.0501393350726096</x:v>
      </x:c>
      <x:c r="H1309" s="32" t="n">
        <x:v>651172.0777081803</x:v>
      </x:c>
      <x:c r="I1309" s="50" t="b">
        <x:v>1</x:v>
      </x:c>
      <x:c r="J1309" s="50" t="b">
        <x:v>0</x:v>
      </x:c>
      <x:c r="K1309" s="31"/>
      <x:c r="L1309" s="31"/>
    </x:row>
    <x:row r="1310">
      <x:c r="A1310" s="31"/>
      <x:c r="B1310" s="31"/>
      <x:c r="C1310" s="31"/>
      <x:c r="D1310" s="31" t="n">
        <x:v>1306</x:v>
      </x:c>
      <x:c r="E1310" s="42" t="n">
        <x:v>0.019504296610049106</x:v>
      </x:c>
      <x:c r="F1310" s="42" t="n">
        <x:v>-0.006227165032617317</x:v>
      </x:c>
      <x:c r="G1310" s="43" t="n">
        <x:v>1.0195558152556878</x:v>
      </x:c>
      <x:c r="H1310" s="32" t="n">
        <x:v>874628.0875657289</x:v>
      </x:c>
      <x:c r="I1310" s="50" t="b">
        <x:v>1</x:v>
      </x:c>
      <x:c r="J1310" s="50" t="b">
        <x:v>0</x:v>
      </x:c>
      <x:c r="K1310" s="31"/>
      <x:c r="L1310" s="31"/>
    </x:row>
    <x:row r="1311">
      <x:c r="A1311" s="31"/>
      <x:c r="B1311" s="31"/>
      <x:c r="C1311" s="31"/>
      <x:c r="D1311" s="31" t="n">
        <x:v>1307</x:v>
      </x:c>
      <x:c r="E1311" s="42" t="n">
        <x:v>-0.00377211331023146</x:v>
      </x:c>
      <x:c r="F1311" s="42" t="n">
        <x:v>-0.0062315195842787795</x:v>
      </x:c>
      <x:c r="G1311" s="43" t="n">
        <x:v>0.9968701649009463</x:v>
      </x:c>
      <x:c r="H1311" s="32" t="n">
        <x:v>953919.7519670522</x:v>
      </x:c>
      <x:c r="I1311" s="50" t="b">
        <x:v>1</x:v>
      </x:c>
      <x:c r="J1311" s="50" t="b">
        <x:v>0</x:v>
      </x:c>
      <x:c r="K1311" s="31"/>
      <x:c r="L1311" s="31"/>
    </x:row>
    <x:row r="1312">
      <x:c r="A1312" s="31"/>
      <x:c r="B1312" s="31"/>
      <x:c r="C1312" s="31"/>
      <x:c r="D1312" s="31" t="n">
        <x:v>1308</x:v>
      </x:c>
      <x:c r="E1312" s="42" t="n">
        <x:v>0.010601215164461462</x:v>
      </x:c>
      <x:c r="F1312" s="42" t="n">
        <x:v>0.006716564672645455</x:v>
      </x:c>
      <x:c r="G1312" s="43" t="n">
        <x:v>0.9740630708884777</x:v>
      </x:c>
      <x:c r="H1312" s="32" t="n">
        <x:v>1102728.1504523703</x:v>
      </x:c>
      <x:c r="I1312" s="50" t="b">
        <x:v>0</x:v>
      </x:c>
      <x:c r="J1312" s="50" t="b">
        <x:v>0</x:v>
      </x:c>
      <x:c r="K1312" s="31"/>
      <x:c r="L1312" s="31"/>
    </x:row>
    <x:row r="1313">
      <x:c r="A1313" s="31"/>
      <x:c r="B1313" s="31"/>
      <x:c r="C1313" s="31"/>
      <x:c r="D1313" s="31" t="n">
        <x:v>1309</x:v>
      </x:c>
      <x:c r="E1313" s="42" t="n">
        <x:v>-0.015074527161372277</x:v>
      </x:c>
      <x:c r="F1313" s="42" t="n">
        <x:v>0.004710604014896022</x:v>
      </x:c>
      <x:c r="G1313" s="43" t="n">
        <x:v>0.9953364043298359</x:v>
      </x:c>
      <x:c r="H1313" s="32" t="n">
        <x:v>901742.0547734795</x:v>
      </x:c>
      <x:c r="I1313" s="50" t="b">
        <x:v>1</x:v>
      </x:c>
      <x:c r="J1313" s="50" t="b">
        <x:v>0</x:v>
      </x:c>
      <x:c r="K1313" s="31"/>
      <x:c r="L1313" s="31"/>
    </x:row>
    <x:row r="1314">
      <x:c r="A1314" s="31"/>
      <x:c r="B1314" s="31"/>
      <x:c r="C1314" s="31"/>
      <x:c r="D1314" s="31" t="n">
        <x:v>1310</x:v>
      </x:c>
      <x:c r="E1314" s="42" t="n">
        <x:v>0.012676080923752612</x:v>
      </x:c>
      <x:c r="F1314" s="42" t="n">
        <x:v>-0.007353199243471883</x:v>
      </x:c>
      <x:c r="G1314" s="43" t="n">
        <x:v>1.0184364078265582</x:v>
      </x:c>
      <x:c r="H1314" s="32" t="n">
        <x:v>865864.9690035115</x:v>
      </x:c>
      <x:c r="I1314" s="50" t="b">
        <x:v>1</x:v>
      </x:c>
      <x:c r="J1314" s="50" t="b">
        <x:v>0</x:v>
      </x:c>
      <x:c r="K1314" s="31"/>
      <x:c r="L1314" s="31"/>
    </x:row>
    <x:row r="1315">
      <x:c r="A1315" s="31"/>
      <x:c r="B1315" s="31"/>
      <x:c r="C1315" s="31"/>
      <x:c r="D1315" s="31" t="n">
        <x:v>1311</x:v>
      </x:c>
      <x:c r="E1315" s="42" t="n">
        <x:v>0.007334995407781987</x:v>
      </x:c>
      <x:c r="F1315" s="42" t="n">
        <x:v>0.004274765694452463</x:v>
      </x:c>
      <x:c r="G1315" s="43" t="n">
        <x:v>0.8913174459693903</x:v>
      </x:c>
      <x:c r="H1315" s="32" t="n">
        <x:v>1625926.677985434</x:v>
      </x:c>
      <x:c r="I1315" s="50" t="b">
        <x:v>0</x:v>
      </x:c>
      <x:c r="J1315" s="50" t="b">
        <x:v>0</x:v>
      </x:c>
      <x:c r="K1315" s="31"/>
      <x:c r="L1315" s="31"/>
    </x:row>
    <x:row r="1316">
      <x:c r="A1316" s="31"/>
      <x:c r="B1316" s="31"/>
      <x:c r="C1316" s="31"/>
      <x:c r="D1316" s="31" t="n">
        <x:v>1312</x:v>
      </x:c>
      <x:c r="E1316" s="42" t="n">
        <x:v>-0.008144474773468923</x:v>
      </x:c>
      <x:c r="F1316" s="42" t="n">
        <x:v>0.0042737173216173124</x:v>
      </x:c>
      <x:c r="G1316" s="43" t="n">
        <x:v>0.9182396536498056</x:v>
      </x:c>
      <x:c r="H1316" s="32" t="n">
        <x:v>1411867.061936809</x:v>
      </x:c>
      <x:c r="I1316" s="50" t="b">
        <x:v>0</x:v>
      </x:c>
      <x:c r="J1316" s="50" t="b">
        <x:v>0</x:v>
      </x:c>
      <x:c r="K1316" s="31"/>
      <x:c r="L1316" s="31"/>
    </x:row>
    <x:row r="1317">
      <x:c r="A1317" s="31"/>
      <x:c r="B1317" s="31"/>
      <x:c r="C1317" s="31"/>
      <x:c r="D1317" s="31" t="n">
        <x:v>1313</x:v>
      </x:c>
      <x:c r="E1317" s="42" t="n">
        <x:v>-0.006047324480293396</x:v>
      </x:c>
      <x:c r="F1317" s="42" t="n">
        <x:v>-0.007635475689321653</x:v>
      </x:c>
      <x:c r="G1317" s="43" t="n">
        <x:v>1.052897311502689</x:v>
      </x:c>
      <x:c r="H1317" s="32" t="n">
        <x:v>595682.533239083</x:v>
      </x:c>
      <x:c r="I1317" s="50" t="b">
        <x:v>1</x:v>
      </x:c>
      <x:c r="J1317" s="50" t="b">
        <x:v>0</x:v>
      </x:c>
      <x:c r="K1317" s="31"/>
      <x:c r="L1317" s="31"/>
    </x:row>
    <x:row r="1318">
      <x:c r="A1318" s="31"/>
      <x:c r="B1318" s="31"/>
      <x:c r="C1318" s="31"/>
      <x:c r="D1318" s="31" t="n">
        <x:v>1314</x:v>
      </x:c>
      <x:c r="E1318" s="42" t="n">
        <x:v>-0.017559083694564555</x:v>
      </x:c>
      <x:c r="F1318" s="42" t="n">
        <x:v>0.005191223480522963</x:v>
      </x:c>
      <x:c r="G1318" s="43" t="n">
        <x:v>1.0095548329217814</x:v>
      </x:c>
      <x:c r="H1318" s="32" t="n">
        <x:v>803191.3301987275</x:v>
      </x:c>
      <x:c r="I1318" s="50" t="b">
        <x:v>1</x:v>
      </x:c>
      <x:c r="J1318" s="50" t="b">
        <x:v>0</x:v>
      </x:c>
      <x:c r="K1318" s="31"/>
      <x:c r="L1318" s="31"/>
    </x:row>
    <x:row r="1319">
      <x:c r="A1319" s="31"/>
      <x:c r="B1319" s="31"/>
      <x:c r="C1319" s="31"/>
      <x:c r="D1319" s="31" t="n">
        <x:v>1315</x:v>
      </x:c>
      <x:c r="E1319" s="42" t="n">
        <x:v>-0.009131439966381058</x:v>
      </x:c>
      <x:c r="F1319" s="42" t="n">
        <x:v>0.0042573972055465524</x:v>
      </x:c>
      <x:c r="G1319" s="43" t="n">
        <x:v>1.0008331820915286</x:v>
      </x:c>
      <x:c r="H1319" s="32" t="n">
        <x:v>884637.8491557115</x:v>
      </x:c>
      <x:c r="I1319" s="50" t="b">
        <x:v>1</x:v>
      </x:c>
      <x:c r="J1319" s="50" t="b">
        <x:v>0</x:v>
      </x:c>
      <x:c r="K1319" s="31"/>
      <x:c r="L1319" s="31"/>
    </x:row>
    <x:row r="1320">
      <x:c r="A1320" s="31"/>
      <x:c r="B1320" s="31"/>
      <x:c r="C1320" s="31"/>
      <x:c r="D1320" s="31" t="n">
        <x:v>1316</x:v>
      </x:c>
      <x:c r="E1320" s="42" t="n">
        <x:v>0.00871019817632816</x:v>
      </x:c>
      <x:c r="F1320" s="42" t="n">
        <x:v>-0.005495476015612106</x:v>
      </x:c>
      <x:c r="G1320" s="43" t="n">
        <x:v>0.9953526624513241</x:v>
      </x:c>
      <x:c r="H1320" s="32" t="n">
        <x:v>996252.9643818869</x:v>
      </x:c>
      <x:c r="I1320" s="50" t="b">
        <x:v>1</x:v>
      </x:c>
      <x:c r="J1320" s="50" t="b">
        <x:v>0</x:v>
      </x:c>
      <x:c r="K1320" s="31"/>
      <x:c r="L1320" s="31"/>
    </x:row>
    <x:row r="1321">
      <x:c r="A1321" s="31"/>
      <x:c r="B1321" s="31"/>
      <x:c r="C1321" s="31"/>
      <x:c r="D1321" s="31" t="n">
        <x:v>1317</x:v>
      </x:c>
      <x:c r="E1321" s="42" t="n">
        <x:v>-0.009900169517547935</x:v>
      </x:c>
      <x:c r="F1321" s="42" t="n">
        <x:v>-0.009497044932045364</x:v>
      </x:c>
      <x:c r="G1321" s="43" t="n">
        <x:v>0.9291154876696134</x:v>
      </x:c>
      <x:c r="H1321" s="32" t="n">
        <x:v>1376242.0200786884</x:v>
      </x:c>
      <x:c r="I1321" s="50" t="b">
        <x:v>0</x:v>
      </x:c>
      <x:c r="J1321" s="50" t="b">
        <x:v>0</x:v>
      </x:c>
      <x:c r="K1321" s="31"/>
      <x:c r="L1321" s="31"/>
    </x:row>
    <x:row r="1322">
      <x:c r="A1322" s="31"/>
      <x:c r="B1322" s="31"/>
      <x:c r="C1322" s="31"/>
      <x:c r="D1322" s="31" t="n">
        <x:v>1318</x:v>
      </x:c>
      <x:c r="E1322" s="42" t="n">
        <x:v>-0.0012278811692136252</x:v>
      </x:c>
      <x:c r="F1322" s="42" t="n">
        <x:v>0.0030711642834873516</x:v>
      </x:c>
      <x:c r="G1322" s="43" t="n">
        <x:v>0.9421963961595876</x:v>
      </x:c>
      <x:c r="H1322" s="32" t="n">
        <x:v>1282324.6048032413</x:v>
      </x:c>
      <x:c r="I1322" s="50" t="b">
        <x:v>0</x:v>
      </x:c>
      <x:c r="J1322" s="50" t="b">
        <x:v>0</x:v>
      </x:c>
      <x:c r="K1322" s="31"/>
      <x:c r="L1322" s="31"/>
    </x:row>
    <x:row r="1323">
      <x:c r="A1323" s="31"/>
      <x:c r="B1323" s="31"/>
      <x:c r="C1323" s="31"/>
      <x:c r="D1323" s="31" t="n">
        <x:v>1319</x:v>
      </x:c>
      <x:c r="E1323" s="42" t="n">
        <x:v>-0.002590468724766568</x:v>
      </x:c>
      <x:c r="F1323" s="42" t="n">
        <x:v>-0.004532738701888012</x:v>
      </x:c>
      <x:c r="G1323" s="43" t="n">
        <x:v>0.9427675083998233</x:v>
      </x:c>
      <x:c r="H1323" s="32" t="n">
        <x:v>1296070.4774458515</x:v>
      </x:c>
      <x:c r="I1323" s="50" t="b">
        <x:v>0</x:v>
      </x:c>
      <x:c r="J1323" s="50" t="b">
        <x:v>0</x:v>
      </x:c>
      <x:c r="K1323" s="31"/>
      <x:c r="L1323" s="31"/>
    </x:row>
    <x:row r="1324">
      <x:c r="A1324" s="31"/>
      <x:c r="B1324" s="31"/>
      <x:c r="C1324" s="31"/>
      <x:c r="D1324" s="31" t="n">
        <x:v>1320</x:v>
      </x:c>
      <x:c r="E1324" s="42" t="n">
        <x:v>0.003276605125621703</x:v>
      </x:c>
      <x:c r="F1324" s="42" t="n">
        <x:v>-0.00046629318063757505</x:v>
      </x:c>
      <x:c r="G1324" s="43" t="n">
        <x:v>0.963601752319911</x:v>
      </x:c>
      <x:c r="H1324" s="32" t="n">
        <x:v>1168770.3620158928</x:v>
      </x:c>
      <x:c r="I1324" s="50" t="b">
        <x:v>0</x:v>
      </x:c>
      <x:c r="J1324" s="50" t="b">
        <x:v>0</x:v>
      </x:c>
      <x:c r="K1324" s="31"/>
      <x:c r="L1324" s="31"/>
    </x:row>
    <x:row r="1325">
      <x:c r="A1325" s="31"/>
      <x:c r="B1325" s="31"/>
      <x:c r="C1325" s="31"/>
      <x:c r="D1325" s="31" t="n">
        <x:v>1321</x:v>
      </x:c>
      <x:c r="E1325" s="42" t="n">
        <x:v>0.008760665032851887</x:v>
      </x:c>
      <x:c r="F1325" s="42" t="n">
        <x:v>0.007507257228569993</x:v>
      </x:c>
      <x:c r="G1325" s="43" t="n">
        <x:v>0.995920805040254</x:v>
      </x:c>
      <x:c r="H1325" s="32" t="n">
        <x:v>956591.9359729688</x:v>
      </x:c>
      <x:c r="I1325" s="50" t="b">
        <x:v>1</x:v>
      </x:c>
      <x:c r="J1325" s="50" t="b">
        <x:v>0</x:v>
      </x:c>
      <x:c r="K1325" s="31"/>
      <x:c r="L1325" s="31"/>
    </x:row>
    <x:row r="1326">
      <x:c r="A1326" s="31"/>
      <x:c r="B1326" s="31"/>
      <x:c r="C1326" s="31"/>
      <x:c r="D1326" s="31" t="n">
        <x:v>1322</x:v>
      </x:c>
      <x:c r="E1326" s="42" t="n">
        <x:v>-0.004693626583844362</x:v>
      </x:c>
      <x:c r="F1326" s="42" t="n">
        <x:v>0.0030478166452997096</x:v>
      </x:c>
      <x:c r="G1326" s="43" t="n">
        <x:v>0.9766525532112097</x:v>
      </x:c>
      <x:c r="H1326" s="32" t="n">
        <x:v>1053921.614177596</x:v>
      </x:c>
      <x:c r="I1326" s="50" t="b">
        <x:v>0</x:v>
      </x:c>
      <x:c r="J1326" s="50" t="b">
        <x:v>0</x:v>
      </x:c>
      <x:c r="K1326" s="31"/>
      <x:c r="L1326" s="31"/>
    </x:row>
    <x:row r="1327">
      <x:c r="A1327" s="31"/>
      <x:c r="B1327" s="31"/>
      <x:c r="C1327" s="31"/>
      <x:c r="D1327" s="31" t="n">
        <x:v>1323</x:v>
      </x:c>
      <x:c r="E1327" s="42" t="n">
        <x:v>-0.005575144417029866</x:v>
      </x:c>
      <x:c r="F1327" s="42" t="n">
        <x:v>-0.002424976378385326</x:v>
      </x:c>
      <x:c r="G1327" s="43" t="n">
        <x:v>0.9345651994900497</x:v>
      </x:c>
      <x:c r="H1327" s="32" t="n">
        <x:v>1333986.0340340647</x:v>
      </x:c>
      <x:c r="I1327" s="50" t="b">
        <x:v>0</x:v>
      </x:c>
      <x:c r="J1327" s="50" t="b">
        <x:v>0</x:v>
      </x:c>
      <x:c r="K1327" s="31"/>
      <x:c r="L1327" s="31"/>
    </x:row>
    <x:row r="1328">
      <x:c r="A1328" s="31"/>
      <x:c r="B1328" s="31"/>
      <x:c r="C1328" s="31"/>
      <x:c r="D1328" s="31" t="n">
        <x:v>1324</x:v>
      </x:c>
      <x:c r="E1328" s="42" t="n">
        <x:v>0.011771468274619145</x:v>
      </x:c>
      <x:c r="F1328" s="42" t="n">
        <x:v>-0.006739642789396029</x:v>
      </x:c>
      <x:c r="G1328" s="43" t="n">
        <x:v>0.9443688947968971</x:v>
      </x:c>
      <x:c r="H1328" s="32" t="n">
        <x:v>1332020.2761129928</x:v>
      </x:c>
      <x:c r="I1328" s="50" t="b">
        <x:v>0</x:v>
      </x:c>
      <x:c r="J1328" s="50" t="b">
        <x:v>0</x:v>
      </x:c>
      <x:c r="K1328" s="31"/>
      <x:c r="L1328" s="31"/>
    </x:row>
    <x:row r="1329">
      <x:c r="A1329" s="31"/>
      <x:c r="B1329" s="31"/>
      <x:c r="C1329" s="31"/>
      <x:c r="D1329" s="31" t="n">
        <x:v>1325</x:v>
      </x:c>
      <x:c r="E1329" s="42" t="n">
        <x:v>-0.005429555498346401</x:v>
      </x:c>
      <x:c r="F1329" s="42" t="n">
        <x:v>0.010238153605449607</x:v>
      </x:c>
      <x:c r="G1329" s="43" t="n">
        <x:v>1.0328354100458361</x:v>
      </x:c>
      <x:c r="H1329" s="32" t="n">
        <x:v>675057.7462199787</x:v>
      </x:c>
      <x:c r="I1329" s="50" t="b">
        <x:v>1</x:v>
      </x:c>
      <x:c r="J1329" s="50" t="b">
        <x:v>0</x:v>
      </x:c>
      <x:c r="K1329" s="31"/>
      <x:c r="L1329" s="31"/>
    </x:row>
    <x:row r="1330">
      <x:c r="A1330" s="31"/>
      <x:c r="B1330" s="31"/>
      <x:c r="C1330" s="31"/>
      <x:c r="D1330" s="31" t="n">
        <x:v>1326</x:v>
      </x:c>
      <x:c r="E1330" s="42" t="n">
        <x:v>0.02625761582311181</x:v>
      </x:c>
      <x:c r="F1330" s="42" t="n">
        <x:v>0.0008519570929137336</x:v>
      </x:c>
      <x:c r="G1330" s="43" t="n">
        <x:v>1.0338019304662702</x:v>
      </x:c>
      <x:c r="H1330" s="32" t="n">
        <x:v>783248.2868452927</x:v>
      </x:c>
      <x:c r="I1330" s="50" t="b">
        <x:v>1</x:v>
      </x:c>
      <x:c r="J1330" s="50" t="b">
        <x:v>0</x:v>
      </x:c>
      <x:c r="K1330" s="31"/>
      <x:c r="L1330" s="31"/>
    </x:row>
    <x:row r="1331">
      <x:c r="A1331" s="31"/>
      <x:c r="B1331" s="31"/>
      <x:c r="C1331" s="31"/>
      <x:c r="D1331" s="31" t="n">
        <x:v>1327</x:v>
      </x:c>
      <x:c r="E1331" s="42" t="n">
        <x:v>0.0010484504942120398</x:v>
      </x:c>
      <x:c r="F1331" s="42" t="n">
        <x:v>-0.0009361576496419174</x:v>
      </x:c>
      <x:c r="G1331" s="43" t="n">
        <x:v>0.9245814790342091</x:v>
      </x:c>
      <x:c r="H1331" s="32" t="n">
        <x:v>1411682.4930070208</x:v>
      </x:c>
      <x:c r="I1331" s="50" t="b">
        <x:v>0</x:v>
      </x:c>
      <x:c r="J1331" s="50" t="b">
        <x:v>0</x:v>
      </x:c>
      <x:c r="K1331" s="31"/>
      <x:c r="L1331" s="31"/>
    </x:row>
    <x:row r="1332">
      <x:c r="A1332" s="31"/>
      <x:c r="B1332" s="31"/>
      <x:c r="C1332" s="31"/>
      <x:c r="D1332" s="31" t="n">
        <x:v>1328</x:v>
      </x:c>
      <x:c r="E1332" s="42" t="n">
        <x:v>-0.0056325489434435995</x:v>
      </x:c>
      <x:c r="F1332" s="42" t="n">
        <x:v>-0.0013046672069558422</x:v>
      </x:c>
      <x:c r="G1332" s="43" t="n">
        <x:v>0.9469355033791482</x:v>
      </x:c>
      <x:c r="H1332" s="32" t="n">
        <x:v>1252147.6511532124</x:v>
      </x:c>
      <x:c r="I1332" s="50" t="b">
        <x:v>0</x:v>
      </x:c>
      <x:c r="J1332" s="50" t="b">
        <x:v>0</x:v>
      </x:c>
      <x:c r="K1332" s="31"/>
      <x:c r="L1332" s="31"/>
    </x:row>
    <x:row r="1333">
      <x:c r="A1333" s="31"/>
      <x:c r="B1333" s="31"/>
      <x:c r="C1333" s="31"/>
      <x:c r="D1333" s="31" t="n">
        <x:v>1329</x:v>
      </x:c>
      <x:c r="E1333" s="42" t="n">
        <x:v>-0.01564483440981294</x:v>
      </x:c>
      <x:c r="F1333" s="42" t="n">
        <x:v>-0.0006037363160941937</x:v>
      </x:c>
      <x:c r="G1333" s="43" t="n">
        <x:v>1.0073636418819918</x:v>
      </x:c>
      <x:c r="H1333" s="32" t="n">
        <x:v>838565.6995282687</x:v>
      </x:c>
      <x:c r="I1333" s="50" t="b">
        <x:v>1</x:v>
      </x:c>
      <x:c r="J1333" s="50" t="b">
        <x:v>0</x:v>
      </x:c>
      <x:c r="K1333" s="31"/>
      <x:c r="L1333" s="31"/>
    </x:row>
    <x:row r="1334">
      <x:c r="A1334" s="31"/>
      <x:c r="B1334" s="31"/>
      <x:c r="C1334" s="31"/>
      <x:c r="D1334" s="31" t="n">
        <x:v>1330</x:v>
      </x:c>
      <x:c r="E1334" s="42" t="n">
        <x:v>0.006185324993541744</x:v>
      </x:c>
      <x:c r="F1334" s="42" t="n">
        <x:v>-0.0003931579528267554</x:v>
      </x:c>
      <x:c r="G1334" s="43" t="n">
        <x:v>0.9663095598349765</x:v>
      </x:c>
      <x:c r="H1334" s="32" t="n">
        <x:v>1159466.7792491172</x:v>
      </x:c>
      <x:c r="I1334" s="50" t="b">
        <x:v>0</x:v>
      </x:c>
      <x:c r="J1334" s="50" t="b">
        <x:v>0</x:v>
      </x:c>
      <x:c r="K1334" s="31"/>
      <x:c r="L1334" s="31"/>
    </x:row>
    <x:row r="1335">
      <x:c r="A1335" s="31"/>
      <x:c r="B1335" s="31"/>
      <x:c r="C1335" s="31"/>
      <x:c r="D1335" s="31" t="n">
        <x:v>1331</x:v>
      </x:c>
      <x:c r="E1335" s="42" t="n">
        <x:v>-0.017258832161987477</x:v>
      </x:c>
      <x:c r="F1335" s="42" t="n">
        <x:v>-0.005584697984657884</x:v>
      </x:c>
      <x:c r="G1335" s="43" t="n">
        <x:v>1.057303949254123</x:v>
      </x:c>
      <x:c r="H1335" s="32" t="n">
        <x:v>530781.3972618016</x:v>
      </x:c>
      <x:c r="I1335" s="50" t="b">
        <x:v>1</x:v>
      </x:c>
      <x:c r="J1335" s="50" t="b">
        <x:v>0</x:v>
      </x:c>
      <x:c r="K1335" s="31"/>
      <x:c r="L1335" s="31"/>
    </x:row>
    <x:row r="1336">
      <x:c r="A1336" s="31"/>
      <x:c r="B1336" s="31"/>
      <x:c r="C1336" s="31"/>
      <x:c r="D1336" s="31" t="n">
        <x:v>1332</x:v>
      </x:c>
      <x:c r="E1336" s="42" t="n">
        <x:v>0.014894953227618954</x:v>
      </x:c>
      <x:c r="F1336" s="42" t="n">
        <x:v>0.008391431256268577</x:v>
      </x:c>
      <x:c r="G1336" s="43" t="n">
        <x:v>1.0182813708198084</x:v>
      </x:c>
      <x:c r="H1336" s="32" t="n">
        <x:v>829200.3160431595</x:v>
      </x:c>
      <x:c r="I1336" s="50" t="b">
        <x:v>1</x:v>
      </x:c>
      <x:c r="J1336" s="50" t="b">
        <x:v>0</x:v>
      </x:c>
      <x:c r="K1336" s="31"/>
      <x:c r="L1336" s="31"/>
    </x:row>
    <x:row r="1337">
      <x:c r="A1337" s="31"/>
      <x:c r="B1337" s="31"/>
      <x:c r="C1337" s="31"/>
      <x:c r="D1337" s="31" t="n">
        <x:v>1333</x:v>
      </x:c>
      <x:c r="E1337" s="42" t="n">
        <x:v>0.008908216092191692</x:v>
      </x:c>
      <x:c r="F1337" s="42" t="n">
        <x:v>-0.0013008677585112133</x:v>
      </x:c>
      <x:c r="G1337" s="43" t="n">
        <x:v>1.0548010241440111</x:v>
      </x:c>
      <x:c r="H1337" s="32" t="n">
        <x:v>607589.1668058439</x:v>
      </x:c>
      <x:c r="I1337" s="50" t="b">
        <x:v>1</x:v>
      </x:c>
      <x:c r="J1337" s="50" t="b">
        <x:v>0</x:v>
      </x:c>
      <x:c r="K1337" s="31"/>
      <x:c r="L1337" s="31"/>
    </x:row>
    <x:row r="1338">
      <x:c r="A1338" s="31"/>
      <x:c r="B1338" s="31"/>
      <x:c r="C1338" s="31"/>
      <x:c r="D1338" s="31" t="n">
        <x:v>1334</x:v>
      </x:c>
      <x:c r="E1338" s="42" t="n">
        <x:v>0.02012337265562567</x:v>
      </x:c>
      <x:c r="F1338" s="42" t="n">
        <x:v>0.0008101024122918027</x:v>
      </x:c>
      <x:c r="G1338" s="43" t="n">
        <x:v>1.0321497087997087</x:v>
      </x:c>
      <x:c r="H1338" s="32" t="n">
        <x:v>776782.7661792269</x:v>
      </x:c>
      <x:c r="I1338" s="50" t="b">
        <x:v>1</x:v>
      </x:c>
      <x:c r="J1338" s="50" t="b">
        <x:v>0</x:v>
      </x:c>
      <x:c r="K1338" s="31"/>
      <x:c r="L1338" s="31"/>
    </x:row>
    <x:row r="1339">
      <x:c r="A1339" s="31"/>
      <x:c r="B1339" s="31"/>
      <x:c r="C1339" s="31"/>
      <x:c r="D1339" s="31" t="n">
        <x:v>1335</x:v>
      </x:c>
      <x:c r="E1339" s="42" t="n">
        <x:v>-0.013516756907372245</x:v>
      </x:c>
      <x:c r="F1339" s="42" t="n">
        <x:v>-0.006302846486143382</x:v>
      </x:c>
      <x:c r="G1339" s="43" t="n">
        <x:v>1.0323709798835954</x:v>
      </x:c>
      <x:c r="H1339" s="32" t="n">
        <x:v>701538.5426956182</x:v>
      </x:c>
      <x:c r="I1339" s="50" t="b">
        <x:v>1</x:v>
      </x:c>
      <x:c r="J1339" s="50" t="b">
        <x:v>0</x:v>
      </x:c>
      <x:c r="K1339" s="31"/>
      <x:c r="L1339" s="31"/>
    </x:row>
    <x:row r="1340">
      <x:c r="A1340" s="31"/>
      <x:c r="B1340" s="31"/>
      <x:c r="C1340" s="31"/>
      <x:c r="D1340" s="31" t="n">
        <x:v>1336</x:v>
      </x:c>
      <x:c r="E1340" s="42" t="n">
        <x:v>0.006396671489945015</x:v>
      </x:c>
      <x:c r="F1340" s="42" t="n">
        <x:v>0.0051328117403103</x:v>
      </x:c>
      <x:c r="G1340" s="43" t="n">
        <x:v>0.9681964040171973</x:v>
      </x:c>
      <x:c r="H1340" s="32" t="n">
        <x:v>1132690.6109013492</x:v>
      </x:c>
      <x:c r="I1340" s="50" t="b">
        <x:v>0</x:v>
      </x:c>
      <x:c r="J1340" s="50" t="b">
        <x:v>0</x:v>
      </x:c>
      <x:c r="K1340" s="31"/>
      <x:c r="L1340" s="31"/>
    </x:row>
    <x:row r="1341">
      <x:c r="A1341" s="31"/>
      <x:c r="B1341" s="31"/>
      <x:c r="C1341" s="31"/>
      <x:c r="D1341" s="31" t="n">
        <x:v>1337</x:v>
      </x:c>
      <x:c r="E1341" s="42" t="n">
        <x:v>-0.010442932055286883</x:v>
      </x:c>
      <x:c r="F1341" s="42" t="n">
        <x:v>0.013443375342088889</x:v>
      </x:c>
      <x:c r="G1341" s="43" t="n">
        <x:v>1.11648271469876</x:v>
      </x:c>
      <x:c r="H1341" s="32" t="n">
        <x:v>120961.46974401036</x:v>
      </x:c>
      <x:c r="I1341" s="50" t="b">
        <x:v>1</x:v>
      </x:c>
      <x:c r="J1341" s="50" t="b">
        <x:v>0</x:v>
      </x:c>
      <x:c r="K1341" s="31"/>
      <x:c r="L1341" s="31"/>
    </x:row>
    <x:row r="1342">
      <x:c r="A1342" s="31"/>
      <x:c r="B1342" s="31"/>
      <x:c r="C1342" s="31"/>
      <x:c r="D1342" s="31" t="n">
        <x:v>1338</x:v>
      </x:c>
      <x:c r="E1342" s="42" t="n">
        <x:v>-0.00129322143185174</x:v>
      </x:c>
      <x:c r="F1342" s="42" t="n">
        <x:v>-0.006630536321311828</x:v>
      </x:c>
      <x:c r="G1342" s="43" t="n">
        <x:v>0.9952368272127607</x:v>
      </x:c>
      <x:c r="H1342" s="32" t="n">
        <x:v>972303.3254870146</x:v>
      </x:c>
      <x:c r="I1342" s="50" t="b">
        <x:v>1</x:v>
      </x:c>
      <x:c r="J1342" s="50" t="b">
        <x:v>0</x:v>
      </x:c>
      <x:c r="K1342" s="31"/>
      <x:c r="L1342" s="31"/>
    </x:row>
    <x:row r="1343">
      <x:c r="A1343" s="31"/>
      <x:c r="B1343" s="31"/>
      <x:c r="C1343" s="31"/>
      <x:c r="D1343" s="31" t="n">
        <x:v>1339</x:v>
      </x:c>
      <x:c r="E1343" s="42" t="n">
        <x:v>0.007846617318512541</x:v>
      </x:c>
      <x:c r="F1343" s="42" t="n">
        <x:v>-0.00534858568102444</x:v>
      </x:c>
      <x:c r="G1343" s="43" t="n">
        <x:v>1.0306943336361054</x:v>
      </x:c>
      <x:c r="H1343" s="32" t="n">
        <x:v>768995.6534179503</x:v>
      </x:c>
      <x:c r="I1343" s="50" t="b">
        <x:v>1</x:v>
      </x:c>
      <x:c r="J1343" s="50" t="b">
        <x:v>0</x:v>
      </x:c>
      <x:c r="K1343" s="31"/>
      <x:c r="L1343" s="31"/>
    </x:row>
    <x:row r="1344">
      <x:c r="A1344" s="31"/>
      <x:c r="B1344" s="31"/>
      <x:c r="C1344" s="31"/>
      <x:c r="D1344" s="31" t="n">
        <x:v>1340</x:v>
      </x:c>
      <x:c r="E1344" s="42" t="n">
        <x:v>-0.016364594273959917</x:v>
      </x:c>
      <x:c r="F1344" s="42" t="n">
        <x:v>0.00461388870827565</x:v>
      </x:c>
      <x:c r="G1344" s="43" t="n">
        <x:v>0.9853684243496877</x:v>
      </x:c>
      <x:c r="H1344" s="32" t="n">
        <x:v>961724.0660505737</x:v>
      </x:c>
      <x:c r="I1344" s="50" t="b">
        <x:v>1</x:v>
      </x:c>
      <x:c r="J1344" s="50" t="b">
        <x:v>0</x:v>
      </x:c>
      <x:c r="K1344" s="31"/>
      <x:c r="L1344" s="31"/>
    </x:row>
    <x:row r="1345">
      <x:c r="A1345" s="31"/>
      <x:c r="B1345" s="31"/>
      <x:c r="C1345" s="31"/>
      <x:c r="D1345" s="31" t="n">
        <x:v>1341</x:v>
      </x:c>
      <x:c r="E1345" s="42" t="n">
        <x:v>0.008962653066995908</x:v>
      </x:c>
      <x:c r="F1345" s="42" t="n">
        <x:v>-0.001760335991131301</x:v>
      </x:c>
      <x:c r="G1345" s="43" t="n">
        <x:v>1.045059511971205</x:v>
      </x:c>
      <x:c r="H1345" s="32" t="n">
        <x:v>670885.1348557892</x:v>
      </x:c>
      <x:c r="I1345" s="50" t="b">
        <x:v>1</x:v>
      </x:c>
      <x:c r="J1345" s="50" t="b">
        <x:v>0</x:v>
      </x:c>
      <x:c r="K1345" s="31"/>
      <x:c r="L1345" s="31"/>
    </x:row>
    <x:row r="1346">
      <x:c r="A1346" s="31"/>
      <x:c r="B1346" s="31"/>
      <x:c r="C1346" s="31"/>
      <x:c r="D1346" s="31" t="n">
        <x:v>1342</x:v>
      </x:c>
      <x:c r="E1346" s="42" t="n">
        <x:v>-0.00015471540843090592</x:v>
      </x:c>
      <x:c r="F1346" s="42" t="n">
        <x:v>-0.004899931337308609</x:v>
      </x:c>
      <x:c r="G1346" s="43" t="n">
        <x:v>1.0192926276901804</x:v>
      </x:c>
      <x:c r="H1346" s="32" t="n">
        <x:v>817883.8348709394</x:v>
      </x:c>
      <x:c r="I1346" s="50" t="b">
        <x:v>1</x:v>
      </x:c>
      <x:c r="J1346" s="50" t="b">
        <x:v>0</x:v>
      </x:c>
      <x:c r="K1346" s="31"/>
      <x:c r="L1346" s="31"/>
    </x:row>
    <x:row r="1347">
      <x:c r="A1347" s="31"/>
      <x:c r="B1347" s="31"/>
      <x:c r="C1347" s="31"/>
      <x:c r="D1347" s="31" t="n">
        <x:v>1343</x:v>
      </x:c>
      <x:c r="E1347" s="42" t="n">
        <x:v>0.0008109689767648958</x:v>
      </x:c>
      <x:c r="F1347" s="42" t="n">
        <x:v>-0.00413122123755637</x:v>
      </x:c>
      <x:c r="G1347" s="43" t="n">
        <x:v>0.9519286205376667</x:v>
      </x:c>
      <x:c r="H1347" s="32" t="n">
        <x:v>1246241.2716875332</x:v>
      </x:c>
      <x:c r="I1347" s="50" t="b">
        <x:v>0</x:v>
      </x:c>
      <x:c r="J1347" s="50" t="b">
        <x:v>0</x:v>
      </x:c>
      <x:c r="K1347" s="31"/>
      <x:c r="L1347" s="31"/>
    </x:row>
    <x:row r="1348">
      <x:c r="A1348" s="31"/>
      <x:c r="B1348" s="31"/>
      <x:c r="C1348" s="31"/>
      <x:c r="D1348" s="31" t="n">
        <x:v>1344</x:v>
      </x:c>
      <x:c r="E1348" s="42" t="n">
        <x:v>0.028391062295018185</x:v>
      </x:c>
      <x:c r="F1348" s="42" t="n">
        <x:v>-0.006367382428940268</x:v>
      </x:c>
      <x:c r="G1348" s="43" t="n">
        <x:v>0.9366952731150211</x:v>
      </x:c>
      <x:c r="H1348" s="32" t="n">
        <x:v>1425978.0218567792</x:v>
      </x:c>
      <x:c r="I1348" s="50" t="b">
        <x:v>0</x:v>
      </x:c>
      <x:c r="J1348" s="50" t="b">
        <x:v>0</x:v>
      </x:c>
      <x:c r="K1348" s="31"/>
      <x:c r="L1348" s="31"/>
    </x:row>
    <x:row r="1349">
      <x:c r="A1349" s="31"/>
      <x:c r="B1349" s="31"/>
      <x:c r="C1349" s="31"/>
      <x:c r="D1349" s="31" t="n">
        <x:v>1345</x:v>
      </x:c>
      <x:c r="E1349" s="42" t="n">
        <x:v>0.00812559385826976</x:v>
      </x:c>
      <x:c r="F1349" s="42" t="n">
        <x:v>-0.0017185420274492974</x:v>
      </x:c>
      <x:c r="G1349" s="43" t="n">
        <x:v>1.0094815931300904</x:v>
      </x:c>
      <x:c r="H1349" s="32" t="n">
        <x:v>894383.8095058915</x:v>
      </x:c>
      <x:c r="I1349" s="50" t="b">
        <x:v>1</x:v>
      </x:c>
      <x:c r="J1349" s="50" t="b">
        <x:v>0</x:v>
      </x:c>
      <x:c r="K1349" s="31"/>
      <x:c r="L1349" s="31"/>
    </x:row>
    <x:row r="1350">
      <x:c r="A1350" s="31"/>
      <x:c r="B1350" s="31"/>
      <x:c r="C1350" s="31"/>
      <x:c r="D1350" s="31" t="n">
        <x:v>1346</x:v>
      </x:c>
      <x:c r="E1350" s="42" t="n">
        <x:v>0.0063867219850057165</x:v>
      </x:c>
      <x:c r="F1350" s="42" t="n">
        <x:v>0.00811675683169189</x:v>
      </x:c>
      <x:c r="G1350" s="43" t="n">
        <x:v>0.9392148605069512</x:v>
      </x:c>
      <x:c r="H1350" s="32" t="n">
        <x:v>1308410.3657733635</x:v>
      </x:c>
      <x:c r="I1350" s="50" t="b">
        <x:v>0</x:v>
      </x:c>
      <x:c r="J1350" s="50" t="b">
        <x:v>0</x:v>
      </x:c>
      <x:c r="K1350" s="31"/>
      <x:c r="L1350" s="31"/>
    </x:row>
    <x:row r="1351">
      <x:c r="A1351" s="31"/>
      <x:c r="B1351" s="31"/>
      <x:c r="C1351" s="31"/>
      <x:c r="D1351" s="31" t="n">
        <x:v>1347</x:v>
      </x:c>
      <x:c r="E1351" s="42" t="n">
        <x:v>0.026881484310676256</x:v>
      </x:c>
      <x:c r="F1351" s="42" t="n">
        <x:v>0.002791022285255795</x:v>
      </x:c>
      <x:c r="G1351" s="43" t="n">
        <x:v>1.0000365990139872</x:v>
      </x:c>
      <x:c r="H1351" s="32" t="n">
        <x:v>994021.1759558115</x:v>
      </x:c>
      <x:c r="I1351" s="50" t="b">
        <x:v>1</x:v>
      </x:c>
      <x:c r="J1351" s="50" t="b">
        <x:v>0</x:v>
      </x:c>
      <x:c r="K1351" s="31"/>
      <x:c r="L1351" s="31"/>
    </x:row>
    <x:row r="1352">
      <x:c r="A1352" s="31"/>
      <x:c r="B1352" s="31"/>
      <x:c r="C1352" s="31"/>
      <x:c r="D1352" s="31" t="n">
        <x:v>1348</x:v>
      </x:c>
      <x:c r="E1352" s="42" t="n">
        <x:v>-0.0016710419244408915</x:v>
      </x:c>
      <x:c r="F1352" s="42" t="n">
        <x:v>0.0010763307611656476</x:v>
      </x:c>
      <x:c r="G1352" s="43" t="n">
        <x:v>0.9786396961654193</x:v>
      </x:c>
      <x:c r="H1352" s="32" t="n">
        <x:v>1055202.9551253575</x:v>
      </x:c>
      <x:c r="I1352" s="50" t="b">
        <x:v>0</x:v>
      </x:c>
      <x:c r="J1352" s="50" t="b">
        <x:v>0</x:v>
      </x:c>
      <x:c r="K1352" s="31"/>
      <x:c r="L1352" s="31"/>
    </x:row>
    <x:row r="1353">
      <x:c r="A1353" s="31"/>
      <x:c r="B1353" s="31"/>
      <x:c r="C1353" s="31"/>
      <x:c r="D1353" s="31" t="n">
        <x:v>1349</x:v>
      </x:c>
      <x:c r="E1353" s="42" t="n">
        <x:v>0.0034860327093607273</x:v>
      </x:c>
      <x:c r="F1353" s="42" t="n">
        <x:v>0.005049049256211447</x:v>
      </x:c>
      <x:c r="G1353" s="43" t="n">
        <x:v>1.0205391231112373</x:v>
      </x:c>
      <x:c r="H1353" s="32" t="n">
        <x:v>792408.601217024</x:v>
      </x:c>
      <x:c r="I1353" s="50" t="b">
        <x:v>1</x:v>
      </x:c>
      <x:c r="J1353" s="50" t="b">
        <x:v>0</x:v>
      </x:c>
      <x:c r="K1353" s="31"/>
      <x:c r="L1353" s="31"/>
    </x:row>
    <x:row r="1354">
      <x:c r="A1354" s="31"/>
      <x:c r="B1354" s="31"/>
      <x:c r="C1354" s="31"/>
      <x:c r="D1354" s="31" t="n">
        <x:v>1350</x:v>
      </x:c>
      <x:c r="E1354" s="42" t="n">
        <x:v>0.003246311648001925</x:v>
      </x:c>
      <x:c r="F1354" s="42" t="n">
        <x:v>0.005067403703679764</x:v>
      </x:c>
      <x:c r="G1354" s="43" t="n">
        <x:v>0.9916541946590015</x:v>
      </x:c>
      <x:c r="H1354" s="32" t="n">
        <x:v>975129.995118286</x:v>
      </x:c>
      <x:c r="I1354" s="50" t="b">
        <x:v>1</x:v>
      </x:c>
      <x:c r="J1354" s="50" t="b">
        <x:v>0</x:v>
      </x:c>
      <x:c r="K1354" s="31"/>
      <x:c r="L1354" s="31"/>
    </x:row>
    <x:row r="1355">
      <x:c r="A1355" s="31"/>
      <x:c r="B1355" s="31"/>
      <x:c r="C1355" s="31"/>
      <x:c r="D1355" s="31" t="n">
        <x:v>1351</x:v>
      </x:c>
      <x:c r="E1355" s="42" t="n">
        <x:v>0.005015085088447789</x:v>
      </x:c>
      <x:c r="F1355" s="42" t="n">
        <x:v>0.0031651119854797954</x:v>
      </x:c>
      <x:c r="G1355" s="43" t="n">
        <x:v>0.9948570656837996</x:v>
      </x:c>
      <x:c r="H1355" s="32" t="n">
        <x:v>965007.9869895271</x:v>
      </x:c>
      <x:c r="I1355" s="50" t="b">
        <x:v>1</x:v>
      </x:c>
      <x:c r="J1355" s="50" t="b">
        <x:v>0</x:v>
      </x:c>
      <x:c r="K1355" s="31"/>
      <x:c r="L1355" s="31"/>
    </x:row>
    <x:row r="1356">
      <x:c r="A1356" s="31"/>
      <x:c r="B1356" s="31"/>
      <x:c r="C1356" s="31"/>
      <x:c r="D1356" s="31" t="n">
        <x:v>1352</x:v>
      </x:c>
      <x:c r="E1356" s="42" t="n">
        <x:v>-0.019279327705493357</x:v>
      </x:c>
      <x:c r="F1356" s="42" t="n">
        <x:v>-0.004462138397722277</x:v>
      </x:c>
      <x:c r="G1356" s="43" t="n">
        <x:v>0.992672837524839</x:v>
      </x:c>
      <x:c r="H1356" s="32" t="n">
        <x:v>932485.9667111544</x:v>
      </x:c>
      <x:c r="I1356" s="50" t="b">
        <x:v>1</x:v>
      </x:c>
      <x:c r="J1356" s="50" t="b">
        <x:v>0</x:v>
      </x:c>
      <x:c r="K1356" s="31"/>
      <x:c r="L1356" s="31"/>
    </x:row>
    <x:row r="1357">
      <x:c r="A1357" s="31"/>
      <x:c r="B1357" s="31"/>
      <x:c r="C1357" s="31"/>
      <x:c r="D1357" s="31" t="n">
        <x:v>1353</x:v>
      </x:c>
      <x:c r="E1357" s="42" t="n">
        <x:v>-0.0011526129109454748</x:v>
      </x:c>
      <x:c r="F1357" s="42" t="n">
        <x:v>0.001587103426572798</x:v>
      </x:c>
      <x:c r="G1357" s="43" t="n">
        <x:v>0.9604767873251846</x:v>
      </x:c>
      <x:c r="H1357" s="32" t="n">
        <x:v>1170571.6013647874</x:v>
      </x:c>
      <x:c r="I1357" s="50" t="b">
        <x:v>0</x:v>
      </x:c>
      <x:c r="J1357" s="50" t="b">
        <x:v>0</x:v>
      </x:c>
      <x:c r="K1357" s="31"/>
      <x:c r="L1357" s="31"/>
    </x:row>
    <x:row r="1358">
      <x:c r="A1358" s="31"/>
      <x:c r="B1358" s="31"/>
      <x:c r="C1358" s="31"/>
      <x:c r="D1358" s="31" t="n">
        <x:v>1354</x:v>
      </x:c>
      <x:c r="E1358" s="42" t="n">
        <x:v>-0.0003701064791965634</x:v>
      </x:c>
      <x:c r="F1358" s="42" t="n">
        <x:v>0.0011116692979748007</x:v>
      </x:c>
      <x:c r="G1358" s="43" t="n">
        <x:v>0.9332019960563662</x:v>
      </x:c>
      <x:c r="H1358" s="32" t="n">
        <x:v>1347287.3481394197</x:v>
      </x:c>
      <x:c r="I1358" s="50" t="b">
        <x:v>0</x:v>
      </x:c>
      <x:c r="J1358" s="50" t="b">
        <x:v>0</x:v>
      </x:c>
      <x:c r="K1358" s="31"/>
      <x:c r="L1358" s="31"/>
    </x:row>
    <x:row r="1359">
      <x:c r="A1359" s="31"/>
      <x:c r="B1359" s="31"/>
      <x:c r="C1359" s="31"/>
      <x:c r="D1359" s="31" t="n">
        <x:v>1355</x:v>
      </x:c>
      <x:c r="E1359" s="42" t="n">
        <x:v>-0.0038682178181318186</x:v>
      </x:c>
      <x:c r="F1359" s="42" t="n">
        <x:v>0.003993202925542852</x:v>
      </x:c>
      <x:c r="G1359" s="43" t="n">
        <x:v>1.059706069366251</x:v>
      </x:c>
      <x:c r="H1359" s="32" t="n">
        <x:v>526139.0056564123</x:v>
      </x:c>
      <x:c r="I1359" s="50" t="b">
        <x:v>1</x:v>
      </x:c>
      <x:c r="J1359" s="50" t="b">
        <x:v>0</x:v>
      </x:c>
      <x:c r="K1359" s="31"/>
      <x:c r="L1359" s="31"/>
    </x:row>
    <x:row r="1360">
      <x:c r="A1360" s="31"/>
      <x:c r="B1360" s="31"/>
      <x:c r="C1360" s="31"/>
      <x:c r="D1360" s="31" t="n">
        <x:v>1356</x:v>
      </x:c>
      <x:c r="E1360" s="42" t="n">
        <x:v>0.004555031741410629</x:v>
      </x:c>
      <x:c r="F1360" s="42" t="n">
        <x:v>0.010870668247070498</x:v>
      </x:c>
      <x:c r="G1360" s="43" t="n">
        <x:v>1.0139943422789706</x:v>
      </x:c>
      <x:c r="H1360" s="32" t="n">
        <x:v>820743.5716985408</x:v>
      </x:c>
      <x:c r="I1360" s="50" t="b">
        <x:v>1</x:v>
      </x:c>
      <x:c r="J1360" s="50" t="b">
        <x:v>0</x:v>
      </x:c>
      <x:c r="K1360" s="31"/>
      <x:c r="L1360" s="31"/>
    </x:row>
    <x:row r="1361">
      <x:c r="A1361" s="31"/>
      <x:c r="B1361" s="31"/>
      <x:c r="C1361" s="31"/>
      <x:c r="D1361" s="31" t="n">
        <x:v>1357</x:v>
      </x:c>
      <x:c r="E1361" s="42" t="n">
        <x:v>0.0005227913274535531</x:v>
      </x:c>
      <x:c r="F1361" s="42" t="n">
        <x:v>0.010929634340499934</x:v>
      </x:c>
      <x:c r="G1361" s="43" t="n">
        <x:v>1.112106651263649</x:v>
      </x:c>
      <x:c r="H1361" s="32" t="n">
        <x:v>186272.9597139568</x:v>
      </x:c>
      <x:c r="I1361" s="50" t="b">
        <x:v>1</x:v>
      </x:c>
      <x:c r="J1361" s="50" t="b">
        <x:v>0</x:v>
      </x:c>
      <x:c r="K1361" s="31"/>
      <x:c r="L1361" s="31"/>
    </x:row>
    <x:row r="1362">
      <x:c r="A1362" s="31"/>
      <x:c r="B1362" s="31"/>
      <x:c r="C1362" s="31"/>
      <x:c r="D1362" s="31" t="n">
        <x:v>1358</x:v>
      </x:c>
      <x:c r="E1362" s="42" t="n">
        <x:v>0.016925395840942</x:v>
      </x:c>
      <x:c r="F1362" s="42" t="n">
        <x:v>-0.0026087574200443562</x:v>
      </x:c>
      <x:c r="G1362" s="43" t="n">
        <x:v>0.979102322046686</x:v>
      </x:c>
      <x:c r="H1362" s="32" t="n">
        <x:v>1114286.0745068192</x:v>
      </x:c>
      <x:c r="I1362" s="50" t="b">
        <x:v>0</x:v>
      </x:c>
      <x:c r="J1362" s="50" t="b">
        <x:v>0</x:v>
      </x:c>
      <x:c r="K1362" s="31"/>
      <x:c r="L1362" s="31"/>
    </x:row>
    <x:row r="1363">
      <x:c r="A1363" s="31"/>
      <x:c r="B1363" s="31"/>
      <x:c r="C1363" s="31"/>
      <x:c r="D1363" s="31" t="n">
        <x:v>1359</x:v>
      </x:c>
      <x:c r="E1363" s="42" t="n">
        <x:v>0.013325229035599895</x:v>
      </x:c>
      <x:c r="F1363" s="42" t="n">
        <x:v>0.0010910697914978467</x:v>
      </x:c>
      <x:c r="G1363" s="43" t="n">
        <x:v>0.9889470298066179</x:v>
      </x:c>
      <x:c r="H1363" s="32" t="n">
        <x:v>1031445.5127686555</x:v>
      </x:c>
      <x:c r="I1363" s="50" t="b">
        <x:v>0</x:v>
      </x:c>
      <x:c r="J1363" s="50" t="b">
        <x:v>0</x:v>
      </x:c>
      <x:c r="K1363" s="31"/>
      <x:c r="L1363" s="31"/>
    </x:row>
    <x:row r="1364">
      <x:c r="A1364" s="31"/>
      <x:c r="B1364" s="31"/>
      <x:c r="C1364" s="31"/>
      <x:c r="D1364" s="31" t="n">
        <x:v>1360</x:v>
      </x:c>
      <x:c r="E1364" s="42" t="n">
        <x:v>-0.007744589715414663</x:v>
      </x:c>
      <x:c r="F1364" s="42" t="n">
        <x:v>0.00039879856240678327</x:v>
      </x:c>
      <x:c r="G1364" s="43" t="n">
        <x:v>0.9143537864878931</x:v>
      </x:c>
      <x:c r="H1364" s="32" t="n">
        <x:v>1448444.0816788804</x:v>
      </x:c>
      <x:c r="I1364" s="50" t="b">
        <x:v>0</x:v>
      </x:c>
      <x:c r="J1364" s="50" t="b">
        <x:v>0</x:v>
      </x:c>
      <x:c r="K1364" s="31"/>
      <x:c r="L1364" s="31"/>
    </x:row>
    <x:row r="1365">
      <x:c r="A1365" s="31"/>
      <x:c r="B1365" s="31"/>
      <x:c r="C1365" s="31"/>
      <x:c r="D1365" s="31" t="n">
        <x:v>1361</x:v>
      </x:c>
      <x:c r="E1365" s="42" t="n">
        <x:v>0.006334815347741946</x:v>
      </x:c>
      <x:c r="F1365" s="42" t="n">
        <x:v>-0.006349943540343084</x:v>
      </x:c>
      <x:c r="G1365" s="43" t="n">
        <x:v>0.991695877037838</x:v>
      </x:c>
      <x:c r="H1365" s="32" t="n">
        <x:v>1015242.6401356847</x:v>
      </x:c>
      <x:c r="I1365" s="50" t="b">
        <x:v>0</x:v>
      </x:c>
      <x:c r="J1365" s="50" t="b">
        <x:v>0</x:v>
      </x:c>
      <x:c r="K1365" s="31"/>
      <x:c r="L1365" s="31"/>
    </x:row>
    <x:row r="1366">
      <x:c r="A1366" s="31"/>
      <x:c r="B1366" s="31"/>
      <x:c r="C1366" s="31"/>
      <x:c r="D1366" s="31" t="n">
        <x:v>1362</x:v>
      </x:c>
      <x:c r="E1366" s="42" t="n">
        <x:v>0.0043024732355704245</x:v>
      </x:c>
      <x:c r="F1366" s="42" t="n">
        <x:v>-0.009235876445292945</x:v>
      </x:c>
      <x:c r="G1366" s="43" t="n">
        <x:v>0.9386002117439847</x:v>
      </x:c>
      <x:c r="H1366" s="32" t="n">
        <x:v>1354813.7075066708</x:v>
      </x:c>
      <x:c r="I1366" s="50" t="b">
        <x:v>0</x:v>
      </x:c>
      <x:c r="J1366" s="50" t="b">
        <x:v>0</x:v>
      </x:c>
      <x:c r="K1366" s="31"/>
      <x:c r="L1366" s="31"/>
    </x:row>
    <x:row r="1367">
      <x:c r="A1367" s="31"/>
      <x:c r="B1367" s="31"/>
      <x:c r="C1367" s="31"/>
      <x:c r="D1367" s="31" t="n">
        <x:v>1363</x:v>
      </x:c>
      <x:c r="E1367" s="42" t="n">
        <x:v>0.015220585817735225</x:v>
      </x:c>
      <x:c r="F1367" s="42" t="n">
        <x:v>0.0053593750264532706</x:v>
      </x:c>
      <x:c r="G1367" s="43" t="n">
        <x:v>1.0970244360154064</x:v>
      </x:c>
      <x:c r="H1367" s="32" t="n">
        <x:v>338472.2852276971</x:v>
      </x:c>
      <x:c r="I1367" s="50" t="b">
        <x:v>1</x:v>
      </x:c>
      <x:c r="J1367" s="50" t="b">
        <x:v>0</x:v>
      </x:c>
      <x:c r="K1367" s="31"/>
      <x:c r="L1367" s="31"/>
    </x:row>
    <x:row r="1368">
      <x:c r="A1368" s="31"/>
      <x:c r="B1368" s="31"/>
      <x:c r="C1368" s="31"/>
      <x:c r="D1368" s="31" t="n">
        <x:v>1364</x:v>
      </x:c>
      <x:c r="E1368" s="42" t="n">
        <x:v>0.010900043923074944</x:v>
      </x:c>
      <x:c r="F1368" s="42" t="n">
        <x:v>-0.008832158085956875</x:v>
      </x:c>
      <x:c r="G1368" s="43" t="n">
        <x:v>0.971632707247031</x:v>
      </x:c>
      <x:c r="H1368" s="32" t="n">
        <x:v>1162274.6917587663</x:v>
      </x:c>
      <x:c r="I1368" s="50" t="b">
        <x:v>0</x:v>
      </x:c>
      <x:c r="J1368" s="50" t="b">
        <x:v>0</x:v>
      </x:c>
      <x:c r="K1368" s="31"/>
      <x:c r="L1368" s="31"/>
    </x:row>
    <x:row r="1369">
      <x:c r="A1369" s="31"/>
      <x:c r="B1369" s="31"/>
      <x:c r="C1369" s="31"/>
      <x:c r="D1369" s="31" t="n">
        <x:v>1365</x:v>
      </x:c>
      <x:c r="E1369" s="42" t="n">
        <x:v>0.004756600254263059</x:v>
      </x:c>
      <x:c r="F1369" s="42" t="n">
        <x:v>-0.004706507693187972</x:v>
      </x:c>
      <x:c r="G1369" s="43" t="n">
        <x:v>1.0240659553783482</x:v>
      </x:c>
      <x:c r="H1369" s="32" t="n">
        <x:v>800702.1804565813</x:v>
      </x:c>
      <x:c r="I1369" s="50" t="b">
        <x:v>1</x:v>
      </x:c>
      <x:c r="J1369" s="50" t="b">
        <x:v>0</x:v>
      </x:c>
      <x:c r="K1369" s="31"/>
      <x:c r="L1369" s="31"/>
    </x:row>
    <x:row r="1370">
      <x:c r="A1370" s="31"/>
      <x:c r="B1370" s="31"/>
      <x:c r="C1370" s="31"/>
      <x:c r="D1370" s="31" t="n">
        <x:v>1366</x:v>
      </x:c>
      <x:c r="E1370" s="42" t="n">
        <x:v>0.012633474917267335</x:v>
      </x:c>
      <x:c r="F1370" s="42" t="n">
        <x:v>0.00781739746436216</x:v>
      </x:c>
      <x:c r="G1370" s="43" t="n">
        <x:v>0.9549154924210552</x:v>
      </x:c>
      <x:c r="H1370" s="32" t="n">
        <x:v>1226921.4821734212</x:v>
      </x:c>
      <x:c r="I1370" s="50" t="b">
        <x:v>0</x:v>
      </x:c>
      <x:c r="J1370" s="50" t="b">
        <x:v>0</x:v>
      </x:c>
      <x:c r="K1370" s="31"/>
      <x:c r="L1370" s="31"/>
    </x:row>
    <x:row r="1371">
      <x:c r="A1371" s="31"/>
      <x:c r="B1371" s="31"/>
      <x:c r="C1371" s="31"/>
      <x:c r="D1371" s="31" t="n">
        <x:v>1367</x:v>
      </x:c>
      <x:c r="E1371" s="42" t="n">
        <x:v>-0.002346407340479977</x:v>
      </x:c>
      <x:c r="F1371" s="42" t="n">
        <x:v>0.010751284042840965</x:v>
      </x:c>
      <x:c r="G1371" s="43" t="n">
        <x:v>0.9212616198416168</x:v>
      </x:c>
      <x:c r="H1371" s="32" t="n">
        <x:v>1390784.0350454687</x:v>
      </x:c>
      <x:c r="I1371" s="50" t="b">
        <x:v>0</x:v>
      </x:c>
      <x:c r="J1371" s="50" t="b">
        <x:v>0</x:v>
      </x:c>
      <x:c r="K1371" s="31"/>
      <x:c r="L1371" s="31"/>
    </x:row>
    <x:row r="1372">
      <x:c r="A1372" s="31"/>
      <x:c r="B1372" s="31"/>
      <x:c r="C1372" s="31"/>
      <x:c r="D1372" s="31" t="n">
        <x:v>1368</x:v>
      </x:c>
      <x:c r="E1372" s="42" t="n">
        <x:v>0.01347581801845034</x:v>
      </x:c>
      <x:c r="F1372" s="42" t="n">
        <x:v>-0.0007867379869065265</x:v>
      </x:c>
      <x:c r="G1372" s="43" t="n">
        <x:v>1.0488207268958378</x:v>
      </x:c>
      <x:c r="H1372" s="32" t="n">
        <x:v>656851.2193417167</x:v>
      </x:c>
      <x:c r="I1372" s="50" t="b">
        <x:v>1</x:v>
      </x:c>
      <x:c r="J1372" s="50" t="b">
        <x:v>0</x:v>
      </x:c>
      <x:c r="K1372" s="31"/>
      <x:c r="L1372" s="31"/>
    </x:row>
    <x:row r="1373">
      <x:c r="A1373" s="31"/>
      <x:c r="B1373" s="31"/>
      <x:c r="C1373" s="31"/>
      <x:c r="D1373" s="31" t="n">
        <x:v>1369</x:v>
      </x:c>
      <x:c r="E1373" s="42" t="n">
        <x:v>0.010152894912369294</x:v>
      </x:c>
      <x:c r="F1373" s="42" t="n">
        <x:v>-0.0013603586475905215</x:v>
      </x:c>
      <x:c r="G1373" s="43" t="n">
        <x:v>0.9950007594954677</x:v>
      </x:c>
      <x:c r="H1373" s="32" t="n">
        <x:v>990993.3848690289</x:v>
      </x:c>
      <x:c r="I1373" s="50" t="b">
        <x:v>1</x:v>
      </x:c>
      <x:c r="J1373" s="50" t="b">
        <x:v>0</x:v>
      </x:c>
      <x:c r="K1373" s="31"/>
      <x:c r="L1373" s="31"/>
    </x:row>
    <x:row r="1374">
      <x:c r="A1374" s="31"/>
      <x:c r="B1374" s="31"/>
      <x:c r="C1374" s="31"/>
      <x:c r="D1374" s="31" t="n">
        <x:v>1370</x:v>
      </x:c>
      <x:c r="E1374" s="42" t="n">
        <x:v>0.020902632748408298</x:v>
      </x:c>
      <x:c r="F1374" s="42" t="n">
        <x:v>0.010630173375421543</x:v>
      </x:c>
      <x:c r="G1374" s="43" t="n">
        <x:v>0.9881173325453874</x:v>
      </x:c>
      <x:c r="H1374" s="32" t="n">
        <x:v>1031254.2429177337</x:v>
      </x:c>
      <x:c r="I1374" s="50" t="b">
        <x:v>0</x:v>
      </x:c>
      <x:c r="J1374" s="50" t="b">
        <x:v>0</x:v>
      </x:c>
      <x:c r="K1374" s="31"/>
      <x:c r="L1374" s="31"/>
    </x:row>
    <x:row r="1375">
      <x:c r="A1375" s="31"/>
      <x:c r="B1375" s="31"/>
      <x:c r="C1375" s="31"/>
      <x:c r="D1375" s="31" t="n">
        <x:v>1371</x:v>
      </x:c>
      <x:c r="E1375" s="42" t="n">
        <x:v>-0.0016338881508794296</x:v>
      </x:c>
      <x:c r="F1375" s="42" t="n">
        <x:v>-0.004110858219667521</x:v>
      </x:c>
      <x:c r="G1375" s="43" t="n">
        <x:v>1.07462606342799</x:v>
      </x:c>
      <x:c r="H1375" s="32" t="n">
        <x:v>460163.6165904773</x:v>
      </x:c>
      <x:c r="I1375" s="50" t="b">
        <x:v>1</x:v>
      </x:c>
      <x:c r="J1375" s="50" t="b">
        <x:v>0</x:v>
      </x:c>
      <x:c r="K1375" s="31"/>
      <x:c r="L1375" s="31"/>
    </x:row>
    <x:row r="1376">
      <x:c r="A1376" s="31"/>
      <x:c r="B1376" s="31"/>
      <x:c r="C1376" s="31"/>
      <x:c r="D1376" s="31" t="n">
        <x:v>1372</x:v>
      </x:c>
      <x:c r="E1376" s="42" t="n">
        <x:v>-0.013324629302352984</x:v>
      </x:c>
      <x:c r="F1376" s="42" t="n">
        <x:v>0.01240300235685704</x:v>
      </x:c>
      <x:c r="G1376" s="43" t="n">
        <x:v>1.0028060465766448</x:v>
      </x:c>
      <x:c r="H1376" s="32" t="n">
        <x:v>837763.4544750837</x:v>
      </x:c>
      <x:c r="I1376" s="50" t="b">
        <x:v>1</x:v>
      </x:c>
      <x:c r="J1376" s="50" t="b">
        <x:v>0</x:v>
      </x:c>
      <x:c r="K1376" s="31"/>
      <x:c r="L1376" s="31"/>
    </x:row>
    <x:row r="1377">
      <x:c r="A1377" s="31"/>
      <x:c r="B1377" s="31"/>
      <x:c r="C1377" s="31"/>
      <x:c r="D1377" s="31" t="n">
        <x:v>1373</x:v>
      </x:c>
      <x:c r="E1377" s="42" t="n">
        <x:v>0.0026522646056467186</x:v>
      </x:c>
      <x:c r="F1377" s="42" t="n">
        <x:v>0.016269821907266054</x:v>
      </x:c>
      <x:c r="G1377" s="43" t="n">
        <x:v>1.009956223270552</x:v>
      </x:c>
      <x:c r="H1377" s="32" t="n">
        <x:v>826063.42892044</x:v>
      </x:c>
      <x:c r="I1377" s="50" t="b">
        <x:v>1</x:v>
      </x:c>
      <x:c r="J1377" s="50" t="b">
        <x:v>0</x:v>
      </x:c>
      <x:c r="K1377" s="31"/>
      <x:c r="L1377" s="31"/>
    </x:row>
    <x:row r="1378">
      <x:c r="A1378" s="31"/>
      <x:c r="B1378" s="31"/>
      <x:c r="C1378" s="31"/>
      <x:c r="D1378" s="31" t="n">
        <x:v>1374</x:v>
      </x:c>
      <x:c r="E1378" s="42" t="n">
        <x:v>-0.020583837065660537</x:v>
      </x:c>
      <x:c r="F1378" s="42" t="n">
        <x:v>-0.0012423959618094965</x:v>
      </x:c>
      <x:c r="G1378" s="43" t="n">
        <x:v>1.022680576715193</x:v>
      </x:c>
      <x:c r="H1378" s="32" t="n">
        <x:v>729322.2153563744</x:v>
      </x:c>
      <x:c r="I1378" s="50" t="b">
        <x:v>1</x:v>
      </x:c>
      <x:c r="J1378" s="50" t="b">
        <x:v>0</x:v>
      </x:c>
      <x:c r="K1378" s="31"/>
      <x:c r="L1378" s="31"/>
    </x:row>
    <x:row r="1379">
      <x:c r="A1379" s="31"/>
      <x:c r="B1379" s="31"/>
      <x:c r="C1379" s="31"/>
      <x:c r="D1379" s="31" t="n">
        <x:v>1375</x:v>
      </x:c>
      <x:c r="E1379" s="42" t="n">
        <x:v>-0.016254662039007425</x:v>
      </x:c>
      <x:c r="F1379" s="42" t="n">
        <x:v>-0.009117966153363308</x:v>
      </x:c>
      <x:c r="G1379" s="43" t="n">
        <x:v>0.951662231917054</x:v>
      </x:c>
      <x:c r="H1379" s="32" t="n">
        <x:v>1214311.1808884232</x:v>
      </x:c>
      <x:c r="I1379" s="50" t="b">
        <x:v>0</x:v>
      </x:c>
      <x:c r="J1379" s="50" t="b">
        <x:v>0</x:v>
      </x:c>
      <x:c r="K1379" s="31"/>
      <x:c r="L1379" s="31"/>
    </x:row>
    <x:row r="1380">
      <x:c r="A1380" s="31"/>
      <x:c r="B1380" s="31"/>
      <x:c r="C1380" s="31"/>
      <x:c r="D1380" s="31" t="n">
        <x:v>1376</x:v>
      </x:c>
      <x:c r="E1380" s="42" t="n">
        <x:v>0.01917872279989142</x:v>
      </x:c>
      <x:c r="F1380" s="42" t="n">
        <x:v>0.00587406768758905</x:v>
      </x:c>
      <x:c r="G1380" s="43" t="n">
        <x:v>1.026378032989255</x:v>
      </x:c>
      <x:c r="H1380" s="32" t="n">
        <x:v>796711.8818345349</x:v>
      </x:c>
      <x:c r="I1380" s="50" t="b">
        <x:v>1</x:v>
      </x:c>
      <x:c r="J1380" s="50" t="b">
        <x:v>0</x:v>
      </x:c>
      <x:c r="K1380" s="31"/>
      <x:c r="L1380" s="31"/>
    </x:row>
    <x:row r="1381">
      <x:c r="A1381" s="31"/>
      <x:c r="B1381" s="31"/>
      <x:c r="C1381" s="31"/>
      <x:c r="D1381" s="31" t="n">
        <x:v>1377</x:v>
      </x:c>
      <x:c r="E1381" s="42" t="n">
        <x:v>0.018497953402265628</x:v>
      </x:c>
      <x:c r="F1381" s="42" t="n">
        <x:v>-0.00006670350425819273</x:v>
      </x:c>
      <x:c r="G1381" s="43" t="n">
        <x:v>1.0857898291285286</x:v>
      </x:c>
      <x:c r="H1381" s="32" t="n">
        <x:v>434046.2308132957</x:v>
      </x:c>
      <x:c r="I1381" s="50" t="b">
        <x:v>1</x:v>
      </x:c>
      <x:c r="J1381" s="50" t="b">
        <x:v>0</x:v>
      </x:c>
      <x:c r="K1381" s="31"/>
      <x:c r="L1381" s="31"/>
    </x:row>
    <x:row r="1382">
      <x:c r="A1382" s="31"/>
      <x:c r="B1382" s="31"/>
      <x:c r="C1382" s="31"/>
      <x:c r="D1382" s="31" t="n">
        <x:v>1378</x:v>
      </x:c>
      <x:c r="E1382" s="42" t="n">
        <x:v>-0.007947467512797072</x:v>
      </x:c>
      <x:c r="F1382" s="42" t="n">
        <x:v>-0.002112511881805789</x:v>
      </x:c>
      <x:c r="G1382" s="43" t="n">
        <x:v>0.9452753504445259</x:v>
      </x:c>
      <x:c r="H1382" s="32" t="n">
        <x:v>1258495.824463984</x:v>
      </x:c>
      <x:c r="I1382" s="50" t="b">
        <x:v>0</x:v>
      </x:c>
      <x:c r="J1382" s="50" t="b">
        <x:v>0</x:v>
      </x:c>
      <x:c r="K1382" s="31"/>
      <x:c r="L1382" s="31"/>
    </x:row>
    <x:row r="1383">
      <x:c r="A1383" s="31"/>
      <x:c r="B1383" s="31"/>
      <x:c r="C1383" s="31"/>
      <x:c r="D1383" s="31" t="n">
        <x:v>1379</x:v>
      </x:c>
      <x:c r="E1383" s="42" t="n">
        <x:v>-0.006350145179879065</x:v>
      </x:c>
      <x:c r="F1383" s="42" t="n">
        <x:v>0.013874367506792709</x:v>
      </x:c>
      <x:c r="G1383" s="43" t="n">
        <x:v>0.9975505290618903</x:v>
      </x:c>
      <x:c r="H1383" s="32" t="n">
        <x:v>886457.7664450493</x:v>
      </x:c>
      <x:c r="I1383" s="50" t="b">
        <x:v>1</x:v>
      </x:c>
      <x:c r="J1383" s="50" t="b">
        <x:v>0</x:v>
      </x:c>
      <x:c r="K1383" s="31"/>
      <x:c r="L1383" s="31"/>
    </x:row>
    <x:row r="1384">
      <x:c r="A1384" s="31"/>
      <x:c r="B1384" s="31"/>
      <x:c r="C1384" s="31"/>
      <x:c r="D1384" s="31" t="n">
        <x:v>1380</x:v>
      </x:c>
      <x:c r="E1384" s="42" t="n">
        <x:v>-0.02894584441230251</x:v>
      </x:c>
      <x:c r="F1384" s="42" t="n">
        <x:v>0.001734310451522043</x:v>
      </x:c>
      <x:c r="G1384" s="43" t="n">
        <x:v>1.042942039958039</x:v>
      </x:c>
      <x:c r="H1384" s="32" t="n">
        <x:v>569086.0129302596</x:v>
      </x:c>
      <x:c r="I1384" s="50" t="b">
        <x:v>1</x:v>
      </x:c>
      <x:c r="J1384" s="50" t="b">
        <x:v>0</x:v>
      </x:c>
      <x:c r="K1384" s="31"/>
      <x:c r="L1384" s="31"/>
    </x:row>
    <x:row r="1385">
      <x:c r="A1385" s="31"/>
      <x:c r="B1385" s="31"/>
      <x:c r="C1385" s="31"/>
      <x:c r="D1385" s="31" t="n">
        <x:v>1381</x:v>
      </x:c>
      <x:c r="E1385" s="42" t="n">
        <x:v>-0.01487061417375035</x:v>
      </x:c>
      <x:c r="F1385" s="42" t="n">
        <x:v>-0.0022812374634343753</x:v>
      </x:c>
      <x:c r="G1385" s="43" t="n">
        <x:v>1.0564752228635914</x:v>
      </x:c>
      <x:c r="H1385" s="32" t="n">
        <x:v>533496.7988911597</x:v>
      </x:c>
      <x:c r="I1385" s="50" t="b">
        <x:v>1</x:v>
      </x:c>
      <x:c r="J1385" s="50" t="b">
        <x:v>0</x:v>
      </x:c>
      <x:c r="K1385" s="31"/>
      <x:c r="L1385" s="31"/>
    </x:row>
    <x:row r="1386">
      <x:c r="A1386" s="31"/>
      <x:c r="B1386" s="31"/>
      <x:c r="C1386" s="31"/>
      <x:c r="D1386" s="31" t="n">
        <x:v>1382</x:v>
      </x:c>
      <x:c r="E1386" s="42" t="n">
        <x:v>-0.004200132700048594</x:v>
      </x:c>
      <x:c r="F1386" s="42" t="n">
        <x:v>0.011543247868422923</x:v>
      </x:c>
      <x:c r="G1386" s="43" t="n">
        <x:v>0.9453015375469003</x:v>
      </x:c>
      <x:c r="H1386" s="32" t="n">
        <x:v>1230749.1973704144</x:v>
      </x:c>
      <x:c r="I1386" s="50" t="b">
        <x:v>0</x:v>
      </x:c>
      <x:c r="J1386" s="50" t="b">
        <x:v>0</x:v>
      </x:c>
      <x:c r="K1386" s="31"/>
      <x:c r="L1386" s="31"/>
    </x:row>
    <x:row r="1387">
      <x:c r="A1387" s="31"/>
      <x:c r="B1387" s="31"/>
      <x:c r="C1387" s="31"/>
      <x:c r="D1387" s="31" t="n">
        <x:v>1383</x:v>
      </x:c>
      <x:c r="E1387" s="42" t="n">
        <x:v>-0.005741791843404987</x:v>
      </x:c>
      <x:c r="F1387" s="42" t="n">
        <x:v>-0.005580455796017569</x:v>
      </x:c>
      <x:c r="G1387" s="43" t="n">
        <x:v>1.0055732191285616</x:v>
      </x:c>
      <x:c r="H1387" s="32" t="n">
        <x:v>891354.2995268363</x:v>
      </x:c>
      <x:c r="I1387" s="50" t="b">
        <x:v>1</x:v>
      </x:c>
      <x:c r="J1387" s="50" t="b">
        <x:v>0</x:v>
      </x:c>
      <x:c r="K1387" s="31"/>
      <x:c r="L1387" s="31"/>
    </x:row>
    <x:row r="1388">
      <x:c r="A1388" s="31"/>
      <x:c r="B1388" s="31"/>
      <x:c r="C1388" s="31"/>
      <x:c r="D1388" s="31" t="n">
        <x:v>1384</x:v>
      </x:c>
      <x:c r="E1388" s="42" t="n">
        <x:v>-0.031092399571197065</x:v>
      </x:c>
      <x:c r="F1388" s="42" t="n">
        <x:v>-0.008082277934111648</x:v>
      </x:c>
      <x:c r="G1388" s="43" t="n">
        <x:v>0.9957954419746515</x:v>
      </x:c>
      <x:c r="H1388" s="32" t="n">
        <x:v>889850.0081914316</x:v>
      </x:c>
      <x:c r="I1388" s="50" t="b">
        <x:v>1</x:v>
      </x:c>
      <x:c r="J1388" s="50" t="b">
        <x:v>0</x:v>
      </x:c>
      <x:c r="K1388" s="31"/>
      <x:c r="L1388" s="31"/>
    </x:row>
    <x:row r="1389">
      <x:c r="A1389" s="31"/>
      <x:c r="B1389" s="31"/>
      <x:c r="C1389" s="31"/>
      <x:c r="D1389" s="31" t="n">
        <x:v>1385</x:v>
      </x:c>
      <x:c r="E1389" s="42" t="n">
        <x:v>0.006830330113674875</x:v>
      </x:c>
      <x:c r="F1389" s="42" t="n">
        <x:v>0.001762363790688502</x:v>
      </x:c>
      <x:c r="G1389" s="43" t="n">
        <x:v>0.9952205192786683</x:v>
      </x:c>
      <x:c r="H1389" s="32" t="n">
        <x:v>971657.1547129933</x:v>
      </x:c>
      <x:c r="I1389" s="50" t="b">
        <x:v>1</x:v>
      </x:c>
      <x:c r="J1389" s="50" t="b">
        <x:v>0</x:v>
      </x:c>
      <x:c r="K1389" s="31"/>
      <x:c r="L1389" s="31"/>
    </x:row>
    <x:row r="1390">
      <x:c r="A1390" s="31"/>
      <x:c r="B1390" s="31"/>
      <x:c r="C1390" s="31"/>
      <x:c r="D1390" s="31" t="n">
        <x:v>1386</x:v>
      </x:c>
      <x:c r="E1390" s="42" t="n">
        <x:v>-0.0011652107253291308</x:v>
      </x:c>
      <x:c r="F1390" s="42" t="n">
        <x:v>0.0010577512543769106</x:v>
      </x:c>
      <x:c r="G1390" s="43" t="n">
        <x:v>0.9638526055864887</x:v>
      </x:c>
      <x:c r="H1390" s="32" t="n">
        <x:v>1150571.1617643964</x:v>
      </x:c>
      <x:c r="I1390" s="50" t="b">
        <x:v>0</x:v>
      </x:c>
      <x:c r="J1390" s="50" t="b">
        <x:v>0</x:v>
      </x:c>
      <x:c r="K1390" s="31"/>
      <x:c r="L1390" s="31"/>
    </x:row>
    <x:row r="1391">
      <x:c r="A1391" s="31"/>
      <x:c r="B1391" s="31"/>
      <x:c r="C1391" s="31"/>
      <x:c r="D1391" s="31" t="n">
        <x:v>1387</x:v>
      </x:c>
      <x:c r="E1391" s="42" t="n">
        <x:v>0.019828540753278754</x:v>
      </x:c>
      <x:c r="F1391" s="42" t="n">
        <x:v>-0.003264730614670105</x:v>
      </x:c>
      <x:c r="G1391" s="43" t="n">
        <x:v>0.9979282491558539</x:v>
      </x:c>
      <x:c r="H1391" s="32" t="n">
        <x:v>1004634.9884492299</x:v>
      </x:c>
      <x:c r="I1391" s="50" t="b">
        <x:v>0</x:v>
      </x:c>
      <x:c r="J1391" s="50" t="b">
        <x:v>0</x:v>
      </x:c>
      <x:c r="K1391" s="31"/>
      <x:c r="L1391" s="31"/>
    </x:row>
    <x:row r="1392">
      <x:c r="A1392" s="31"/>
      <x:c r="B1392" s="31"/>
      <x:c r="C1392" s="31"/>
      <x:c r="D1392" s="31" t="n">
        <x:v>1388</x:v>
      </x:c>
      <x:c r="E1392" s="42" t="n">
        <x:v>-0.011782995057608535</x:v>
      </x:c>
      <x:c r="F1392" s="42" t="n">
        <x:v>-0.001164139053393102</x:v>
      </x:c>
      <x:c r="G1392" s="43" t="n">
        <x:v>1.0834435394593518</x:v>
      </x:c>
      <x:c r="H1392" s="32" t="n">
        <x:v>367713.87684288016</x:v>
      </x:c>
      <x:c r="I1392" s="50" t="b">
        <x:v>1</x:v>
      </x:c>
      <x:c r="J1392" s="50" t="b">
        <x:v>0</x:v>
      </x:c>
      <x:c r="K1392" s="31"/>
      <x:c r="L1392" s="31"/>
    </x:row>
    <x:row r="1393">
      <x:c r="A1393" s="31"/>
      <x:c r="B1393" s="31"/>
      <x:c r="C1393" s="31"/>
      <x:c r="D1393" s="31" t="n">
        <x:v>1389</x:v>
      </x:c>
      <x:c r="E1393" s="42" t="n">
        <x:v>-0.019376037788076318</x:v>
      </x:c>
      <x:c r="F1393" s="42" t="n">
        <x:v>0.004065150699186835</x:v>
      </x:c>
      <x:c r="G1393" s="43" t="n">
        <x:v>0.9540138792285048</x:v>
      </x:c>
      <x:c r="H1393" s="32" t="n">
        <x:v>1153992.6383894968</x:v>
      </x:c>
      <x:c r="I1393" s="50" t="b">
        <x:v>0</x:v>
      </x:c>
      <x:c r="J1393" s="50" t="b">
        <x:v>0</x:v>
      </x:c>
      <x:c r="K1393" s="31"/>
      <x:c r="L1393" s="31"/>
    </x:row>
    <x:row r="1394">
      <x:c r="A1394" s="31"/>
      <x:c r="B1394" s="31"/>
      <x:c r="C1394" s="31"/>
      <x:c r="D1394" s="31" t="n">
        <x:v>1390</x:v>
      </x:c>
      <x:c r="E1394" s="42" t="n">
        <x:v>-0.003829993838728075</x:v>
      </x:c>
      <x:c r="F1394" s="42" t="n">
        <x:v>-0.00575793637327829</x:v>
      </x:c>
      <x:c r="G1394" s="43" t="n">
        <x:v>1.018965011912577</x:v>
      </x:c>
      <x:c r="H1394" s="32" t="n">
        <x:v>812122.4841437815</x:v>
      </x:c>
      <x:c r="I1394" s="50" t="b">
        <x:v>1</x:v>
      </x:c>
      <x:c r="J1394" s="50" t="b">
        <x:v>0</x:v>
      </x:c>
      <x:c r="K1394" s="31"/>
      <x:c r="L1394" s="31"/>
    </x:row>
    <x:row r="1395">
      <x:c r="A1395" s="31"/>
      <x:c r="B1395" s="31"/>
      <x:c r="C1395" s="31"/>
      <x:c r="D1395" s="31" t="n">
        <x:v>1391</x:v>
      </x:c>
      <x:c r="E1395" s="42" t="n">
        <x:v>-0.019881643300534515</x:v>
      </x:c>
      <x:c r="F1395" s="42" t="n">
        <x:v>0.0019487714474264613</x:v>
      </x:c>
      <x:c r="G1395" s="43" t="n">
        <x:v>0.9879590438252477</x:v>
      </x:c>
      <x:c r="H1395" s="32" t="n">
        <x:v>942900.4266761641</x:v>
      </x:c>
      <x:c r="I1395" s="50" t="b">
        <x:v>1</x:v>
      </x:c>
      <x:c r="J1395" s="50" t="b">
        <x:v>0</x:v>
      </x:c>
      <x:c r="K1395" s="31"/>
      <x:c r="L1395" s="31"/>
    </x:row>
    <x:row r="1396">
      <x:c r="A1396" s="31"/>
      <x:c r="B1396" s="31"/>
      <x:c r="C1396" s="31"/>
      <x:c r="D1396" s="31" t="n">
        <x:v>1392</x:v>
      </x:c>
      <x:c r="E1396" s="42" t="n">
        <x:v>0.011632432583955464</x:v>
      </x:c>
      <x:c r="F1396" s="42" t="n">
        <x:v>-0.01180071161523558</x:v>
      </x:c>
      <x:c r="G1396" s="43" t="n">
        <x:v>0.9879868582811057</x:v>
      </x:c>
      <x:c r="H1396" s="32" t="n">
        <x:v>1068715.9048395308</x:v>
      </x:c>
      <x:c r="I1396" s="50" t="b">
        <x:v>0</x:v>
      </x:c>
      <x:c r="J1396" s="50" t="b">
        <x:v>0</x:v>
      </x:c>
      <x:c r="K1396" s="31"/>
      <x:c r="L1396" s="31"/>
    </x:row>
    <x:row r="1397">
      <x:c r="A1397" s="31"/>
      <x:c r="B1397" s="31"/>
      <x:c r="C1397" s="31"/>
      <x:c r="D1397" s="31" t="n">
        <x:v>1393</x:v>
      </x:c>
      <x:c r="E1397" s="42" t="n">
        <x:v>-0.0012545398380371634</x:v>
      </x:c>
      <x:c r="F1397" s="42" t="n">
        <x:v>0.004656105063997053</x:v>
      </x:c>
      <x:c r="G1397" s="43" t="n">
        <x:v>1.0020588577246083</x:v>
      </x:c>
      <x:c r="H1397" s="32" t="n">
        <x:v>897669.6547747017</x:v>
      </x:c>
      <x:c r="I1397" s="50" t="b">
        <x:v>1</x:v>
      </x:c>
      <x:c r="J1397" s="50" t="b">
        <x:v>0</x:v>
      </x:c>
      <x:c r="K1397" s="31"/>
      <x:c r="L1397" s="31"/>
    </x:row>
    <x:row r="1398">
      <x:c r="A1398" s="31"/>
      <x:c r="B1398" s="31"/>
      <x:c r="C1398" s="31"/>
      <x:c r="D1398" s="31" t="n">
        <x:v>1394</x:v>
      </x:c>
      <x:c r="E1398" s="42" t="n">
        <x:v>-0.004572680754901549</x:v>
      </x:c>
      <x:c r="F1398" s="42" t="n">
        <x:v>0.001317010215026362</x:v>
      </x:c>
      <x:c r="G1398" s="43" t="n">
        <x:v>1.080575224576354</x:v>
      </x:c>
      <x:c r="H1398" s="32" t="n">
        <x:v>399093.4434734483</x:v>
      </x:c>
      <x:c r="I1398" s="50" t="b">
        <x:v>1</x:v>
      </x:c>
      <x:c r="J1398" s="50" t="b">
        <x:v>0</x:v>
      </x:c>
      <x:c r="K1398" s="31"/>
      <x:c r="L1398" s="31"/>
    </x:row>
    <x:row r="1399">
      <x:c r="A1399" s="31"/>
      <x:c r="B1399" s="31"/>
      <x:c r="C1399" s="31"/>
      <x:c r="D1399" s="31" t="n">
        <x:v>1395</x:v>
      </x:c>
      <x:c r="E1399" s="42" t="n">
        <x:v>0.00005765245047751324</x:v>
      </x:c>
      <x:c r="F1399" s="42" t="n">
        <x:v>0.0009765150345106293</x:v>
      </x:c>
      <x:c r="G1399" s="43" t="n">
        <x:v>0.9739728204163384</x:v>
      </x:c>
      <x:c r="H1399" s="32" t="n">
        <x:v>1089930.6197454557</x:v>
      </x:c>
      <x:c r="I1399" s="50" t="b">
        <x:v>0</x:v>
      </x:c>
      <x:c r="J1399" s="50" t="b">
        <x:v>0</x:v>
      </x:c>
      <x:c r="K1399" s="31"/>
      <x:c r="L1399" s="31"/>
    </x:row>
    <x:row r="1400">
      <x:c r="A1400" s="31"/>
      <x:c r="B1400" s="31"/>
      <x:c r="C1400" s="31"/>
      <x:c r="D1400" s="31" t="n">
        <x:v>1396</x:v>
      </x:c>
      <x:c r="E1400" s="42" t="n">
        <x:v>-0.024920199710242886</x:v>
      </x:c>
      <x:c r="F1400" s="42" t="n">
        <x:v>0.010665007297225132</x:v>
      </x:c>
      <x:c r="G1400" s="43" t="n">
        <x:v>0.9977264109450458</x:v>
      </x:c>
      <x:c r="H1400" s="32" t="n">
        <x:v>842583.9587900701</x:v>
      </x:c>
      <x:c r="I1400" s="50" t="b">
        <x:v>1</x:v>
      </x:c>
      <x:c r="J1400" s="50" t="b">
        <x:v>0</x:v>
      </x:c>
      <x:c r="K1400" s="31"/>
      <x:c r="L1400" s="31"/>
    </x:row>
    <x:row r="1401">
      <x:c r="A1401" s="31"/>
      <x:c r="B1401" s="31"/>
      <x:c r="C1401" s="31"/>
      <x:c r="D1401" s="31" t="n">
        <x:v>1397</x:v>
      </x:c>
      <x:c r="E1401" s="42" t="n">
        <x:v>-0.012678083662752058</x:v>
      </x:c>
      <x:c r="F1401" s="42" t="n">
        <x:v>0.009191443735342131</x:v>
      </x:c>
      <x:c r="G1401" s="43" t="n">
        <x:v>1.052923645122823</x:v>
      </x:c>
      <x:c r="H1401" s="32" t="n">
        <x:v>530220.3277270943</x:v>
      </x:c>
      <x:c r="I1401" s="50" t="b">
        <x:v>1</x:v>
      </x:c>
      <x:c r="J1401" s="50" t="b">
        <x:v>0</x:v>
      </x:c>
      <x:c r="K1401" s="31"/>
      <x:c r="L1401" s="31"/>
    </x:row>
    <x:row r="1402">
      <x:c r="A1402" s="31"/>
      <x:c r="B1402" s="31"/>
      <x:c r="C1402" s="31"/>
      <x:c r="D1402" s="31" t="n">
        <x:v>1398</x:v>
      </x:c>
      <x:c r="E1402" s="42" t="n">
        <x:v>-0.009205727635257828</x:v>
      </x:c>
      <x:c r="F1402" s="42" t="n">
        <x:v>0.0018767209983399527</x:v>
      </x:c>
      <x:c r="G1402" s="43" t="n">
        <x:v>1.0505243145209844</x:v>
      </x:c>
      <x:c r="H1402" s="32" t="n">
        <x:v>575483.8491741181</x:v>
      </x:c>
      <x:c r="I1402" s="50" t="b">
        <x:v>1</x:v>
      </x:c>
      <x:c r="J1402" s="50" t="b">
        <x:v>0</x:v>
      </x:c>
      <x:c r="K1402" s="31"/>
      <x:c r="L1402" s="31"/>
    </x:row>
    <x:row r="1403">
      <x:c r="A1403" s="31"/>
      <x:c r="B1403" s="31"/>
      <x:c r="C1403" s="31"/>
      <x:c r="D1403" s="31" t="n">
        <x:v>1399</x:v>
      </x:c>
      <x:c r="E1403" s="42" t="n">
        <x:v>0.002946885807423762</x:v>
      </x:c>
      <x:c r="F1403" s="42" t="n">
        <x:v>-0.0003057646917323561</x:v>
      </x:c>
      <x:c r="G1403" s="43" t="n">
        <x:v>0.986093371939189</x:v>
      </x:c>
      <x:c r="H1403" s="32" t="n">
        <x:v>1024568.0325898267</x:v>
      </x:c>
      <x:c r="I1403" s="50" t="b">
        <x:v>0</x:v>
      </x:c>
      <x:c r="J1403" s="50" t="b">
        <x:v>0</x:v>
      </x:c>
      <x:c r="K1403" s="31"/>
      <x:c r="L1403" s="31"/>
    </x:row>
    <x:row r="1404">
      <x:c r="A1404" s="31"/>
      <x:c r="B1404" s="31"/>
      <x:c r="C1404" s="31"/>
      <x:c r="D1404" s="31" t="n">
        <x:v>1400</x:v>
      </x:c>
      <x:c r="E1404" s="42" t="n">
        <x:v>0.010229416516320183</x:v>
      </x:c>
      <x:c r="F1404" s="42" t="n">
        <x:v>-0.002189071007844738</x:v>
      </x:c>
      <x:c r="G1404" s="43" t="n">
        <x:v>1.0062458944731372</x:v>
      </x:c>
      <x:c r="H1404" s="32" t="n">
        <x:v>922098.5524410671</x:v>
      </x:c>
      <x:c r="I1404" s="50" t="b">
        <x:v>1</x:v>
      </x:c>
      <x:c r="J1404" s="50" t="b">
        <x:v>0</x:v>
      </x:c>
      <x:c r="K1404" s="31"/>
      <x:c r="L1404" s="31"/>
    </x:row>
    <x:row r="1405">
      <x:c r="A1405" s="31"/>
      <x:c r="B1405" s="31"/>
      <x:c r="C1405" s="31"/>
      <x:c r="D1405" s="31" t="n">
        <x:v>1401</x:v>
      </x:c>
      <x:c r="E1405" s="42" t="n">
        <x:v>-0.006176419151697019</x:v>
      </x:c>
      <x:c r="F1405" s="42" t="n">
        <x:v>0.008213613726736853</x:v>
      </x:c>
      <x:c r="G1405" s="43" t="n">
        <x:v>1.0708402988489552</x:v>
      </x:c>
      <x:c r="H1405" s="32" t="n">
        <x:v>437256.22627024725</x:v>
      </x:c>
      <x:c r="I1405" s="50" t="b">
        <x:v>1</x:v>
      </x:c>
      <x:c r="J1405" s="50" t="b">
        <x:v>0</x:v>
      </x:c>
      <x:c r="K1405" s="31"/>
      <x:c r="L1405" s="31"/>
    </x:row>
    <x:row r="1406">
      <x:c r="A1406" s="31"/>
      <x:c r="B1406" s="31"/>
      <x:c r="C1406" s="31"/>
      <x:c r="D1406" s="31" t="n">
        <x:v>1402</x:v>
      </x:c>
      <x:c r="E1406" s="42" t="n">
        <x:v>0.007623643859273033</x:v>
      </x:c>
      <x:c r="F1406" s="42" t="n">
        <x:v>0.00044420125482341456</x:v>
      </x:c>
      <x:c r="G1406" s="43" t="n">
        <x:v>0.9524318348082759</x:v>
      </x:c>
      <x:c r="H1406" s="32" t="n">
        <x:v>1249272.946298117</x:v>
      </x:c>
      <x:c r="I1406" s="50" t="b">
        <x:v>0</x:v>
      </x:c>
      <x:c r="J1406" s="50" t="b">
        <x:v>0</x:v>
      </x:c>
      <x:c r="K1406" s="31"/>
      <x:c r="L1406" s="31"/>
    </x:row>
    <x:row r="1407">
      <x:c r="A1407" s="31"/>
      <x:c r="B1407" s="31"/>
      <x:c r="C1407" s="31"/>
      <x:c r="D1407" s="31" t="n">
        <x:v>1403</x:v>
      </x:c>
      <x:c r="E1407" s="42" t="n">
        <x:v>-0.018869064141304223</x:v>
      </x:c>
      <x:c r="F1407" s="42" t="n">
        <x:v>0.001733227287219922</x:v>
      </x:c>
      <x:c r="G1407" s="43" t="n">
        <x:v>0.9847791129376702</x:v>
      </x:c>
      <x:c r="H1407" s="32" t="n">
        <x:v>966513.7484125583</x:v>
      </x:c>
      <x:c r="I1407" s="50" t="b">
        <x:v>1</x:v>
      </x:c>
      <x:c r="J1407" s="50" t="b">
        <x:v>0</x:v>
      </x:c>
      <x:c r="K1407" s="31"/>
      <x:c r="L1407" s="31"/>
    </x:row>
    <x:row r="1408">
      <x:c r="A1408" s="31"/>
      <x:c r="B1408" s="31"/>
      <x:c r="C1408" s="31"/>
      <x:c r="D1408" s="31" t="n">
        <x:v>1404</x:v>
      </x:c>
      <x:c r="E1408" s="42" t="n">
        <x:v>-0.0015269569506461804</x:v>
      </x:c>
      <x:c r="F1408" s="42" t="n">
        <x:v>0.007068304521231693</x:v>
      </x:c>
      <x:c r="G1408" s="43" t="n">
        <x:v>1.1265792818167604</x:v>
      </x:c>
      <x:c r="H1408" s="32" t="n">
        <x:v>99404.08314854442</x:v>
      </x:c>
      <x:c r="I1408" s="50" t="b">
        <x:v>1</x:v>
      </x:c>
      <x:c r="J1408" s="50" t="b">
        <x:v>0</x:v>
      </x:c>
      <x:c r="K1408" s="31"/>
      <x:c r="L1408" s="31"/>
    </x:row>
    <x:row r="1409">
      <x:c r="A1409" s="31"/>
      <x:c r="B1409" s="31"/>
      <x:c r="C1409" s="31"/>
      <x:c r="D1409" s="31" t="n">
        <x:v>1405</x:v>
      </x:c>
      <x:c r="E1409" s="42" t="n">
        <x:v>-0.0059909043746848726</x:v>
      </x:c>
      <x:c r="F1409" s="42" t="n">
        <x:v>0.016258552530415638</x:v>
      </x:c>
      <x:c r="G1409" s="43" t="n">
        <x:v>0.9766307288802585</x:v>
      </x:c>
      <x:c r="H1409" s="32" t="n">
        <x:v>1013676.8364790902</x:v>
      </x:c>
      <x:c r="I1409" s="50" t="b">
        <x:v>0</x:v>
      </x:c>
      <x:c r="J1409" s="50" t="b">
        <x:v>0</x:v>
      </x:c>
      <x:c r="K1409" s="31"/>
      <x:c r="L1409" s="31"/>
    </x:row>
    <x:row r="1410">
      <x:c r="A1410" s="31"/>
      <x:c r="B1410" s="31"/>
      <x:c r="C1410" s="31"/>
      <x:c r="D1410" s="31" t="n">
        <x:v>1406</x:v>
      </x:c>
      <x:c r="E1410" s="42" t="n">
        <x:v>-0.0009142135494874026</x:v>
      </x:c>
      <x:c r="F1410" s="42" t="n">
        <x:v>0.012235309312864125</x:v>
      </x:c>
      <x:c r="G1410" s="43" t="n">
        <x:v>1.0473454267927094</x:v>
      </x:c>
      <x:c r="H1410" s="32" t="n">
        <x:v>589918.2906922717</x:v>
      </x:c>
      <x:c r="I1410" s="50" t="b">
        <x:v>1</x:v>
      </x:c>
      <x:c r="J1410" s="50" t="b">
        <x:v>0</x:v>
      </x:c>
      <x:c r="K1410" s="31"/>
      <x:c r="L1410" s="31"/>
    </x:row>
    <x:row r="1411">
      <x:c r="A1411" s="31"/>
      <x:c r="B1411" s="31"/>
      <x:c r="C1411" s="31"/>
      <x:c r="D1411" s="31" t="n">
        <x:v>1407</x:v>
      </x:c>
      <x:c r="E1411" s="42" t="n">
        <x:v>0.013088335310409356</x:v>
      </x:c>
      <x:c r="F1411" s="42" t="n">
        <x:v>0.0002220661826384102</x:v>
      </x:c>
      <x:c r="G1411" s="43" t="n">
        <x:v>1.0772349105258998</x:v>
      </x:c>
      <x:c r="H1411" s="32" t="n">
        <x:v>472514.43408240064</x:v>
      </x:c>
      <x:c r="I1411" s="50" t="b">
        <x:v>1</x:v>
      </x:c>
      <x:c r="J1411" s="50" t="b">
        <x:v>0</x:v>
      </x:c>
      <x:c r="K1411" s="31"/>
      <x:c r="L1411" s="31"/>
    </x:row>
    <x:row r="1412">
      <x:c r="A1412" s="31"/>
      <x:c r="B1412" s="31"/>
      <x:c r="C1412" s="31"/>
      <x:c r="D1412" s="31" t="n">
        <x:v>1408</x:v>
      </x:c>
      <x:c r="E1412" s="42" t="n">
        <x:v>-0.01876925931641026</x:v>
      </x:c>
      <x:c r="F1412" s="42" t="n">
        <x:v>0.0027236044749296183</x:v>
      </x:c>
      <x:c r="G1412" s="43" t="n">
        <x:v>0.8783449689653038</x:v>
      </x:c>
      <x:c r="H1412" s="32" t="n">
        <x:v>1639967.0144164697</x:v>
      </x:c>
      <x:c r="I1412" s="50" t="b">
        <x:v>0</x:v>
      </x:c>
      <x:c r="J1412" s="50" t="b">
        <x:v>0</x:v>
      </x:c>
      <x:c r="K1412" s="31"/>
      <x:c r="L1412" s="31"/>
    </x:row>
    <x:row r="1413">
      <x:c r="A1413" s="31"/>
      <x:c r="B1413" s="31"/>
      <x:c r="C1413" s="31"/>
      <x:c r="D1413" s="31" t="n">
        <x:v>1409</x:v>
      </x:c>
      <x:c r="E1413" s="42" t="n">
        <x:v>-0.011385834618098396</x:v>
      </x:c>
      <x:c r="F1413" s="42" t="n">
        <x:v>-0.004269970061131504</x:v>
      </x:c>
      <x:c r="G1413" s="43" t="n">
        <x:v>0.9190929226964855</x:v>
      </x:c>
      <x:c r="H1413" s="32" t="n">
        <x:v>1421207.3454165275</x:v>
      </x:c>
      <x:c r="I1413" s="50" t="b">
        <x:v>0</x:v>
      </x:c>
      <x:c r="J1413" s="50" t="b">
        <x:v>0</x:v>
      </x:c>
      <x:c r="K1413" s="31"/>
      <x:c r="L1413" s="31"/>
    </x:row>
    <x:row r="1414">
      <x:c r="A1414" s="31"/>
      <x:c r="B1414" s="31"/>
      <x:c r="C1414" s="31"/>
      <x:c r="D1414" s="31" t="n">
        <x:v>1410</x:v>
      </x:c>
      <x:c r="E1414" s="42" t="n">
        <x:v>0.007264978207386806</x:v>
      </x:c>
      <x:c r="F1414" s="42" t="n">
        <x:v>0.0019254168382192964</x:v>
      </x:c>
      <x:c r="G1414" s="43" t="n">
        <x:v>1.0482431074863212</x:v>
      </x:c>
      <x:c r="H1414" s="32" t="n">
        <x:v>635682.1583186542</x:v>
      </x:c>
      <x:c r="I1414" s="50" t="b">
        <x:v>1</x:v>
      </x:c>
      <x:c r="J1414" s="50" t="b">
        <x:v>0</x:v>
      </x:c>
      <x:c r="K1414" s="31"/>
      <x:c r="L1414" s="31"/>
    </x:row>
    <x:row r="1415">
      <x:c r="A1415" s="31"/>
      <x:c r="B1415" s="31"/>
      <x:c r="C1415" s="31"/>
      <x:c r="D1415" s="31" t="n">
        <x:v>1411</x:v>
      </x:c>
      <x:c r="E1415" s="42" t="n">
        <x:v>0.008912157669924257</x:v>
      </x:c>
      <x:c r="F1415" s="42" t="n">
        <x:v>0.0027195452881354624</x:v>
      </x:c>
      <x:c r="G1415" s="43" t="n">
        <x:v>1.0333045176527191</x:v>
      </x:c>
      <x:c r="H1415" s="32" t="n">
        <x:v>732927.2700994539</x:v>
      </x:c>
      <x:c r="I1415" s="50" t="b">
        <x:v>1</x:v>
      </x:c>
      <x:c r="J1415" s="50" t="b">
        <x:v>0</x:v>
      </x:c>
      <x:c r="K1415" s="31"/>
      <x:c r="L1415" s="31"/>
    </x:row>
    <x:row r="1416">
      <x:c r="A1416" s="31"/>
      <x:c r="B1416" s="31"/>
      <x:c r="C1416" s="31"/>
      <x:c r="D1416" s="31" t="n">
        <x:v>1412</x:v>
      </x:c>
      <x:c r="E1416" s="42" t="n">
        <x:v>0.021884925023679308</x:v>
      </x:c>
      <x:c r="F1416" s="42" t="n">
        <x:v>-0.0006252619112505691</x:v>
      </x:c>
      <x:c r="G1416" s="43" t="n">
        <x:v>0.9361715744927105</x:v>
      </x:c>
      <x:c r="H1416" s="32" t="n">
        <x:v>1395210.5819518636</x:v>
      </x:c>
      <x:c r="I1416" s="50" t="b">
        <x:v>0</x:v>
      </x:c>
      <x:c r="J1416" s="50" t="b">
        <x:v>0</x:v>
      </x:c>
      <x:c r="K1416" s="31"/>
      <x:c r="L1416" s="31"/>
    </x:row>
    <x:row r="1417">
      <x:c r="A1417" s="31"/>
      <x:c r="B1417" s="31"/>
      <x:c r="C1417" s="31"/>
      <x:c r="D1417" s="31" t="n">
        <x:v>1413</x:v>
      </x:c>
      <x:c r="E1417" s="42" t="n">
        <x:v>-0.01750919304017341</x:v>
      </x:c>
      <x:c r="F1417" s="42" t="n">
        <x:v>0.0018975680776616725</x:v>
      </x:c>
      <x:c r="G1417" s="43" t="n">
        <x:v>0.9370020025959821</x:v>
      </x:c>
      <x:c r="H1417" s="32" t="n">
        <x:v>1273260.0213128584</x:v>
      </x:c>
      <x:c r="I1417" s="50" t="b">
        <x:v>0</x:v>
      </x:c>
      <x:c r="J1417" s="50" t="b">
        <x:v>0</x:v>
      </x:c>
      <x:c r="K1417" s="31"/>
      <x:c r="L1417" s="31"/>
    </x:row>
    <x:row r="1418">
      <x:c r="A1418" s="31"/>
      <x:c r="B1418" s="31"/>
      <x:c r="C1418" s="31"/>
      <x:c r="D1418" s="31" t="n">
        <x:v>1414</x:v>
      </x:c>
      <x:c r="E1418" s="42" t="n">
        <x:v>-0.010984300173829465</x:v>
      </x:c>
      <x:c r="F1418" s="42" t="n">
        <x:v>0.001119439906813759</x:v>
      </x:c>
      <x:c r="G1418" s="43" t="n">
        <x:v>0.9807623397740246</x:v>
      </x:c>
      <x:c r="H1418" s="32" t="n">
        <x:v>1015679.0088535069</x:v>
      </x:c>
      <x:c r="I1418" s="50" t="b">
        <x:v>0</x:v>
      </x:c>
      <x:c r="J1418" s="50" t="b">
        <x:v>0</x:v>
      </x:c>
      <x:c r="K1418" s="31"/>
      <x:c r="L1418" s="31"/>
    </x:row>
    <x:row r="1419">
      <x:c r="A1419" s="31"/>
      <x:c r="B1419" s="31"/>
      <x:c r="C1419" s="31"/>
      <x:c r="D1419" s="31" t="n">
        <x:v>1415</x:v>
      </x:c>
      <x:c r="E1419" s="42" t="n">
        <x:v>-0.014370688121693632</x:v>
      </x:c>
      <x:c r="F1419" s="42" t="n">
        <x:v>0.004552820150075375</x:v>
      </x:c>
      <x:c r="G1419" s="43" t="n">
        <x:v>0.9955078639409803</x:v>
      </x:c>
      <x:c r="H1419" s="32" t="n">
        <x:v>903051.5112638364</x:v>
      </x:c>
      <x:c r="I1419" s="50" t="b">
        <x:v>1</x:v>
      </x:c>
      <x:c r="J1419" s="50" t="b">
        <x:v>0</x:v>
      </x:c>
      <x:c r="K1419" s="31"/>
      <x:c r="L1419" s="31"/>
    </x:row>
    <x:row r="1420">
      <x:c r="A1420" s="31"/>
      <x:c r="B1420" s="31"/>
      <x:c r="C1420" s="31"/>
      <x:c r="D1420" s="31" t="n">
        <x:v>1416</x:v>
      </x:c>
      <x:c r="E1420" s="42" t="n">
        <x:v>-0.009288029189316921</x:v>
      </x:c>
      <x:c r="F1420" s="42" t="n">
        <x:v>0.002578776796485116</x:v>
      </x:c>
      <x:c r="G1420" s="43" t="n">
        <x:v>0.9952017816078171</x:v>
      </x:c>
      <x:c r="H1420" s="32" t="n">
        <x:v>924637.8380899342</x:v>
      </x:c>
      <x:c r="I1420" s="50" t="b">
        <x:v>1</x:v>
      </x:c>
      <x:c r="J1420" s="50" t="b">
        <x:v>0</x:v>
      </x:c>
      <x:c r="K1420" s="31"/>
      <x:c r="L1420" s="31"/>
    </x:row>
    <x:row r="1421">
      <x:c r="A1421" s="31"/>
      <x:c r="B1421" s="31"/>
      <x:c r="C1421" s="31"/>
      <x:c r="D1421" s="31" t="n">
        <x:v>1417</x:v>
      </x:c>
      <x:c r="E1421" s="42" t="n">
        <x:v>0.020609387327446837</x:v>
      </x:c>
      <x:c r="F1421" s="42" t="n">
        <x:v>0.0009489728757887275</x:v>
      </x:c>
      <x:c r="G1421" s="43" t="n">
        <x:v>0.9954677078030867</x:v>
      </x:c>
      <x:c r="H1421" s="32" t="n">
        <x:v>1010705.7353443786</x:v>
      </x:c>
      <x:c r="I1421" s="50" t="b">
        <x:v>0</x:v>
      </x:c>
      <x:c r="J1421" s="50" t="b">
        <x:v>0</x:v>
      </x:c>
      <x:c r="K1421" s="31"/>
      <x:c r="L1421" s="31"/>
    </x:row>
    <x:row r="1422">
      <x:c r="A1422" s="31"/>
      <x:c r="B1422" s="31"/>
      <x:c r="C1422" s="31"/>
      <x:c r="D1422" s="31" t="n">
        <x:v>1418</x:v>
      </x:c>
      <x:c r="E1422" s="42" t="n">
        <x:v>0.004825270318444545</x:v>
      </x:c>
      <x:c r="F1422" s="42" t="n">
        <x:v>-0.01106675566437814</x:v>
      </x:c>
      <x:c r="G1422" s="43" t="n">
        <x:v>0.9820568812736871</x:v>
      </x:c>
      <x:c r="H1422" s="32" t="n">
        <x:v>1085384.588900954</x:v>
      </x:c>
      <x:c r="I1422" s="50" t="b">
        <x:v>0</x:v>
      </x:c>
      <x:c r="J1422" s="50" t="b">
        <x:v>0</x:v>
      </x:c>
      <x:c r="K1422" s="31"/>
      <x:c r="L1422" s="31"/>
    </x:row>
    <x:row r="1423">
      <x:c r="A1423" s="31"/>
      <x:c r="B1423" s="31"/>
      <x:c r="C1423" s="31"/>
      <x:c r="D1423" s="31" t="n">
        <x:v>1419</x:v>
      </x:c>
      <x:c r="E1423" s="42" t="n">
        <x:v>0.0083815850580303</x:v>
      </x:c>
      <x:c r="F1423" s="42" t="n">
        <x:v>-0.014605374049388846</x:v>
      </x:c>
      <x:c r="G1423" s="43" t="n">
        <x:v>1.0477861266300468</x:v>
      </x:c>
      <x:c r="H1423" s="32" t="n">
        <x:v>687706.2331855809</x:v>
      </x:c>
      <x:c r="I1423" s="50" t="b">
        <x:v>1</x:v>
      </x:c>
      <x:c r="J1423" s="50" t="b">
        <x:v>0</x:v>
      </x:c>
      <x:c r="K1423" s="31"/>
      <x:c r="L1423" s="31"/>
    </x:row>
    <x:row r="1424">
      <x:c r="A1424" s="31"/>
      <x:c r="B1424" s="31"/>
      <x:c r="C1424" s="31"/>
      <x:c r="D1424" s="31" t="n">
        <x:v>1420</x:v>
      </x:c>
      <x:c r="E1424" s="42" t="n">
        <x:v>-0.007364046488332941</x:v>
      </x:c>
      <x:c r="F1424" s="42" t="n">
        <x:v>-0.0038062204694844634</x:v>
      </x:c>
      <x:c r="G1424" s="43" t="n">
        <x:v>0.9918220203100714</x:v>
      </x:c>
      <x:c r="H1424" s="32" t="n">
        <x:v>969229.9458915578</x:v>
      </x:c>
      <x:c r="I1424" s="50" t="b">
        <x:v>1</x:v>
      </x:c>
      <x:c r="J1424" s="50" t="b">
        <x:v>0</x:v>
      </x:c>
      <x:c r="K1424" s="31"/>
      <x:c r="L1424" s="31"/>
    </x:row>
    <x:row r="1425">
      <x:c r="A1425" s="31"/>
      <x:c r="B1425" s="31"/>
      <x:c r="C1425" s="31"/>
      <x:c r="D1425" s="31" t="n">
        <x:v>1421</x:v>
      </x:c>
      <x:c r="E1425" s="42" t="n">
        <x:v>-0.025323121656890334</x:v>
      </x:c>
      <x:c r="F1425" s="42" t="n">
        <x:v>-0.0023086568384128505</x:v>
      </x:c>
      <x:c r="G1425" s="43" t="n">
        <x:v>1.1110914780492664</x:v>
      </x:c>
      <x:c r="H1425" s="32" t="n">
        <x:v>157626.43383955886</x:v>
      </x:c>
      <x:c r="I1425" s="50" t="b">
        <x:v>1</x:v>
      </x:c>
      <x:c r="J1425" s="50" t="b">
        <x:v>0</x:v>
      </x:c>
      <x:c r="K1425" s="31"/>
      <x:c r="L1425" s="31"/>
    </x:row>
    <x:row r="1426">
      <x:c r="A1426" s="31"/>
      <x:c r="B1426" s="31"/>
      <x:c r="C1426" s="31"/>
      <x:c r="D1426" s="31" t="n">
        <x:v>1422</x:v>
      </x:c>
      <x:c r="E1426" s="42" t="n">
        <x:v>-0.015081059507680237</x:v>
      </x:c>
      <x:c r="F1426" s="42" t="n">
        <x:v>0.0004566833572444255</x:v>
      </x:c>
      <x:c r="G1426" s="43" t="n">
        <x:v>0.9716744186864509</x:v>
      </x:c>
      <x:c r="H1426" s="32" t="n">
        <x:v>1063835.1212148017</x:v>
      </x:c>
      <x:c r="I1426" s="50" t="b">
        <x:v>0</x:v>
      </x:c>
      <x:c r="J1426" s="50" t="b">
        <x:v>0</x:v>
      </x:c>
      <x:c r="K1426" s="31"/>
      <x:c r="L1426" s="31"/>
    </x:row>
    <x:row r="1427">
      <x:c r="A1427" s="31"/>
      <x:c r="B1427" s="31"/>
      <x:c r="C1427" s="31"/>
      <x:c r="D1427" s="31" t="n">
        <x:v>1423</x:v>
      </x:c>
      <x:c r="E1427" s="42" t="n">
        <x:v>0.005327941729566128</x:v>
      </x:c>
      <x:c r="F1427" s="42" t="n">
        <x:v>0.0067957773619357386</x:v>
      </x:c>
      <x:c r="G1427" s="43" t="n">
        <x:v>0.9447065436043514</x:v>
      </x:c>
      <x:c r="H1427" s="32" t="n">
        <x:v>1274264.1260635473</x:v>
      </x:c>
      <x:c r="I1427" s="50" t="b">
        <x:v>0</x:v>
      </x:c>
      <x:c r="J1427" s="50" t="b">
        <x:v>0</x:v>
      </x:c>
      <x:c r="K1427" s="31"/>
      <x:c r="L1427" s="31"/>
    </x:row>
    <x:row r="1428">
      <x:c r="A1428" s="31"/>
      <x:c r="B1428" s="31"/>
      <x:c r="C1428" s="31"/>
      <x:c r="D1428" s="31" t="n">
        <x:v>1424</x:v>
      </x:c>
      <x:c r="E1428" s="42" t="n">
        <x:v>-0.002980097228972233</x:v>
      </x:c>
      <x:c r="F1428" s="42" t="n">
        <x:v>0.0008724247314425961</x:v>
      </x:c>
      <x:c r="G1428" s="43" t="n">
        <x:v>0.9708171087403971</x:v>
      </x:c>
      <x:c r="H1428" s="32" t="n">
        <x:v>1101805.7179499036</x:v>
      </x:c>
      <x:c r="I1428" s="50" t="b">
        <x:v>0</x:v>
      </x:c>
      <x:c r="J1428" s="50" t="b">
        <x:v>0</x:v>
      </x:c>
      <x:c r="K1428" s="31"/>
      <x:c r="L1428" s="31"/>
    </x:row>
    <x:row r="1429">
      <x:c r="A1429" s="31"/>
      <x:c r="B1429" s="31"/>
      <x:c r="C1429" s="31"/>
      <x:c r="D1429" s="31" t="n">
        <x:v>1425</x:v>
      </x:c>
      <x:c r="E1429" s="42" t="n">
        <x:v>-0.008355401461447764</x:v>
      </x:c>
      <x:c r="F1429" s="42" t="n">
        <x:v>-0.008517988285374338</x:v>
      </x:c>
      <x:c r="G1429" s="43" t="n">
        <x:v>1.0146598321423828</x:v>
      </x:c>
      <x:c r="H1429" s="32" t="n">
        <x:v>834549.5179834357</x:v>
      </x:c>
      <x:c r="I1429" s="50" t="b">
        <x:v>1</x:v>
      </x:c>
      <x:c r="J1429" s="50" t="b">
        <x:v>0</x:v>
      </x:c>
      <x:c r="K1429" s="31"/>
      <x:c r="L1429" s="31"/>
    </x:row>
    <x:row r="1430">
      <x:c r="A1430" s="31"/>
      <x:c r="B1430" s="31"/>
      <x:c r="C1430" s="31"/>
      <x:c r="D1430" s="31" t="n">
        <x:v>1426</x:v>
      </x:c>
      <x:c r="E1430" s="42" t="n">
        <x:v>-0.028503148382962827</x:v>
      </x:c>
      <x:c r="F1430" s="42" t="n">
        <x:v>0.002038853787104612</x:v>
      </x:c>
      <x:c r="G1430" s="43" t="n">
        <x:v>1.0211111694205819</x:v>
      </x:c>
      <x:c r="H1430" s="32" t="n">
        <x:v>708112.0531727849</x:v>
      </x:c>
      <x:c r="I1430" s="50" t="b">
        <x:v>1</x:v>
      </x:c>
      <x:c r="J1430" s="50" t="b">
        <x:v>0</x:v>
      </x:c>
      <x:c r="K1430" s="31"/>
      <x:c r="L1430" s="31"/>
    </x:row>
    <x:row r="1431">
      <x:c r="A1431" s="31"/>
      <x:c r="B1431" s="31"/>
      <x:c r="C1431" s="31"/>
      <x:c r="D1431" s="31" t="n">
        <x:v>1427</x:v>
      </x:c>
      <x:c r="E1431" s="42" t="n">
        <x:v>0.02558953556001829</x:v>
      </x:c>
      <x:c r="F1431" s="42" t="n">
        <x:v>0.003352638424415029</x:v>
      </x:c>
      <x:c r="G1431" s="43" t="n">
        <x:v>1.0203186034097669</x:v>
      </x:c>
      <x:c r="H1431" s="32" t="n">
        <x:v>860056.6447918986</x:v>
      </x:c>
      <x:c r="I1431" s="50" t="b">
        <x:v>1</x:v>
      </x:c>
      <x:c r="J1431" s="50" t="b">
        <x:v>0</x:v>
      </x:c>
      <x:c r="K1431" s="31"/>
      <x:c r="L1431" s="31"/>
    </x:row>
    <x:row r="1432">
      <x:c r="A1432" s="31"/>
      <x:c r="B1432" s="31"/>
      <x:c r="C1432" s="31"/>
      <x:c r="D1432" s="31" t="n">
        <x:v>1428</x:v>
      </x:c>
      <x:c r="E1432" s="42" t="n">
        <x:v>0.0026037160365875163</x:v>
      </x:c>
      <x:c r="F1432" s="42" t="n">
        <x:v>-0.0034674766490175903</x:v>
      </x:c>
      <x:c r="G1432" s="43" t="n">
        <x:v>1.0298777988140615</x:v>
      </x:c>
      <x:c r="H1432" s="32" t="n">
        <x:v>754351.3872090469</x:v>
      </x:c>
      <x:c r="I1432" s="50" t="b">
        <x:v>1</x:v>
      </x:c>
      <x:c r="J1432" s="50" t="b">
        <x:v>0</x:v>
      </x:c>
      <x:c r="K1432" s="31"/>
      <x:c r="L1432" s="31"/>
    </x:row>
    <x:row r="1433">
      <x:c r="A1433" s="31"/>
      <x:c r="B1433" s="31"/>
      <x:c r="C1433" s="31"/>
      <x:c r="D1433" s="31" t="n">
        <x:v>1429</x:v>
      </x:c>
      <x:c r="E1433" s="42" t="n">
        <x:v>0.006026386478752096</x:v>
      </x:c>
      <x:c r="F1433" s="42" t="n">
        <x:v>0.0012300010220214332</x:v>
      </x:c>
      <x:c r="G1433" s="43" t="n">
        <x:v>0.9971601715632368</x:v>
      </x:c>
      <x:c r="H1433" s="32" t="n">
        <x:v>958583.0376278156</x:v>
      </x:c>
      <x:c r="I1433" s="50" t="b">
        <x:v>1</x:v>
      </x:c>
      <x:c r="J1433" s="50" t="b">
        <x:v>0</x:v>
      </x:c>
      <x:c r="K1433" s="31"/>
      <x:c r="L1433" s="31"/>
    </x:row>
    <x:row r="1434">
      <x:c r="A1434" s="31"/>
      <x:c r="B1434" s="31"/>
      <x:c r="C1434" s="31"/>
      <x:c r="D1434" s="31" t="n">
        <x:v>1430</x:v>
      </x:c>
      <x:c r="E1434" s="42" t="n">
        <x:v>0.01127222890336038</x:v>
      </x:c>
      <x:c r="F1434" s="42" t="n">
        <x:v>-0.004347176832765682</x:v>
      </x:c>
      <x:c r="G1434" s="43" t="n">
        <x:v>1.0573688621319852</x:v>
      </x:c>
      <x:c r="H1434" s="32" t="n">
        <x:v>606341.3278613496</x:v>
      </x:c>
      <x:c r="I1434" s="50" t="b">
        <x:v>1</x:v>
      </x:c>
      <x:c r="J1434" s="50" t="b">
        <x:v>0</x:v>
      </x:c>
      <x:c r="K1434" s="31"/>
      <x:c r="L1434" s="31"/>
    </x:row>
    <x:row r="1435">
      <x:c r="A1435" s="31"/>
      <x:c r="B1435" s="31"/>
      <x:c r="C1435" s="31"/>
      <x:c r="D1435" s="31" t="n">
        <x:v>1431</x:v>
      </x:c>
      <x:c r="E1435" s="42" t="n">
        <x:v>-0.016154792853873407</x:v>
      </x:c>
      <x:c r="F1435" s="42" t="n">
        <x:v>0.011256801385214019</x:v>
      </x:c>
      <x:c r="G1435" s="43" t="n">
        <x:v>0.9658147479579416</x:v>
      </x:c>
      <x:c r="H1435" s="32" t="n">
        <x:v>1067997.0518266624</x:v>
      </x:c>
      <x:c r="I1435" s="50" t="b">
        <x:v>0</x:v>
      </x:c>
      <x:c r="J1435" s="50" t="b">
        <x:v>0</x:v>
      </x:c>
      <x:c r="K1435" s="31"/>
      <x:c r="L1435" s="31"/>
    </x:row>
    <x:row r="1436">
      <x:c r="A1436" s="31"/>
      <x:c r="B1436" s="31"/>
      <x:c r="C1436" s="31"/>
      <x:c r="D1436" s="31" t="n">
        <x:v>1432</x:v>
      </x:c>
      <x:c r="E1436" s="42" t="n">
        <x:v>-0.020451290761199857</x:v>
      </x:c>
      <x:c r="F1436" s="42" t="n">
        <x:v>-0.0062603591995801875</x:v>
      </x:c>
      <x:c r="G1436" s="43" t="n">
        <x:v>0.9989191081700229</x:v>
      </x:c>
      <x:c r="H1436" s="32" t="n">
        <x:v>894560.9266457288</x:v>
      </x:c>
      <x:c r="I1436" s="50" t="b">
        <x:v>1</x:v>
      </x:c>
      <x:c r="J1436" s="50" t="b">
        <x:v>0</x:v>
      </x:c>
      <x:c r="K1436" s="31"/>
      <x:c r="L1436" s="31"/>
    </x:row>
    <x:row r="1437">
      <x:c r="A1437" s="31"/>
      <x:c r="B1437" s="31"/>
      <x:c r="C1437" s="31"/>
      <x:c r="D1437" s="31" t="n">
        <x:v>1433</x:v>
      </x:c>
      <x:c r="E1437" s="42" t="n">
        <x:v>-0.022935622086688104</x:v>
      </x:c>
      <x:c r="F1437" s="42" t="n">
        <x:v>-0.0005123880315271173</x:v>
      </x:c>
      <x:c r="G1437" s="43" t="n">
        <x:v>0.983414132346585</x:v>
      </x:c>
      <x:c r="H1437" s="32" t="n">
        <x:v>970113.7077191919</x:v>
      </x:c>
      <x:c r="I1437" s="50" t="b">
        <x:v>1</x:v>
      </x:c>
      <x:c r="J1437" s="50" t="b">
        <x:v>0</x:v>
      </x:c>
      <x:c r="K1437" s="31"/>
      <x:c r="L1437" s="31"/>
    </x:row>
    <x:row r="1438">
      <x:c r="A1438" s="31"/>
      <x:c r="B1438" s="31"/>
      <x:c r="C1438" s="31"/>
      <x:c r="D1438" s="31" t="n">
        <x:v>1434</x:v>
      </x:c>
      <x:c r="E1438" s="42" t="n">
        <x:v>-0.010652445378734296</x:v>
      </x:c>
      <x:c r="F1438" s="42" t="n">
        <x:v>-0.001309631992277857</x:v>
      </x:c>
      <x:c r="G1438" s="43" t="n">
        <x:v>0.9834613703434532</x:v>
      </x:c>
      <x:c r="H1438" s="32" t="n">
        <x:v>1006223.3538602397</x:v>
      </x:c>
      <x:c r="I1438" s="50" t="b">
        <x:v>0</x:v>
      </x:c>
      <x:c r="J1438" s="50" t="b">
        <x:v>0</x:v>
      </x:c>
      <x:c r="K1438" s="31"/>
      <x:c r="L1438" s="31"/>
    </x:row>
    <x:row r="1439">
      <x:c r="A1439" s="31"/>
      <x:c r="B1439" s="31"/>
      <x:c r="C1439" s="31"/>
      <x:c r="D1439" s="31" t="n">
        <x:v>1435</x:v>
      </x:c>
      <x:c r="E1439" s="42" t="n">
        <x:v>-0.0150446480594307</x:v>
      </x:c>
      <x:c r="F1439" s="42" t="n">
        <x:v>-0.0038061180355764314</x:v>
      </x:c>
      <x:c r="G1439" s="43" t="n">
        <x:v>0.9891473254548854</x:v>
      </x:c>
      <x:c r="H1439" s="32" t="n">
        <x:v>964836.7426659925</x:v>
      </x:c>
      <x:c r="I1439" s="50" t="b">
        <x:v>1</x:v>
      </x:c>
      <x:c r="J1439" s="50" t="b">
        <x:v>0</x:v>
      </x:c>
      <x:c r="K1439" s="31"/>
      <x:c r="L1439" s="31"/>
    </x:row>
    <x:row r="1440">
      <x:c r="A1440" s="31"/>
      <x:c r="B1440" s="31"/>
      <x:c r="C1440" s="31"/>
      <x:c r="D1440" s="31" t="n">
        <x:v>1436</x:v>
      </x:c>
      <x:c r="E1440" s="42" t="n">
        <x:v>-0.0038369669841207404</x:v>
      </x:c>
      <x:c r="F1440" s="42" t="n">
        <x:v>0.00256658812582044</x:v>
      </x:c>
      <x:c r="G1440" s="43" t="n">
        <x:v>1.0278143872040142</x:v>
      </x:c>
      <x:c r="H1440" s="32" t="n">
        <x:v>732731.775291251</x:v>
      </x:c>
      <x:c r="I1440" s="50" t="b">
        <x:v>1</x:v>
      </x:c>
      <x:c r="J1440" s="50" t="b">
        <x:v>0</x:v>
      </x:c>
      <x:c r="K1440" s="31"/>
      <x:c r="L1440" s="31"/>
    </x:row>
    <x:row r="1441">
      <x:c r="A1441" s="31"/>
      <x:c r="B1441" s="31"/>
      <x:c r="C1441" s="31"/>
      <x:c r="D1441" s="31" t="n">
        <x:v>1437</x:v>
      </x:c>
      <x:c r="E1441" s="42" t="n">
        <x:v>0.010428460843219781</x:v>
      </x:c>
      <x:c r="F1441" s="42" t="n">
        <x:v>-0.010155006340948194</x:v>
      </x:c>
      <x:c r="G1441" s="43" t="n">
        <x:v>0.992134525902525</x:v>
      </x:c>
      <x:c r="H1441" s="32" t="n">
        <x:v>1034443.1388089422</x:v>
      </x:c>
      <x:c r="I1441" s="50" t="b">
        <x:v>0</x:v>
      </x:c>
      <x:c r="J1441" s="50" t="b">
        <x:v>0</x:v>
      </x:c>
      <x:c r="K1441" s="31"/>
      <x:c r="L1441" s="31"/>
    </x:row>
    <x:row r="1442">
      <x:c r="A1442" s="31"/>
      <x:c r="B1442" s="31"/>
      <x:c r="C1442" s="31"/>
      <x:c r="D1442" s="31" t="n">
        <x:v>1438</x:v>
      </x:c>
      <x:c r="E1442" s="42" t="n">
        <x:v>0.009247753478217073</x:v>
      </x:c>
      <x:c r="F1442" s="42" t="n">
        <x:v>0.0027878386934253796</x:v>
      </x:c>
      <x:c r="G1442" s="43" t="n">
        <x:v>1.0736039491299907</x:v>
      </x:c>
      <x:c r="H1442" s="32" t="n">
        <x:v>477741.3811775516</x:v>
      </x:c>
      <x:c r="I1442" s="50" t="b">
        <x:v>1</x:v>
      </x:c>
      <x:c r="J1442" s="50" t="b">
        <x:v>0</x:v>
      </x:c>
      <x:c r="K1442" s="31"/>
      <x:c r="L1442" s="31"/>
    </x:row>
    <x:row r="1443">
      <x:c r="A1443" s="31"/>
      <x:c r="B1443" s="31"/>
      <x:c r="C1443" s="31"/>
      <x:c r="D1443" s="31" t="n">
        <x:v>1439</x:v>
      </x:c>
      <x:c r="E1443" s="42" t="n">
        <x:v>-0.0018248756495868716</x:v>
      </x:c>
      <x:c r="F1443" s="42" t="n">
        <x:v>0.006821749546643168</x:v>
      </x:c>
      <x:c r="G1443" s="43" t="n">
        <x:v>0.9796829739852473</x:v>
      </x:c>
      <x:c r="H1443" s="32" t="n">
        <x:v>1032156.7019622</x:v>
      </x:c>
      <x:c r="I1443" s="50" t="b">
        <x:v>0</x:v>
      </x:c>
      <x:c r="J1443" s="50" t="b">
        <x:v>0</x:v>
      </x:c>
      <x:c r="K1443" s="31"/>
      <x:c r="L1443" s="31"/>
    </x:row>
    <x:row r="1444">
      <x:c r="A1444" s="31"/>
      <x:c r="B1444" s="31"/>
      <x:c r="C1444" s="31"/>
      <x:c r="D1444" s="31" t="n">
        <x:v>1440</x:v>
      </x:c>
      <x:c r="E1444" s="42" t="n">
        <x:v>0.008451235516399265</x:v>
      </x:c>
      <x:c r="F1444" s="42" t="n">
        <x:v>-0.010508205648776789</x:v>
      </x:c>
      <x:c r="G1444" s="43" t="n">
        <x:v>1.0662392021515883</x:v>
      </x:c>
      <x:c r="H1444" s="32" t="n">
        <x:v>559305.449162578</x:v>
      </x:c>
      <x:c r="I1444" s="50" t="b">
        <x:v>1</x:v>
      </x:c>
      <x:c r="J1444" s="50" t="b">
        <x:v>0</x:v>
      </x:c>
      <x:c r="K1444" s="31"/>
      <x:c r="L1444" s="31"/>
    </x:row>
    <x:row r="1445">
      <x:c r="A1445" s="31"/>
      <x:c r="B1445" s="31"/>
      <x:c r="C1445" s="31"/>
      <x:c r="D1445" s="31" t="n">
        <x:v>1441</x:v>
      </x:c>
      <x:c r="E1445" s="42" t="n">
        <x:v>-0.022096311700583106</x:v>
      </x:c>
      <x:c r="F1445" s="42" t="n">
        <x:v>-0.000672260320864835</x:v>
      </x:c>
      <x:c r="G1445" s="43" t="n">
        <x:v>1.0315924701491457</x:v>
      </x:c>
      <x:c r="H1445" s="32" t="n">
        <x:v>666928.388527299</x:v>
      </x:c>
      <x:c r="I1445" s="50" t="b">
        <x:v>1</x:v>
      </x:c>
      <x:c r="J1445" s="50" t="b">
        <x:v>0</x:v>
      </x:c>
      <x:c r="K1445" s="31"/>
      <x:c r="L1445" s="31"/>
    </x:row>
    <x:row r="1446">
      <x:c r="A1446" s="31"/>
      <x:c r="B1446" s="31"/>
      <x:c r="C1446" s="31"/>
      <x:c r="D1446" s="31" t="n">
        <x:v>1442</x:v>
      </x:c>
      <x:c r="E1446" s="42" t="n">
        <x:v>-0.007822994692153903</x:v>
      </x:c>
      <x:c r="F1446" s="42" t="n">
        <x:v>0.0030609383332609336</x:v>
      </x:c>
      <x:c r="G1446" s="43" t="n">
        <x:v>0.9594472865051147</x:v>
      </x:c>
      <x:c r="H1446" s="32" t="n">
        <x:v>1154440.0530157574</x:v>
      </x:c>
      <x:c r="I1446" s="50" t="b">
        <x:v>0</x:v>
      </x:c>
      <x:c r="J1446" s="50" t="b">
        <x:v>0</x:v>
      </x:c>
      <x:c r="K1446" s="31"/>
      <x:c r="L1446" s="31"/>
    </x:row>
    <x:row r="1447">
      <x:c r="A1447" s="31"/>
      <x:c r="B1447" s="31"/>
      <x:c r="C1447" s="31"/>
      <x:c r="D1447" s="31" t="n">
        <x:v>1443</x:v>
      </x:c>
      <x:c r="E1447" s="42" t="n">
        <x:v>0.013078211974529722</x:v>
      </x:c>
      <x:c r="F1447" s="42" t="n">
        <x:v>0.0061316423882671</x:v>
      </x:c>
      <x:c r="G1447" s="43" t="n">
        <x:v>1.023558069683954</x:v>
      </x:c>
      <x:c r="H1447" s="32" t="n">
        <x:v>796922.7740042729</x:v>
      </x:c>
      <x:c r="I1447" s="50" t="b">
        <x:v>1</x:v>
      </x:c>
      <x:c r="J1447" s="50" t="b">
        <x:v>0</x:v>
      </x:c>
      <x:c r="K1447" s="31"/>
      <x:c r="L1447" s="31"/>
    </x:row>
    <x:row r="1448">
      <x:c r="A1448" s="31"/>
      <x:c r="B1448" s="31"/>
      <x:c r="C1448" s="31"/>
      <x:c r="D1448" s="31" t="n">
        <x:v>1444</x:v>
      </x:c>
      <x:c r="E1448" s="42" t="n">
        <x:v>0.006884274452229426</x:v>
      </x:c>
      <x:c r="F1448" s="42" t="n">
        <x:v>-0.007951819079281714</x:v>
      </x:c>
      <x:c r="G1448" s="43" t="n">
        <x:v>0.9583056105015845</x:v>
      </x:c>
      <x:c r="H1448" s="32" t="n">
        <x:v>1233282.7682458162</x:v>
      </x:c>
      <x:c r="I1448" s="50" t="b">
        <x:v>0</x:v>
      </x:c>
      <x:c r="J1448" s="50" t="b">
        <x:v>0</x:v>
      </x:c>
      <x:c r="K1448" s="31"/>
      <x:c r="L1448" s="31"/>
    </x:row>
    <x:row r="1449">
      <x:c r="A1449" s="31"/>
      <x:c r="B1449" s="31"/>
      <x:c r="C1449" s="31"/>
      <x:c r="D1449" s="31" t="n">
        <x:v>1445</x:v>
      </x:c>
      <x:c r="E1449" s="42" t="n">
        <x:v>0.014394293070435209</x:v>
      </x:c>
      <x:c r="F1449" s="42" t="n">
        <x:v>0.008426514520018831</x:v>
      </x:c>
      <x:c r="G1449" s="43" t="n">
        <x:v>0.8985273253627113</x:v>
      </x:c>
      <x:c r="H1449" s="32" t="n">
        <x:v>1588232.0642336828</x:v>
      </x:c>
      <x:c r="I1449" s="50" t="b">
        <x:v>0</x:v>
      </x:c>
      <x:c r="J1449" s="50" t="b">
        <x:v>0</x:v>
      </x:c>
      <x:c r="K1449" s="31"/>
      <x:c r="L1449" s="31"/>
    </x:row>
    <x:row r="1450">
      <x:c r="A1450" s="31"/>
      <x:c r="B1450" s="31"/>
      <x:c r="C1450" s="31"/>
      <x:c r="D1450" s="31" t="n">
        <x:v>1446</x:v>
      </x:c>
      <x:c r="E1450" s="42" t="n">
        <x:v>0.0030741360220753904</x:v>
      </x:c>
      <x:c r="F1450" s="42" t="n">
        <x:v>-0.003595686749331448</x:v>
      </x:c>
      <x:c r="G1450" s="43" t="n">
        <x:v>0.995504575030408</x:v>
      </x:c>
      <x:c r="H1450" s="32" t="n">
        <x:v>974312.0024445526</x:v>
      </x:c>
      <x:c r="I1450" s="50" t="b">
        <x:v>1</x:v>
      </x:c>
      <x:c r="J1450" s="50" t="b">
        <x:v>0</x:v>
      </x:c>
      <x:c r="K1450" s="31"/>
      <x:c r="L1450" s="31"/>
    </x:row>
    <x:row r="1451">
      <x:c r="A1451" s="31"/>
      <x:c r="B1451" s="31"/>
      <x:c r="C1451" s="31"/>
      <x:c r="D1451" s="31" t="n">
        <x:v>1447</x:v>
      </x:c>
      <x:c r="E1451" s="42" t="n">
        <x:v>-0.005121708466187888</x:v>
      </x:c>
      <x:c r="F1451" s="42" t="n">
        <x:v>0.01075462053169449</x:v>
      </x:c>
      <x:c r="G1451" s="43" t="n">
        <x:v>0.9987977772011145</x:v>
      </x:c>
      <x:c r="H1451" s="32" t="n">
        <x:v>890640.1231054064</x:v>
      </x:c>
      <x:c r="I1451" s="50" t="b">
        <x:v>1</x:v>
      </x:c>
      <x:c r="J1451" s="50" t="b">
        <x:v>0</x:v>
      </x:c>
      <x:c r="K1451" s="31"/>
      <x:c r="L1451" s="31"/>
    </x:row>
    <x:row r="1452">
      <x:c r="A1452" s="31"/>
      <x:c r="B1452" s="31"/>
      <x:c r="C1452" s="31"/>
      <x:c r="D1452" s="31" t="n">
        <x:v>1448</x:v>
      </x:c>
      <x:c r="E1452" s="42" t="n">
        <x:v>0.003329560749871744</x:v>
      </x:c>
      <x:c r="F1452" s="42" t="n">
        <x:v>0.00473455009448505</x:v>
      </x:c>
      <x:c r="G1452" s="43" t="n">
        <x:v>1.0416832054736747</x:v>
      </x:c>
      <x:c r="H1452" s="32" t="n">
        <x:v>658568.5755945455</x:v>
      </x:c>
      <x:c r="I1452" s="50" t="b">
        <x:v>1</x:v>
      </x:c>
      <x:c r="J1452" s="50" t="b">
        <x:v>0</x:v>
      </x:c>
      <x:c r="K1452" s="31"/>
      <x:c r="L1452" s="31"/>
    </x:row>
    <x:row r="1453">
      <x:c r="A1453" s="31"/>
      <x:c r="B1453" s="31"/>
      <x:c r="C1453" s="31"/>
      <x:c r="D1453" s="31" t="n">
        <x:v>1449</x:v>
      </x:c>
      <x:c r="E1453" s="42" t="n">
        <x:v>-0.005511228939679595</x:v>
      </x:c>
      <x:c r="F1453" s="42" t="n">
        <x:v>-0.0071569546762740525</x:v>
      </x:c>
      <x:c r="G1453" s="43" t="n">
        <x:v>1.1412485860018362</x:v>
      </x:c>
      <x:c r="H1453" s="32" t="n">
        <x:v>34749.62725434161</x:v>
      </x:c>
      <x:c r="I1453" s="50" t="b">
        <x:v>1</x:v>
      </x:c>
      <x:c r="J1453" s="50" t="b">
        <x:v>0</x:v>
      </x:c>
      <x:c r="K1453" s="31"/>
      <x:c r="L1453" s="31"/>
    </x:row>
    <x:row r="1454">
      <x:c r="A1454" s="31"/>
      <x:c r="B1454" s="31"/>
      <x:c r="C1454" s="31"/>
      <x:c r="D1454" s="31" t="n">
        <x:v>1450</x:v>
      </x:c>
      <x:c r="E1454" s="42" t="n">
        <x:v>0.010809131634548275</x:v>
      </x:c>
      <x:c r="F1454" s="42" t="n">
        <x:v>0.00404472318034401</x:v>
      </x:c>
      <x:c r="G1454" s="43" t="n">
        <x:v>0.9718416631018448</x:v>
      </x:c>
      <x:c r="H1454" s="32" t="n">
        <x:v>1124851.5332837638</x:v>
      </x:c>
      <x:c r="I1454" s="50" t="b">
        <x:v>0</x:v>
      </x:c>
      <x:c r="J1454" s="50" t="b">
        <x:v>0</x:v>
      </x:c>
      <x:c r="K1454" s="31"/>
      <x:c r="L1454" s="31"/>
    </x:row>
    <x:row r="1455">
      <x:c r="A1455" s="31"/>
      <x:c r="B1455" s="31"/>
      <x:c r="C1455" s="31"/>
      <x:c r="D1455" s="31" t="n">
        <x:v>1451</x:v>
      </x:c>
      <x:c r="E1455" s="42" t="n">
        <x:v>-0.004651796679624288</x:v>
      </x:c>
      <x:c r="F1455" s="42" t="n">
        <x:v>-0.0014879759720256935</x:v>
      </x:c>
      <x:c r="G1455" s="43" t="n">
        <x:v>1.0001604119654024</x:v>
      </x:c>
      <x:c r="H1455" s="32" t="n">
        <x:v>917371.9759112784</x:v>
      </x:c>
      <x:c r="I1455" s="50" t="b">
        <x:v>1</x:v>
      </x:c>
      <x:c r="J1455" s="50" t="b">
        <x:v>0</x:v>
      </x:c>
      <x:c r="K1455" s="31"/>
      <x:c r="L1455" s="31"/>
    </x:row>
    <x:row r="1456">
      <x:c r="A1456" s="31"/>
      <x:c r="B1456" s="31"/>
      <x:c r="C1456" s="31"/>
      <x:c r="D1456" s="31" t="n">
        <x:v>1452</x:v>
      </x:c>
      <x:c r="E1456" s="42" t="n">
        <x:v>-0.004485731499053049</x:v>
      </x:c>
      <x:c r="F1456" s="42" t="n">
        <x:v>0.0014082795616867933</x:v>
      </x:c>
      <x:c r="G1456" s="43" t="n">
        <x:v>1.054355179562094</x:v>
      </x:c>
      <x:c r="H1456" s="32" t="n">
        <x:v>565597.2740280927</x:v>
      </x:c>
      <x:c r="I1456" s="50" t="b">
        <x:v>1</x:v>
      </x:c>
      <x:c r="J1456" s="50" t="b">
        <x:v>0</x:v>
      </x:c>
      <x:c r="K1456" s="31"/>
      <x:c r="L1456" s="31"/>
    </x:row>
    <x:row r="1457">
      <x:c r="A1457" s="31"/>
      <x:c r="B1457" s="31"/>
      <x:c r="C1457" s="31"/>
      <x:c r="D1457" s="31" t="n">
        <x:v>1453</x:v>
      </x:c>
      <x:c r="E1457" s="42" t="n">
        <x:v>-0.01441229686766131</x:v>
      </x:c>
      <x:c r="F1457" s="42" t="n">
        <x:v>0.009243223819830091</x:v>
      </x:c>
      <x:c r="G1457" s="43" t="n">
        <x:v>1.004416545326631</x:v>
      </x:c>
      <x:c r="H1457" s="32" t="n">
        <x:v>833303.4136324946</x:v>
      </x:c>
      <x:c r="I1457" s="50" t="b">
        <x:v>1</x:v>
      </x:c>
      <x:c r="J1457" s="50" t="b">
        <x:v>0</x:v>
      </x:c>
      <x:c r="K1457" s="31"/>
      <x:c r="L1457" s="31"/>
    </x:row>
    <x:row r="1458">
      <x:c r="A1458" s="31"/>
      <x:c r="B1458" s="31"/>
      <x:c r="C1458" s="31"/>
      <x:c r="D1458" s="31" t="n">
        <x:v>1454</x:v>
      </x:c>
      <x:c r="E1458" s="42" t="n">
        <x:v>-0.0021209691492943264</x:v>
      </x:c>
      <x:c r="F1458" s="42" t="n">
        <x:v>0.0005650799920174757</x:v>
      </x:c>
      <x:c r="G1458" s="43" t="n">
        <x:v>1.0290491670084787</x:v>
      </x:c>
      <x:c r="H1458" s="32" t="n">
        <x:v>735237.8092938765</x:v>
      </x:c>
      <x:c r="I1458" s="50" t="b">
        <x:v>1</x:v>
      </x:c>
      <x:c r="J1458" s="50" t="b">
        <x:v>0</x:v>
      </x:c>
      <x:c r="K1458" s="31"/>
      <x:c r="L1458" s="31"/>
    </x:row>
    <x:row r="1459">
      <x:c r="A1459" s="31"/>
      <x:c r="B1459" s="31"/>
      <x:c r="C1459" s="31"/>
      <x:c r="D1459" s="31" t="n">
        <x:v>1455</x:v>
      </x:c>
      <x:c r="E1459" s="42" t="n">
        <x:v>-0.010094881800361699</x:v>
      </x:c>
      <x:c r="F1459" s="42" t="n">
        <x:v>-0.008487337016346073</x:v>
      </x:c>
      <x:c r="G1459" s="43" t="n">
        <x:v>0.9359501934277682</x:v>
      </x:c>
      <x:c r="H1459" s="32" t="n">
        <x:v>1329484.2676609796</x:v>
      </x:c>
      <x:c r="I1459" s="50" t="b">
        <x:v>0</x:v>
      </x:c>
      <x:c r="J1459" s="50" t="b">
        <x:v>0</x:v>
      </x:c>
      <x:c r="K1459" s="31"/>
      <x:c r="L1459" s="31"/>
    </x:row>
    <x:row r="1460">
      <x:c r="A1460" s="31"/>
      <x:c r="B1460" s="31"/>
      <x:c r="C1460" s="31"/>
      <x:c r="D1460" s="31" t="n">
        <x:v>1456</x:v>
      </x:c>
      <x:c r="E1460" s="42" t="n">
        <x:v>-0.00940728768138329</x:v>
      </x:c>
      <x:c r="F1460" s="42" t="n">
        <x:v>0.008430159028974343</x:v>
      </x:c>
      <x:c r="G1460" s="43" t="n">
        <x:v>0.9636731942976873</x:v>
      </x:c>
      <x:c r="H1460" s="32" t="n">
        <x:v>1108247.2861486468</x:v>
      </x:c>
      <x:c r="I1460" s="50" t="b">
        <x:v>0</x:v>
      </x:c>
      <x:c r="J1460" s="50" t="b">
        <x:v>0</x:v>
      </x:c>
      <x:c r="K1460" s="31"/>
      <x:c r="L1460" s="31"/>
    </x:row>
    <x:row r="1461">
      <x:c r="A1461" s="31"/>
      <x:c r="B1461" s="31"/>
      <x:c r="C1461" s="31"/>
      <x:c r="D1461" s="31" t="n">
        <x:v>1457</x:v>
      </x:c>
      <x:c r="E1461" s="42" t="n">
        <x:v>-0.017641849560893832</x:v>
      </x:c>
      <x:c r="F1461" s="42" t="n">
        <x:v>-0.003787348185678216</x:v>
      </x:c>
      <x:c r="G1461" s="43" t="n">
        <x:v>0.9820964308319883</x:v>
      </x:c>
      <x:c r="H1461" s="32" t="n">
        <x:v>1002333.3029227338</x:v>
      </x:c>
      <x:c r="I1461" s="50" t="b">
        <x:v>0</x:v>
      </x:c>
      <x:c r="J1461" s="50" t="b">
        <x:v>0</x:v>
      </x:c>
      <x:c r="K1461" s="31"/>
      <x:c r="L1461" s="31"/>
    </x:row>
    <x:row r="1462">
      <x:c r="A1462" s="31"/>
      <x:c r="B1462" s="31"/>
      <x:c r="C1462" s="31"/>
      <x:c r="D1462" s="31" t="n">
        <x:v>1458</x:v>
      </x:c>
      <x:c r="E1462" s="42" t="n">
        <x:v>-0.00022858482578443242</x:v>
      </x:c>
      <x:c r="F1462" s="42" t="n">
        <x:v>0.0034848567554972938</x:v>
      </x:c>
      <x:c r="G1462" s="43" t="n">
        <x:v>1.0199025675219027</x:v>
      </x:c>
      <x:c r="H1462" s="32" t="n">
        <x:v>790465.4242856946</x:v>
      </x:c>
      <x:c r="I1462" s="50" t="b">
        <x:v>1</x:v>
      </x:c>
      <x:c r="J1462" s="50" t="b">
        <x:v>0</x:v>
      </x:c>
      <x:c r="K1462" s="31"/>
      <x:c r="L1462" s="31"/>
    </x:row>
    <x:row r="1463">
      <x:c r="A1463" s="31"/>
      <x:c r="B1463" s="31"/>
      <x:c r="C1463" s="31"/>
      <x:c r="D1463" s="31" t="n">
        <x:v>1459</x:v>
      </x:c>
      <x:c r="E1463" s="42" t="n">
        <x:v>0.0075789843496158185</x:v>
      </x:c>
      <x:c r="F1463" s="42" t="n">
        <x:v>0.0013705979121749355</x:v>
      </x:c>
      <x:c r="G1463" s="43" t="n">
        <x:v>1.0538855125165925</x:v>
      </x:c>
      <x:c r="H1463" s="32" t="n">
        <x:v>602267.2841007076</x:v>
      </x:c>
      <x:c r="I1463" s="50" t="b">
        <x:v>1</x:v>
      </x:c>
      <x:c r="J1463" s="50" t="b">
        <x:v>0</x:v>
      </x:c>
      <x:c r="K1463" s="31"/>
      <x:c r="L1463" s="31"/>
    </x:row>
    <x:row r="1464">
      <x:c r="A1464" s="31"/>
      <x:c r="B1464" s="31"/>
      <x:c r="C1464" s="31"/>
      <x:c r="D1464" s="31" t="n">
        <x:v>1460</x:v>
      </x:c>
      <x:c r="E1464" s="42" t="n">
        <x:v>-0.006709378964017787</x:v>
      </x:c>
      <x:c r="F1464" s="42" t="n">
        <x:v>0.004297232179838093</x:v>
      </x:c>
      <x:c r="G1464" s="43" t="n">
        <x:v>1.0437164359168134</x:v>
      </x:c>
      <x:c r="H1464" s="32" t="n">
        <x:v>618929.7951778561</x:v>
      </x:c>
      <x:c r="I1464" s="50" t="b">
        <x:v>1</x:v>
      </x:c>
      <x:c r="J1464" s="50" t="b">
        <x:v>0</x:v>
      </x:c>
      <x:c r="K1464" s="31"/>
      <x:c r="L1464" s="31"/>
    </x:row>
    <x:row r="1465">
      <x:c r="A1465" s="31"/>
      <x:c r="B1465" s="31"/>
      <x:c r="C1465" s="31"/>
      <x:c r="D1465" s="31" t="n">
        <x:v>1461</x:v>
      </x:c>
      <x:c r="E1465" s="42" t="n">
        <x:v>0.0027263194845638422</x:v>
      </x:c>
      <x:c r="F1465" s="42" t="n">
        <x:v>-0.006201104049156858</x:v>
      </x:c>
      <x:c r="G1465" s="43" t="n">
        <x:v>1.0155970941475485</x:v>
      </x:c>
      <x:c r="H1465" s="32" t="n">
        <x:v>852994.3577210931</x:v>
      </x:c>
      <x:c r="I1465" s="50" t="b">
        <x:v>1</x:v>
      </x:c>
      <x:c r="J1465" s="50" t="b">
        <x:v>0</x:v>
      </x:c>
      <x:c r="K1465" s="31"/>
      <x:c r="L1465" s="31"/>
    </x:row>
    <x:row r="1466">
      <x:c r="A1466" s="31"/>
      <x:c r="B1466" s="31"/>
      <x:c r="C1466" s="31"/>
      <x:c r="D1466" s="31" t="n">
        <x:v>1462</x:v>
      </x:c>
      <x:c r="E1466" s="42" t="n">
        <x:v>-0.008284345548831628</x:v>
      </x:c>
      <x:c r="F1466" s="42" t="n">
        <x:v>0.00008611170851486859</x:v>
      </x:c>
      <x:c r="G1466" s="43" t="n">
        <x:v>0.9913048348022913</x:v>
      </x:c>
      <x:c r="H1466" s="32" t="n">
        <x:v>959118.3744206638</x:v>
      </x:c>
      <x:c r="I1466" s="50" t="b">
        <x:v>1</x:v>
      </x:c>
      <x:c r="J1466" s="50" t="b">
        <x:v>0</x:v>
      </x:c>
      <x:c r="K1466" s="31"/>
      <x:c r="L1466" s="31"/>
    </x:row>
    <x:row r="1467">
      <x:c r="A1467" s="31"/>
      <x:c r="B1467" s="31"/>
      <x:c r="C1467" s="31"/>
      <x:c r="D1467" s="31" t="n">
        <x:v>1463</x:v>
      </x:c>
      <x:c r="E1467" s="42" t="n">
        <x:v>0.006546624109556298</x:v>
      </x:c>
      <x:c r="F1467" s="42" t="n">
        <x:v>0.0013398178314317293</x:v>
      </x:c>
      <x:c r="G1467" s="43" t="n">
        <x:v>0.9906987196502708</x:v>
      </x:c>
      <x:c r="H1467" s="32" t="n">
        <x:v>1000760.248913296</x:v>
      </x:c>
      <x:c r="I1467" s="50" t="b">
        <x:v>0</x:v>
      </x:c>
      <x:c r="J1467" s="50" t="b">
        <x:v>0</x:v>
      </x:c>
      <x:c r="K1467" s="31"/>
      <x:c r="L1467" s="31"/>
    </x:row>
    <x:row r="1468">
      <x:c r="A1468" s="31"/>
      <x:c r="B1468" s="31"/>
      <x:c r="C1468" s="31"/>
      <x:c r="D1468" s="31" t="n">
        <x:v>1464</x:v>
      </x:c>
      <x:c r="E1468" s="42" t="n">
        <x:v>0.000918283225569914</x:v>
      </x:c>
      <x:c r="F1468" s="42" t="n">
        <x:v>-0.007033808599059288</x:v>
      </x:c>
      <x:c r="G1468" s="43" t="n">
        <x:v>1.0229781001124159</x:v>
      </x:c>
      <x:c r="H1468" s="32" t="n">
        <x:v>803404.8849737544</x:v>
      </x:c>
      <x:c r="I1468" s="50" t="b">
        <x:v>1</x:v>
      </x:c>
      <x:c r="J1468" s="50" t="b">
        <x:v>0</x:v>
      </x:c>
      <x:c r="K1468" s="31"/>
      <x:c r="L1468" s="31"/>
    </x:row>
    <x:row r="1469">
      <x:c r="A1469" s="31"/>
      <x:c r="B1469" s="31"/>
      <x:c r="C1469" s="31"/>
      <x:c r="D1469" s="31" t="n">
        <x:v>1465</x:v>
      </x:c>
      <x:c r="E1469" s="42" t="n">
        <x:v>-0.0026578219494784007</x:v>
      </x:c>
      <x:c r="F1469" s="42" t="n">
        <x:v>0.00028462958169667477</x:v>
      </x:c>
      <x:c r="G1469" s="43" t="n">
        <x:v>1.0095302899287568</x:v>
      </x:c>
      <x:c r="H1469" s="32" t="n">
        <x:v>858482.8008390702</x:v>
      </x:c>
      <x:c r="I1469" s="50" t="b">
        <x:v>1</x:v>
      </x:c>
      <x:c r="J1469" s="50" t="b">
        <x:v>0</x:v>
      </x:c>
      <x:c r="K1469" s="31"/>
      <x:c r="L1469" s="31"/>
    </x:row>
    <x:row r="1470">
      <x:c r="A1470" s="31"/>
      <x:c r="B1470" s="31"/>
      <x:c r="C1470" s="31"/>
      <x:c r="D1470" s="31" t="n">
        <x:v>1466</x:v>
      </x:c>
      <x:c r="E1470" s="42" t="n">
        <x:v>0.00984658320738943</x:v>
      </x:c>
      <x:c r="F1470" s="42" t="n">
        <x:v>-0.005475075544325261</x:v>
      </x:c>
      <x:c r="G1470" s="43" t="n">
        <x:v>0.9542703594856692</x:v>
      </x:c>
      <x:c r="H1470" s="32" t="n">
        <x:v>1260261.0516302155</x:v>
      </x:c>
      <x:c r="I1470" s="50" t="b">
        <x:v>0</x:v>
      </x:c>
      <x:c r="J1470" s="50" t="b">
        <x:v>0</x:v>
      </x:c>
      <x:c r="K1470" s="31"/>
      <x:c r="L1470" s="31"/>
    </x:row>
    <x:row r="1471">
      <x:c r="A1471" s="31"/>
      <x:c r="B1471" s="31"/>
      <x:c r="C1471" s="31"/>
      <x:c r="D1471" s="31" t="n">
        <x:v>1467</x:v>
      </x:c>
      <x:c r="E1471" s="42" t="n">
        <x:v>0.007138579649865127</x:v>
      </x:c>
      <x:c r="F1471" s="42" t="n">
        <x:v>0.005071962011691251</x:v>
      </x:c>
      <x:c r="G1471" s="43" t="n">
        <x:v>0.9807097719754845</x:v>
      </x:c>
      <x:c r="H1471" s="32" t="n">
        <x:v>1055456.3564196117</x:v>
      </x:c>
      <x:c r="I1471" s="50" t="b">
        <x:v>0</x:v>
      </x:c>
      <x:c r="J1471" s="50" t="b">
        <x:v>0</x:v>
      </x:c>
      <x:c r="K1471" s="31"/>
      <x:c r="L1471" s="31"/>
    </x:row>
    <x:row r="1472">
      <x:c r="A1472" s="31"/>
      <x:c r="B1472" s="31"/>
      <x:c r="C1472" s="31"/>
      <x:c r="D1472" s="31" t="n">
        <x:v>1468</x:v>
      </x:c>
      <x:c r="E1472" s="42" t="n">
        <x:v>-0.008451941327514853</x:v>
      </x:c>
      <x:c r="F1472" s="42" t="n">
        <x:v>0.008428291846299268</x:v>
      </x:c>
      <x:c r="G1472" s="43" t="n">
        <x:v>0.9665745180421471</x:v>
      </x:c>
      <x:c r="H1472" s="32" t="n">
        <x:v>1092486.250668116</x:v>
      </x:c>
      <x:c r="I1472" s="50" t="b">
        <x:v>0</x:v>
      </x:c>
      <x:c r="J1472" s="50" t="b">
        <x:v>0</x:v>
      </x:c>
      <x:c r="K1472" s="31"/>
      <x:c r="L1472" s="31"/>
    </x:row>
    <x:row r="1473">
      <x:c r="A1473" s="31"/>
      <x:c r="B1473" s="31"/>
      <x:c r="C1473" s="31"/>
      <x:c r="D1473" s="31" t="n">
        <x:v>1469</x:v>
      </x:c>
      <x:c r="E1473" s="42" t="n">
        <x:v>-0.005794848548897576</x:v>
      </x:c>
      <x:c r="F1473" s="42" t="n">
        <x:v>-0.004941133161055098</x:v>
      </x:c>
      <x:c r="G1473" s="43" t="n">
        <x:v>0.9643277183135778</x:v>
      </x:c>
      <x:c r="H1473" s="32" t="n">
        <x:v>1151365.187698659</x:v>
      </x:c>
      <x:c r="I1473" s="50" t="b">
        <x:v>0</x:v>
      </x:c>
      <x:c r="J1473" s="50" t="b">
        <x:v>0</x:v>
      </x:c>
      <x:c r="K1473" s="31"/>
      <x:c r="L1473" s="31"/>
    </x:row>
    <x:row r="1474">
      <x:c r="A1474" s="31"/>
      <x:c r="B1474" s="31"/>
      <x:c r="C1474" s="31"/>
      <x:c r="D1474" s="31" t="n">
        <x:v>1470</x:v>
      </x:c>
      <x:c r="E1474" s="42" t="n">
        <x:v>-0.013919292135210964</x:v>
      </x:c>
      <x:c r="F1474" s="42" t="n">
        <x:v>-0.011446361401244803</x:v>
      </x:c>
      <x:c r="G1474" s="43" t="n">
        <x:v>1.0154319876925801</x:v>
      </x:c>
      <x:c r="H1474" s="32" t="n">
        <x:v>822309.7618349453</x:v>
      </x:c>
      <x:c r="I1474" s="50" t="b">
        <x:v>1</x:v>
      </x:c>
      <x:c r="J1474" s="50" t="b">
        <x:v>0</x:v>
      </x:c>
      <x:c r="K1474" s="31"/>
      <x:c r="L1474" s="31"/>
    </x:row>
    <x:row r="1475">
      <x:c r="A1475" s="31"/>
      <x:c r="B1475" s="31"/>
      <x:c r="C1475" s="31"/>
      <x:c r="D1475" s="31" t="n">
        <x:v>1471</x:v>
      </x:c>
      <x:c r="E1475" s="42" t="n">
        <x:v>-0.005244824497101923</x:v>
      </x:c>
      <x:c r="F1475" s="42" t="n">
        <x:v>0.007564062818309489</x:v>
      </x:c>
      <x:c r="G1475" s="43" t="n">
        <x:v>0.962612767075502</x:v>
      </x:c>
      <x:c r="H1475" s="32" t="n">
        <x:v>1128978.856574898</x:v>
      </x:c>
      <x:c r="I1475" s="50" t="b">
        <x:v>0</x:v>
      </x:c>
      <x:c r="J1475" s="50" t="b">
        <x:v>0</x:v>
      </x:c>
      <x:c r="K1475" s="31"/>
      <x:c r="L1475" s="31"/>
    </x:row>
    <x:row r="1476">
      <x:c r="A1476" s="31"/>
      <x:c r="B1476" s="31"/>
      <x:c r="C1476" s="31"/>
      <x:c r="D1476" s="31" t="n">
        <x:v>1472</x:v>
      </x:c>
      <x:c r="E1476" s="42" t="n">
        <x:v>0.0037976585781264423</x:v>
      </x:c>
      <x:c r="F1476" s="42" t="n">
        <x:v>-0.0030153341806210977</x:v>
      </x:c>
      <x:c r="G1476" s="43" t="n">
        <x:v>1.0258388131499194</x:v>
      </x:c>
      <x:c r="H1476" s="32" t="n">
        <x:v>782066.6236476158</x:v>
      </x:c>
      <x:c r="I1476" s="50" t="b">
        <x:v>1</x:v>
      </x:c>
      <x:c r="J1476" s="50" t="b">
        <x:v>0</x:v>
      </x:c>
      <x:c r="K1476" s="31"/>
      <x:c r="L1476" s="31"/>
    </x:row>
    <x:row r="1477">
      <x:c r="A1477" s="31"/>
      <x:c r="B1477" s="31"/>
      <x:c r="C1477" s="31"/>
      <x:c r="D1477" s="31" t="n">
        <x:v>1473</x:v>
      </x:c>
      <x:c r="E1477" s="42" t="n">
        <x:v>-0.001636600238989675</x:v>
      </x:c>
      <x:c r="F1477" s="42" t="n">
        <x:v>0.009904919026193795</x:v>
      </x:c>
      <x:c r="G1477" s="43" t="n">
        <x:v>1.0305500911525851</x:v>
      </x:c>
      <x:c r="H1477" s="32" t="n">
        <x:v>701056.4805983737</x:v>
      </x:c>
      <x:c r="I1477" s="50" t="b">
        <x:v>1</x:v>
      </x:c>
      <x:c r="J1477" s="50" t="b">
        <x:v>0</x:v>
      </x:c>
      <x:c r="K1477" s="31"/>
      <x:c r="L1477" s="31"/>
    </x:row>
    <x:row r="1478">
      <x:c r="A1478" s="31"/>
      <x:c r="B1478" s="31"/>
      <x:c r="C1478" s="31"/>
      <x:c r="D1478" s="31" t="n">
        <x:v>1474</x:v>
      </x:c>
      <x:c r="E1478" s="42" t="n">
        <x:v>0.012615469818978306</x:v>
      </x:c>
      <x:c r="F1478" s="42" t="n">
        <x:v>0.0005369286939572878</x:v>
      </x:c>
      <x:c r="G1478" s="43" t="n">
        <x:v>0.9965689882794047</x:v>
      </x:c>
      <x:c r="H1478" s="32" t="n">
        <x:v>982607.5118944482</x:v>
      </x:c>
      <x:c r="I1478" s="50" t="b">
        <x:v>1</x:v>
      </x:c>
      <x:c r="J1478" s="50" t="b">
        <x:v>0</x:v>
      </x:c>
      <x:c r="K1478" s="31"/>
      <x:c r="L1478" s="31"/>
    </x:row>
    <x:row r="1479">
      <x:c r="A1479" s="31"/>
      <x:c r="B1479" s="31"/>
      <x:c r="C1479" s="31"/>
      <x:c r="D1479" s="31" t="n">
        <x:v>1475</x:v>
      </x:c>
      <x:c r="E1479" s="42" t="n">
        <x:v>0.01013103402719731</x:v>
      </x:c>
      <x:c r="F1479" s="42" t="n">
        <x:v>-0.0027864971688224558</x:v>
      </x:c>
      <x:c r="G1479" s="43" t="n">
        <x:v>0.9625462621321571</x:v>
      </x:c>
      <x:c r="H1479" s="32" t="n">
        <x:v>1201011.2662530676</x:v>
      </x:c>
      <x:c r="I1479" s="50" t="b">
        <x:v>0</x:v>
      </x:c>
      <x:c r="J1479" s="50" t="b">
        <x:v>0</x:v>
      </x:c>
      <x:c r="K1479" s="31"/>
      <x:c r="L1479" s="31"/>
    </x:row>
    <x:row r="1480">
      <x:c r="A1480" s="31"/>
      <x:c r="B1480" s="31"/>
      <x:c r="C1480" s="31"/>
      <x:c r="D1480" s="31" t="n">
        <x:v>1476</x:v>
      </x:c>
      <x:c r="E1480" s="42" t="n">
        <x:v>0.01529200421737503</x:v>
      </x:c>
      <x:c r="F1480" s="42" t="n">
        <x:v>0.0065828899667411235</x:v>
      </x:c>
      <x:c r="G1480" s="43" t="n">
        <x:v>0.9959271171912093</x:v>
      </x:c>
      <x:c r="H1480" s="32" t="n">
        <x:v>977304.9735031398</x:v>
      </x:c>
      <x:c r="I1480" s="50" t="b">
        <x:v>1</x:v>
      </x:c>
      <x:c r="J1480" s="50" t="b">
        <x:v>0</x:v>
      </x:c>
      <x:c r="K1480" s="31"/>
      <x:c r="L1480" s="31"/>
    </x:row>
    <x:row r="1481">
      <x:c r="A1481" s="31"/>
      <x:c r="B1481" s="31"/>
      <x:c r="C1481" s="31"/>
      <x:c r="D1481" s="31" t="n">
        <x:v>1477</x:v>
      </x:c>
      <x:c r="E1481" s="42" t="n">
        <x:v>-0.0023225784217972803</x:v>
      </x:c>
      <x:c r="F1481" s="42" t="n">
        <x:v>-0.0038991085481329493</x:v>
      </x:c>
      <x:c r="G1481" s="43" t="n">
        <x:v>0.9539139200551054</x:v>
      </x:c>
      <x:c r="H1481" s="32" t="n">
        <x:v>1224264.8242468466</x:v>
      </x:c>
      <x:c r="I1481" s="50" t="b">
        <x:v>0</x:v>
      </x:c>
      <x:c r="J1481" s="50" t="b">
        <x:v>0</x:v>
      </x:c>
      <x:c r="K1481" s="31"/>
      <x:c r="L1481" s="31"/>
    </x:row>
    <x:row r="1482">
      <x:c r="A1482" s="31"/>
      <x:c r="B1482" s="31"/>
      <x:c r="C1482" s="31"/>
      <x:c r="D1482" s="31" t="n">
        <x:v>1478</x:v>
      </x:c>
      <x:c r="E1482" s="42" t="n">
        <x:v>0.011617647454831794</x:v>
      </x:c>
      <x:c r="F1482" s="42" t="n">
        <x:v>-0.007994564161114602</x:v>
      </x:c>
      <x:c r="G1482" s="43" t="n">
        <x:v>1.0021231145646643</x:v>
      </x:c>
      <x:c r="H1482" s="32" t="n">
        <x:v>968305.015198061</x:v>
      </x:c>
      <x:c r="I1482" s="50" t="b">
        <x:v>1</x:v>
      </x:c>
      <x:c r="J1482" s="50" t="b">
        <x:v>0</x:v>
      </x:c>
      <x:c r="K1482" s="31"/>
      <x:c r="L1482" s="31"/>
    </x:row>
    <x:row r="1483">
      <x:c r="A1483" s="31"/>
      <x:c r="B1483" s="31"/>
      <x:c r="C1483" s="31"/>
      <x:c r="D1483" s="31" t="n">
        <x:v>1479</x:v>
      </x:c>
      <x:c r="E1483" s="42" t="n">
        <x:v>0.005197781013491397</x:v>
      </x:c>
      <x:c r="F1483" s="42" t="n">
        <x:v>-0.0076008783657967585</x:v>
      </x:c>
      <x:c r="G1483" s="43" t="n">
        <x:v>0.951050468829423</x:v>
      </x:c>
      <x:c r="H1483" s="32" t="n">
        <x:v>1273686.81303682</x:v>
      </x:c>
      <x:c r="I1483" s="50" t="b">
        <x:v>0</x:v>
      </x:c>
      <x:c r="J1483" s="50" t="b">
        <x:v>0</x:v>
      </x:c>
      <x:c r="K1483" s="31"/>
      <x:c r="L1483" s="31"/>
    </x:row>
    <x:row r="1484">
      <x:c r="A1484" s="31"/>
      <x:c r="B1484" s="31"/>
      <x:c r="C1484" s="31"/>
      <x:c r="D1484" s="31" t="n">
        <x:v>1480</x:v>
      </x:c>
      <x:c r="E1484" s="42" t="n">
        <x:v>0.005309641100798007</x:v>
      </x:c>
      <x:c r="F1484" s="42" t="n">
        <x:v>0.0034457535836481448</x:v>
      </x:c>
      <x:c r="G1484" s="43" t="n">
        <x:v>1.0209827577787876</x:v>
      </x:c>
      <x:c r="H1484" s="32" t="n">
        <x:v>799130.0703074567</x:v>
      </x:c>
      <x:c r="I1484" s="50" t="b">
        <x:v>1</x:v>
      </x:c>
      <x:c r="J1484" s="50" t="b">
        <x:v>0</x:v>
      </x:c>
      <x:c r="K1484" s="31"/>
      <x:c r="L1484" s="31"/>
    </x:row>
    <x:row r="1485">
      <x:c r="A1485" s="31"/>
      <x:c r="B1485" s="31"/>
      <x:c r="C1485" s="31"/>
      <x:c r="D1485" s="31" t="n">
        <x:v>1481</x:v>
      </x:c>
      <x:c r="E1485" s="42" t="n">
        <x:v>-0.005059250328080248</x:v>
      </x:c>
      <x:c r="F1485" s="42" t="n">
        <x:v>0.0013117786308640478</x:v>
      </x:c>
      <x:c r="G1485" s="43" t="n">
        <x:v>1.0162064999512272</x:v>
      </x:c>
      <x:c r="H1485" s="32" t="n">
        <x:v>806540.6176450797</x:v>
      </x:c>
      <x:c r="I1485" s="50" t="b">
        <x:v>1</x:v>
      </x:c>
      <x:c r="J1485" s="50" t="b">
        <x:v>0</x:v>
      </x:c>
      <x:c r="K1485" s="31"/>
      <x:c r="L1485" s="31"/>
    </x:row>
    <x:row r="1486">
      <x:c r="A1486" s="31"/>
      <x:c r="B1486" s="31"/>
      <x:c r="C1486" s="31"/>
      <x:c r="D1486" s="31" t="n">
        <x:v>1482</x:v>
      </x:c>
      <x:c r="E1486" s="42" t="n">
        <x:v>-0.0015130229110941612</x:v>
      </x:c>
      <x:c r="F1486" s="42" t="n">
        <x:v>-0.014474559181935057</x:v>
      </x:c>
      <x:c r="G1486" s="43" t="n">
        <x:v>1.0343188997038433</x:v>
      </x:c>
      <x:c r="H1486" s="32" t="n">
        <x:v>745326.6753480351</x:v>
      </x:c>
      <x:c r="I1486" s="50" t="b">
        <x:v>1</x:v>
      </x:c>
      <x:c r="J1486" s="50" t="b">
        <x:v>0</x:v>
      </x:c>
      <x:c r="K1486" s="31"/>
      <x:c r="L1486" s="31"/>
    </x:row>
    <x:row r="1487">
      <x:c r="A1487" s="31"/>
      <x:c r="B1487" s="31"/>
      <x:c r="C1487" s="31"/>
      <x:c r="D1487" s="31" t="n">
        <x:v>1483</x:v>
      </x:c>
      <x:c r="E1487" s="42" t="n">
        <x:v>0.0053832920927372385</x:v>
      </x:c>
      <x:c r="F1487" s="42" t="n">
        <x:v>-0.006440545055945547</x:v>
      </x:c>
      <x:c r="G1487" s="43" t="n">
        <x:v>1.0556035023208137</x:v>
      </x:c>
      <x:c r="H1487" s="32" t="n">
        <x:v>606987.5636433542</x:v>
      </x:c>
      <x:c r="I1487" s="50" t="b">
        <x:v>1</x:v>
      </x:c>
      <x:c r="J1487" s="50" t="b">
        <x:v>0</x:v>
      </x:c>
      <x:c r="K1487" s="31"/>
      <x:c r="L1487" s="31"/>
    </x:row>
    <x:row r="1488">
      <x:c r="A1488" s="31"/>
      <x:c r="B1488" s="31"/>
      <x:c r="C1488" s="31"/>
      <x:c r="D1488" s="31" t="n">
        <x:v>1484</x:v>
      </x:c>
      <x:c r="E1488" s="42" t="n">
        <x:v>-0.007227245690511815</x:v>
      </x:c>
      <x:c r="F1488" s="42" t="n">
        <x:v>0.0030240711679608307</x:v>
      </x:c>
      <x:c r="G1488" s="43" t="n">
        <x:v>0.9624424511475828</x:v>
      </x:c>
      <x:c r="H1488" s="32" t="n">
        <x:v>1137179.5373986533</x:v>
      </x:c>
      <x:c r="I1488" s="50" t="b">
        <x:v>0</x:v>
      </x:c>
      <x:c r="J1488" s="50" t="b">
        <x:v>0</x:v>
      </x:c>
      <x:c r="K1488" s="31"/>
      <x:c r="L1488" s="31"/>
    </x:row>
    <x:row r="1489">
      <x:c r="A1489" s="31"/>
      <x:c r="B1489" s="31"/>
      <x:c r="C1489" s="31"/>
      <x:c r="D1489" s="31" t="n">
        <x:v>1485</x:v>
      </x:c>
      <x:c r="E1489" s="42" t="n">
        <x:v>0.01576707890761082</x:v>
      </x:c>
      <x:c r="F1489" s="42" t="n">
        <x:v>-0.005896220801915954</x:v>
      </x:c>
      <x:c r="G1489" s="43" t="n">
        <x:v>1.0140751841970546</x:v>
      </x:c>
      <x:c r="H1489" s="32" t="n">
        <x:v>898110.1574098801</x:v>
      </x:c>
      <x:c r="I1489" s="50" t="b">
        <x:v>1</x:v>
      </x:c>
      <x:c r="J1489" s="50" t="b">
        <x:v>0</x:v>
      </x:c>
      <x:c r="K1489" s="31"/>
      <x:c r="L1489" s="31"/>
    </x:row>
    <x:row r="1490">
      <x:c r="A1490" s="31"/>
      <x:c r="B1490" s="31"/>
      <x:c r="C1490" s="31"/>
      <x:c r="D1490" s="31" t="n">
        <x:v>1486</x:v>
      </x:c>
      <x:c r="E1490" s="42" t="n">
        <x:v>-0.009373089548955283</x:v>
      </x:c>
      <x:c r="F1490" s="42" t="n">
        <x:v>-0.006419052912839182</x:v>
      </x:c>
      <x:c r="G1490" s="43" t="n">
        <x:v>1.0535939855874836</x:v>
      </x:c>
      <x:c r="H1490" s="32" t="n">
        <x:v>578614.8788455474</x:v>
      </x:c>
      <x:c r="I1490" s="50" t="b">
        <x:v>1</x:v>
      </x:c>
      <x:c r="J1490" s="50" t="b">
        <x:v>0</x:v>
      </x:c>
      <x:c r="K1490" s="31"/>
      <x:c r="L1490" s="31"/>
    </x:row>
    <x:row r="1491">
      <x:c r="A1491" s="31"/>
      <x:c r="B1491" s="31"/>
      <x:c r="C1491" s="31"/>
      <x:c r="D1491" s="31" t="n">
        <x:v>1487</x:v>
      </x:c>
      <x:c r="E1491" s="42" t="n">
        <x:v>-0.031575723835766775</x:v>
      </x:c>
      <x:c r="F1491" s="42" t="n">
        <x:v>0.0061175809240136035</x:v>
      </x:c>
      <x:c r="G1491" s="43" t="n">
        <x:v>1.0364173770368466</x:v>
      </x:c>
      <x:c r="H1491" s="32" t="n">
        <x:v>591000.9852406429</x:v>
      </x:c>
      <x:c r="I1491" s="50" t="b">
        <x:v>1</x:v>
      </x:c>
      <x:c r="J1491" s="50" t="b">
        <x:v>0</x:v>
      </x:c>
      <x:c r="K1491" s="31"/>
      <x:c r="L1491" s="31"/>
    </x:row>
    <x:row r="1492">
      <x:c r="A1492" s="31"/>
      <x:c r="B1492" s="31"/>
      <x:c r="C1492" s="31"/>
      <x:c r="D1492" s="31" t="n">
        <x:v>1488</x:v>
      </x:c>
      <x:c r="E1492" s="42" t="n">
        <x:v>-0.005013535443096196</x:v>
      </x:c>
      <x:c r="F1492" s="42" t="n">
        <x:v>-0.0005826860584600185</x:v>
      </x:c>
      <x:c r="G1492" s="43" t="n">
        <x:v>0.973934624195456</x:v>
      </x:c>
      <x:c r="H1492" s="32" t="n">
        <x:v>1080397.4996923204</x:v>
      </x:c>
      <x:c r="I1492" s="50" t="b">
        <x:v>0</x:v>
      </x:c>
      <x:c r="J1492" s="50" t="b">
        <x:v>0</x:v>
      </x:c>
      <x:c r="K1492" s="31"/>
      <x:c r="L1492" s="31"/>
    </x:row>
    <x:row r="1493">
      <x:c r="A1493" s="31"/>
      <x:c r="B1493" s="31"/>
      <x:c r="C1493" s="31"/>
      <x:c r="D1493" s="31" t="n">
        <x:v>1489</x:v>
      </x:c>
      <x:c r="E1493" s="42" t="n">
        <x:v>-0.003311195941130589</x:v>
      </x:c>
      <x:c r="F1493" s="42" t="n">
        <x:v>0.0038773424730089464</x:v>
      </x:c>
      <x:c r="G1493" s="43" t="n">
        <x:v>0.888916191868895</x:v>
      </x:c>
      <x:c r="H1493" s="32" t="n">
        <x:v>1612648.6688995818</x:v>
      </x:c>
      <x:c r="I1493" s="50" t="b">
        <x:v>0</x:v>
      </x:c>
      <x:c r="J1493" s="50" t="b">
        <x:v>0</x:v>
      </x:c>
      <x:c r="K1493" s="31"/>
      <x:c r="L1493" s="31"/>
    </x:row>
    <x:row r="1494">
      <x:c r="A1494" s="31"/>
      <x:c r="B1494" s="31"/>
      <x:c r="C1494" s="31"/>
      <x:c r="D1494" s="31" t="n">
        <x:v>1490</x:v>
      </x:c>
      <x:c r="E1494" s="42" t="n">
        <x:v>-0.020621351875666213</x:v>
      </x:c>
      <x:c r="F1494" s="42" t="n">
        <x:v>0.003885770155156589</x:v>
      </x:c>
      <x:c r="G1494" s="43" t="n">
        <x:v>1.0032542445923007</x:v>
      </x:c>
      <x:c r="H1494" s="32" t="n">
        <x:v>838314.3952539237</x:v>
      </x:c>
      <x:c r="I1494" s="50" t="b">
        <x:v>1</x:v>
      </x:c>
      <x:c r="J1494" s="50" t="b">
        <x:v>0</x:v>
      </x:c>
      <x:c r="K1494" s="31"/>
      <x:c r="L1494" s="31"/>
    </x:row>
    <x:row r="1495">
      <x:c r="A1495" s="31"/>
      <x:c r="B1495" s="31"/>
      <x:c r="C1495" s="31"/>
      <x:c r="D1495" s="31" t="n">
        <x:v>1491</x:v>
      </x:c>
      <x:c r="E1495" s="42" t="n">
        <x:v>0.019437163580016435</x:v>
      </x:c>
      <x:c r="F1495" s="42" t="n">
        <x:v>0.0009619652192736437</x:v>
      </x:c>
      <x:c r="G1495" s="43" t="n">
        <x:v>1.0382349370972566</x:v>
      </x:c>
      <x:c r="H1495" s="32" t="n">
        <x:v>735804.465095627</x:v>
      </x:c>
      <x:c r="I1495" s="50" t="b">
        <x:v>1</x:v>
      </x:c>
      <x:c r="J1495" s="50" t="b">
        <x:v>0</x:v>
      </x:c>
      <x:c r="K1495" s="31"/>
      <x:c r="L1495" s="31"/>
    </x:row>
    <x:row r="1496">
      <x:c r="A1496" s="31"/>
      <x:c r="B1496" s="31"/>
      <x:c r="C1496" s="31"/>
      <x:c r="D1496" s="31" t="n">
        <x:v>1492</x:v>
      </x:c>
      <x:c r="E1496" s="42" t="n">
        <x:v>0.016361243071867357</x:v>
      </x:c>
      <x:c r="F1496" s="42" t="n">
        <x:v>0.007493057059562777</x:v>
      </x:c>
      <x:c r="G1496" s="43" t="n">
        <x:v>1.0186615730156796</x:v>
      </x:c>
      <x:c r="H1496" s="32" t="n">
        <x:v>833367.8576033077</x:v>
      </x:c>
      <x:c r="I1496" s="50" t="b">
        <x:v>1</x:v>
      </x:c>
      <x:c r="J1496" s="50" t="b">
        <x:v>0</x:v>
      </x:c>
      <x:c r="K1496" s="31"/>
      <x:c r="L1496" s="31"/>
    </x:row>
    <x:row r="1497">
      <x:c r="A1497" s="31"/>
      <x:c r="B1497" s="31"/>
      <x:c r="C1497" s="31"/>
      <x:c r="D1497" s="31" t="n">
        <x:v>1493</x:v>
      </x:c>
      <x:c r="E1497" s="42" t="n">
        <x:v>-0.0009036594660285618</x:v>
      </x:c>
      <x:c r="F1497" s="42" t="n">
        <x:v>-0.0029630001849738313</x:v>
      </x:c>
      <x:c r="G1497" s="43" t="n">
        <x:v>1.0005542427546226</x:v>
      </x:c>
      <x:c r="H1497" s="32" t="n">
        <x:v>929409.6570867312</x:v>
      </x:c>
      <x:c r="I1497" s="50" t="b">
        <x:v>1</x:v>
      </x:c>
      <x:c r="J1497" s="50" t="b">
        <x:v>0</x:v>
      </x:c>
      <x:c r="K1497" s="31"/>
      <x:c r="L1497" s="31"/>
    </x:row>
    <x:row r="1498">
      <x:c r="A1498" s="31"/>
      <x:c r="B1498" s="31"/>
      <x:c r="C1498" s="31"/>
      <x:c r="D1498" s="31" t="n">
        <x:v>1494</x:v>
      </x:c>
      <x:c r="E1498" s="42" t="n">
        <x:v>-0.0020038594580255287</x:v>
      </x:c>
      <x:c r="F1498" s="42" t="n">
        <x:v>-0.004409438388075167</x:v>
      </x:c>
      <x:c r="G1498" s="43" t="n">
        <x:v>0.9855266583054388</x:v>
      </x:c>
      <x:c r="H1498" s="32" t="n">
        <x:v>1025809.2230377867</x:v>
      </x:c>
      <x:c r="I1498" s="50" t="b">
        <x:v>0</x:v>
      </x:c>
      <x:c r="J1498" s="50" t="b">
        <x:v>0</x:v>
      </x:c>
      <x:c r="K1498" s="31"/>
      <x:c r="L1498" s="31"/>
    </x:row>
    <x:row r="1499">
      <x:c r="A1499" s="31"/>
      <x:c r="B1499" s="31"/>
      <x:c r="C1499" s="31"/>
      <x:c r="D1499" s="31" t="n">
        <x:v>1495</x:v>
      </x:c>
      <x:c r="E1499" s="42" t="n">
        <x:v>-0.026952133052617937</x:v>
      </x:c>
      <x:c r="F1499" s="42" t="n">
        <x:v>-0.0035168650489827594</x:v>
      </x:c>
      <x:c r="G1499" s="43" t="n">
        <x:v>0.9579701495636453</x:v>
      </x:c>
      <x:c r="H1499" s="32" t="n">
        <x:v>1128883.999615442</x:v>
      </x:c>
      <x:c r="I1499" s="50" t="b">
        <x:v>0</x:v>
      </x:c>
      <x:c r="J1499" s="50" t="b">
        <x:v>0</x:v>
      </x:c>
      <x:c r="K1499" s="31"/>
      <x:c r="L1499" s="31"/>
    </x:row>
    <x:row r="1500">
      <x:c r="A1500" s="31"/>
      <x:c r="B1500" s="31"/>
      <x:c r="C1500" s="31"/>
      <x:c r="D1500" s="31" t="n">
        <x:v>1496</x:v>
      </x:c>
      <x:c r="E1500" s="42" t="n">
        <x:v>0.00879721214717331</x:v>
      </x:c>
      <x:c r="F1500" s="42" t="n">
        <x:v>-0.005370002626566703</x:v>
      </x:c>
      <x:c r="G1500" s="43" t="n">
        <x:v>1.060175338585143</x:v>
      </x:c>
      <x:c r="H1500" s="32" t="n">
        <x:v>584476.0090236778</x:v>
      </x:c>
      <x:c r="I1500" s="50" t="b">
        <x:v>1</x:v>
      </x:c>
      <x:c r="J1500" s="50" t="b">
        <x:v>0</x:v>
      </x:c>
      <x:c r="K1500" s="31"/>
      <x:c r="L1500" s="31"/>
    </x:row>
    <x:row r="1501">
      <x:c r="A1501" s="31"/>
      <x:c r="B1501" s="31"/>
      <x:c r="C1501" s="31"/>
      <x:c r="D1501" s="31" t="n">
        <x:v>1497</x:v>
      </x:c>
      <x:c r="E1501" s="42" t="n">
        <x:v>-0.007145784809388781</x:v>
      </x:c>
      <x:c r="F1501" s="42" t="n">
        <x:v>-0.005858161088919296</x:v>
      </x:c>
      <x:c r="G1501" s="43" t="n">
        <x:v>0.9495043668876484</x:v>
      </x:c>
      <x:c r="H1501" s="32" t="n">
        <x:v>1244296.1741109327</x:v>
      </x:c>
      <x:c r="I1501" s="50" t="b">
        <x:v>0</x:v>
      </x:c>
      <x:c r="J1501" s="50" t="b">
        <x:v>0</x:v>
      </x:c>
      <x:c r="K1501" s="31"/>
      <x:c r="L1501" s="31"/>
    </x:row>
    <x:row r="1502">
      <x:c r="A1502" s="31"/>
      <x:c r="B1502" s="31"/>
      <x:c r="C1502" s="31"/>
      <x:c r="D1502" s="31" t="n">
        <x:v>1498</x:v>
      </x:c>
      <x:c r="E1502" s="42" t="n">
        <x:v>0.018341036980029868</x:v>
      </x:c>
      <x:c r="F1502" s="42" t="n">
        <x:v>0.006850731158994109</x:v>
      </x:c>
      <x:c r="G1502" s="43" t="n">
        <x:v>1.012571860705761</x:v>
      </x:c>
      <x:c r="H1502" s="32" t="n">
        <x:v>879340.5722894003</x:v>
      </x:c>
      <x:c r="I1502" s="50" t="b">
        <x:v>1</x:v>
      </x:c>
      <x:c r="J1502" s="50" t="b">
        <x:v>0</x:v>
      </x:c>
      <x:c r="K1502" s="31"/>
      <x:c r="L1502" s="31"/>
    </x:row>
    <x:row r="1503">
      <x:c r="A1503" s="31"/>
      <x:c r="B1503" s="31"/>
      <x:c r="C1503" s="31"/>
      <x:c r="D1503" s="31" t="n">
        <x:v>1499</x:v>
      </x:c>
      <x:c r="E1503" s="42" t="n">
        <x:v>0.013536385043881837</x:v>
      </x:c>
      <x:c r="F1503" s="42" t="n">
        <x:v>-0.0014593334947730844</x:v>
      </x:c>
      <x:c r="G1503" s="43" t="n">
        <x:v>0.9331912074706097</x:v>
      </x:c>
      <x:c r="H1503" s="32" t="n">
        <x:v>1393221.3339736806</x:v>
      </x:c>
      <x:c r="I1503" s="50" t="b">
        <x:v>0</x:v>
      </x:c>
      <x:c r="J1503" s="50" t="b">
        <x:v>0</x:v>
      </x:c>
      <x:c r="K1503" s="31"/>
      <x:c r="L1503" s="31"/>
    </x:row>
    <x:row r="1504">
      <x:c r="A1504" s="31"/>
      <x:c r="B1504" s="31"/>
      <x:c r="C1504" s="31"/>
      <x:c r="D1504" s="31" t="n">
        <x:v>1500</x:v>
      </x:c>
      <x:c r="E1504" s="42" t="n">
        <x:v>-0.01703188564527623</x:v>
      </x:c>
      <x:c r="F1504" s="42" t="n">
        <x:v>-0.0019326877746176539</x:v>
      </x:c>
      <x:c r="G1504" s="43" t="n">
        <x:v>1.0500996722817244</x:v>
      </x:c>
      <x:c r="H1504" s="32" t="n">
        <x:v>566999.9175991388</x:v>
      </x:c>
      <x:c r="I1504" s="50" t="b">
        <x:v>1</x:v>
      </x:c>
      <x:c r="J1504" s="50" t="b">
        <x:v>0</x:v>
      </x:c>
      <x:c r="K1504" s="31"/>
      <x:c r="L1504" s="31"/>
    </x:row>
    <x:row r="1505">
      <x:c r="A1505" s="31"/>
      <x:c r="B1505" s="31"/>
      <x:c r="C1505" s="31"/>
      <x:c r="D1505" s="31" t="n">
        <x:v>1501</x:v>
      </x:c>
      <x:c r="E1505" s="42" t="n">
        <x:v>-0.004467102611229988</x:v>
      </x:c>
      <x:c r="F1505" s="42" t="n">
        <x:v>-0.0011253153415266203</x:v>
      </x:c>
      <x:c r="G1505" s="43" t="n">
        <x:v>0.9732431094150967</x:v>
      </x:c>
      <x:c r="H1505" s="32" t="n">
        <x:v>1087820.536835506</x:v>
      </x:c>
      <x:c r="I1505" s="50" t="b">
        <x:v>0</x:v>
      </x:c>
      <x:c r="J1505" s="50" t="b">
        <x:v>0</x:v>
      </x:c>
      <x:c r="K1505" s="31"/>
      <x:c r="L1505" s="31"/>
    </x:row>
    <x:row r="1506">
      <x:c r="A1506" s="31"/>
      <x:c r="B1506" s="31"/>
      <x:c r="C1506" s="31"/>
      <x:c r="D1506" s="31" t="n">
        <x:v>1502</x:v>
      </x:c>
      <x:c r="E1506" s="42" t="n">
        <x:v>0.0039377007514417185</x:v>
      </x:c>
      <x:c r="F1506" s="42" t="n">
        <x:v>0.007771366288591183</x:v>
      </x:c>
      <x:c r="G1506" s="43" t="n">
        <x:v>0.9743453916670481</x:v>
      </x:c>
      <x:c r="H1506" s="32" t="n">
        <x:v>1079451.1098073514</x:v>
      </x:c>
      <x:c r="I1506" s="50" t="b">
        <x:v>0</x:v>
      </x:c>
      <x:c r="J1506" s="50" t="b">
        <x:v>0</x:v>
      </x:c>
      <x:c r="K1506" s="31"/>
      <x:c r="L1506" s="31"/>
    </x:row>
    <x:row r="1507">
      <x:c r="A1507" s="31"/>
      <x:c r="B1507" s="31"/>
      <x:c r="C1507" s="31"/>
      <x:c r="D1507" s="31" t="n">
        <x:v>1503</x:v>
      </x:c>
      <x:c r="E1507" s="42" t="n">
        <x:v>0.007573096137810873</x:v>
      </x:c>
      <x:c r="F1507" s="42" t="n">
        <x:v>0.003709003910764894</x:v>
      </x:c>
      <x:c r="G1507" s="43" t="n">
        <x:v>0.9688712592232893</x:v>
      </x:c>
      <x:c r="H1507" s="32" t="n">
        <x:v>1135642.6071295117</x:v>
      </x:c>
      <x:c r="I1507" s="50" t="b">
        <x:v>0</x:v>
      </x:c>
      <x:c r="J1507" s="50" t="b">
        <x:v>0</x:v>
      </x:c>
      <x:c r="K1507" s="31"/>
      <x:c r="L1507" s="31"/>
    </x:row>
    <x:row r="1508">
      <x:c r="A1508" s="31"/>
      <x:c r="B1508" s="31"/>
      <x:c r="C1508" s="31"/>
      <x:c r="D1508" s="31" t="n">
        <x:v>1504</x:v>
      </x:c>
      <x:c r="E1508" s="42" t="n">
        <x:v>-0.005167153047595664</x:v>
      </x:c>
      <x:c r="F1508" s="42" t="n">
        <x:v>0.007878547554161293</x:v>
      </x:c>
      <x:c r="G1508" s="43" t="n">
        <x:v>0.9669773294657295</x:v>
      </x:c>
      <x:c r="H1508" s="32" t="n">
        <x:v>1100601.619257738</x:v>
      </x:c>
      <x:c r="I1508" s="50" t="b">
        <x:v>0</x:v>
      </x:c>
      <x:c r="J1508" s="50" t="b">
        <x:v>0</x:v>
      </x:c>
      <x:c r="K1508" s="31"/>
      <x:c r="L1508" s="31"/>
    </x:row>
    <x:row r="1509">
      <x:c r="A1509" s="31"/>
      <x:c r="B1509" s="31"/>
      <x:c r="C1509" s="31"/>
      <x:c r="D1509" s="31" t="n">
        <x:v>1505</x:v>
      </x:c>
      <x:c r="E1509" s="42" t="n">
        <x:v>-0.015993786661906897</x:v>
      </x:c>
      <x:c r="F1509" s="42" t="n">
        <x:v>-0.006723798403628338</x:v>
      </x:c>
      <x:c r="G1509" s="43" t="n">
        <x:v>1.0054168675861346</x:v>
      </x:c>
      <x:c r="H1509" s="32" t="n">
        <x:v>866993.107219321</x:v>
      </x:c>
      <x:c r="I1509" s="50" t="b">
        <x:v>1</x:v>
      </x:c>
      <x:c r="J1509" s="50" t="b">
        <x:v>0</x:v>
      </x:c>
      <x:c r="K1509" s="31"/>
      <x:c r="L1509" s="31"/>
    </x:row>
    <x:row r="1510">
      <x:c r="A1510" s="31"/>
      <x:c r="B1510" s="31"/>
      <x:c r="C1510" s="31"/>
      <x:c r="D1510" s="31" t="n">
        <x:v>1506</x:v>
      </x:c>
      <x:c r="E1510" s="42" t="n">
        <x:v>0.014535743490407363</x:v>
      </x:c>
      <x:c r="F1510" s="42" t="n">
        <x:v>0.00024061533000297453</x:v>
      </x:c>
      <x:c r="G1510" s="43" t="n">
        <x:v>1.0482451675145077</x:v>
      </x:c>
      <x:c r="H1510" s="32" t="n">
        <x:v>660597.0943562888</x:v>
      </x:c>
      <x:c r="I1510" s="50" t="b">
        <x:v>1</x:v>
      </x:c>
      <x:c r="J1510" s="50" t="b">
        <x:v>0</x:v>
      </x:c>
      <x:c r="K1510" s="31"/>
      <x:c r="L1510" s="31"/>
    </x:row>
    <x:row r="1511">
      <x:c r="A1511" s="31"/>
      <x:c r="B1511" s="31"/>
      <x:c r="C1511" s="31"/>
      <x:c r="D1511" s="31" t="n">
        <x:v>1507</x:v>
      </x:c>
      <x:c r="E1511" s="42" t="n">
        <x:v>0.00035358485522640466</x:v>
      </x:c>
      <x:c r="F1511" s="42" t="n">
        <x:v>-0.006371848896089616</x:v>
      </x:c>
      <x:c r="G1511" s="43" t="n">
        <x:v>0.9849739712162746</x:v>
      </x:c>
      <x:c r="H1511" s="32" t="n">
        <x:v>1041343.5891331026</x:v>
      </x:c>
      <x:c r="I1511" s="50" t="b">
        <x:v>0</x:v>
      </x:c>
      <x:c r="J1511" s="50" t="b">
        <x:v>0</x:v>
      </x:c>
      <x:c r="K1511" s="31"/>
      <x:c r="L1511" s="31"/>
    </x:row>
    <x:row r="1512">
      <x:c r="A1512" s="31"/>
      <x:c r="B1512" s="31"/>
      <x:c r="C1512" s="31"/>
      <x:c r="D1512" s="31" t="n">
        <x:v>1508</x:v>
      </x:c>
      <x:c r="E1512" s="42" t="n">
        <x:v>-0.008522700245667134</x:v>
      </x:c>
      <x:c r="F1512" s="42" t="n">
        <x:v>-0.004741193412945488</x:v>
      </x:c>
      <x:c r="G1512" s="43" t="n">
        <x:v>0.9734491559826051</x:v>
      </x:c>
      <x:c r="H1512" s="32" t="n">
        <x:v>1085288.0260531444</x:v>
      </x:c>
      <x:c r="I1512" s="50" t="b">
        <x:v>0</x:v>
      </x:c>
      <x:c r="J1512" s="50" t="b">
        <x:v>0</x:v>
      </x:c>
      <x:c r="K1512" s="31"/>
      <x:c r="L1512" s="31"/>
    </x:row>
    <x:row r="1513">
      <x:c r="A1513" s="31"/>
      <x:c r="B1513" s="31"/>
      <x:c r="C1513" s="31"/>
      <x:c r="D1513" s="31" t="n">
        <x:v>1509</x:v>
      </x:c>
      <x:c r="E1513" s="42" t="n">
        <x:v>0.003475562354532513</x:v>
      </x:c>
      <x:c r="F1513" s="42" t="n">
        <x:v>-0.01740232791163085</x:v>
      </x:c>
      <x:c r="G1513" s="43" t="n">
        <x:v>1.0500528413472539</x:v>
      </x:c>
      <x:c r="H1513" s="32" t="n">
        <x:v>667440.3495094154</x:v>
      </x:c>
      <x:c r="I1513" s="50" t="b">
        <x:v>1</x:v>
      </x:c>
      <x:c r="J1513" s="50" t="b">
        <x:v>0</x:v>
      </x:c>
      <x:c r="K1513" s="31"/>
      <x:c r="L1513" s="31"/>
    </x:row>
    <x:row r="1514">
      <x:c r="A1514" s="31"/>
      <x:c r="B1514" s="31"/>
      <x:c r="C1514" s="31"/>
      <x:c r="D1514" s="31" t="n">
        <x:v>1510</x:v>
      </x:c>
      <x:c r="E1514" s="42" t="n">
        <x:v>-0.0037627944353799308</x:v>
      </x:c>
      <x:c r="F1514" s="42" t="n">
        <x:v>0.008106668579356109</x:v>
      </x:c>
      <x:c r="G1514" s="43" t="n">
        <x:v>1.0081005072329345</x:v>
      </x:c>
      <x:c r="H1514" s="32" t="n">
        <x:v>842714.3992266591</x:v>
      </x:c>
      <x:c r="I1514" s="50" t="b">
        <x:v>1</x:v>
      </x:c>
      <x:c r="J1514" s="50" t="b">
        <x:v>0</x:v>
      </x:c>
      <x:c r="K1514" s="31"/>
      <x:c r="L1514" s="31"/>
    </x:row>
    <x:row r="1515">
      <x:c r="A1515" s="31"/>
      <x:c r="B1515" s="31"/>
      <x:c r="C1515" s="31"/>
      <x:c r="D1515" s="31" t="n">
        <x:v>1511</x:v>
      </x:c>
      <x:c r="E1515" s="42" t="n">
        <x:v>0.02747897813389114</x:v>
      </x:c>
      <x:c r="F1515" s="42" t="n">
        <x:v>0.005256664517361093</x:v>
      </x:c>
      <x:c r="G1515" s="43" t="n">
        <x:v>1.0768683804687984</x:v>
      </x:c>
      <x:c r="H1515" s="32" t="n">
        <x:v>500884.9167557887</x:v>
      </x:c>
      <x:c r="I1515" s="50" t="b">
        <x:v>1</x:v>
      </x:c>
      <x:c r="J1515" s="50" t="b">
        <x:v>0</x:v>
      </x:c>
      <x:c r="K1515" s="31"/>
      <x:c r="L1515" s="31"/>
    </x:row>
    <x:row r="1516">
      <x:c r="A1516" s="31"/>
      <x:c r="B1516" s="31"/>
      <x:c r="C1516" s="31"/>
      <x:c r="D1516" s="31" t="n">
        <x:v>1512</x:v>
      </x:c>
      <x:c r="E1516" s="42" t="n">
        <x:v>-0.012303341612712997</x:v>
      </x:c>
      <x:c r="F1516" s="42" t="n">
        <x:v>-0.011576185401224352</x:v>
      </x:c>
      <x:c r="G1516" s="43" t="n">
        <x:v>1.0367488189473377</x:v>
      </x:c>
      <x:c r="H1516" s="32" t="n">
        <x:v>691792.1882609907</x:v>
      </x:c>
      <x:c r="I1516" s="50" t="b">
        <x:v>1</x:v>
      </x:c>
      <x:c r="J1516" s="50" t="b">
        <x:v>0</x:v>
      </x:c>
      <x:c r="K1516" s="31"/>
      <x:c r="L1516" s="31"/>
    </x:row>
    <x:row r="1517">
      <x:c r="A1517" s="31"/>
      <x:c r="B1517" s="31"/>
      <x:c r="C1517" s="31"/>
      <x:c r="D1517" s="31" t="n">
        <x:v>1513</x:v>
      </x:c>
      <x:c r="E1517" s="42" t="n">
        <x:v>0.014686704261806086</x:v>
      </x:c>
      <x:c r="F1517" s="42" t="n">
        <x:v>0.004386590448517123</x:v>
      </x:c>
      <x:c r="G1517" s="43" t="n">
        <x:v>1.0040720405061299</x:v>
      </x:c>
      <x:c r="H1517" s="32" t="n">
        <x:v>930007.5245360292</x:v>
      </x:c>
      <x:c r="I1517" s="50" t="b">
        <x:v>1</x:v>
      </x:c>
      <x:c r="J1517" s="50" t="b">
        <x:v>0</x:v>
      </x:c>
      <x:c r="K1517" s="31"/>
      <x:c r="L1517" s="31"/>
    </x:row>
    <x:row r="1518">
      <x:c r="A1518" s="31"/>
      <x:c r="B1518" s="31"/>
      <x:c r="C1518" s="31"/>
      <x:c r="D1518" s="31" t="n">
        <x:v>1514</x:v>
      </x:c>
      <x:c r="E1518" s="42" t="n">
        <x:v>-0.008412864290172488</x:v>
      </x:c>
      <x:c r="F1518" s="42" t="n">
        <x:v>-0.0014057621218454034</x:v>
      </x:c>
      <x:c r="G1518" s="43" t="n">
        <x:v>0.9838710442586632</x:v>
      </x:c>
      <x:c r="H1518" s="32" t="n">
        <x:v>1010123.138305764</x:v>
      </x:c>
      <x:c r="I1518" s="50" t="b">
        <x:v>0</x:v>
      </x:c>
      <x:c r="J1518" s="50" t="b">
        <x:v>0</x:v>
      </x:c>
      <x:c r="K1518" s="31"/>
      <x:c r="L1518" s="31"/>
    </x:row>
    <x:row r="1519">
      <x:c r="A1519" s="31"/>
      <x:c r="B1519" s="31"/>
      <x:c r="C1519" s="31"/>
      <x:c r="D1519" s="31" t="n">
        <x:v>1515</x:v>
      </x:c>
      <x:c r="E1519" s="42" t="n">
        <x:v>-0.006841746392737177</x:v>
      </x:c>
      <x:c r="F1519" s="42" t="n">
        <x:v>0.003792813421406279</x:v>
      </x:c>
      <x:c r="G1519" s="43" t="n">
        <x:v>1.0618678002389634</x:v>
      </x:c>
      <x:c r="H1519" s="32" t="n">
        <x:v>504691.38954231027</x:v>
      </x:c>
      <x:c r="I1519" s="50" t="b">
        <x:v>1</x:v>
      </x:c>
      <x:c r="J1519" s="50" t="b">
        <x:v>0</x:v>
      </x:c>
      <x:c r="K1519" s="31"/>
      <x:c r="L1519" s="31"/>
    </x:row>
    <x:row r="1520">
      <x:c r="A1520" s="31"/>
      <x:c r="B1520" s="31"/>
      <x:c r="C1520" s="31"/>
      <x:c r="D1520" s="31" t="n">
        <x:v>1516</x:v>
      </x:c>
      <x:c r="E1520" s="42" t="n">
        <x:v>0.010394442496705977</x:v>
      </x:c>
      <x:c r="F1520" s="42" t="n">
        <x:v>0.006968974010568717</x:v>
      </x:c>
      <x:c r="G1520" s="43" t="n">
        <x:v>0.9869352221376798</x:v>
      </x:c>
      <x:c r="H1520" s="32" t="n">
        <x:v>1019702.7303046279</x:v>
      </x:c>
      <x:c r="I1520" s="50" t="b">
        <x:v>0</x:v>
      </x:c>
      <x:c r="J1520" s="50" t="b">
        <x:v>0</x:v>
      </x:c>
      <x:c r="K1520" s="31"/>
      <x:c r="L1520" s="31"/>
    </x:row>
    <x:row r="1521">
      <x:c r="A1521" s="31"/>
      <x:c r="B1521" s="31"/>
      <x:c r="C1521" s="31"/>
      <x:c r="D1521" s="31" t="n">
        <x:v>1517</x:v>
      </x:c>
      <x:c r="E1521" s="42" t="n">
        <x:v>0.0004381437674635344</x:v>
      </x:c>
      <x:c r="F1521" s="42" t="n">
        <x:v>-0.013005604791288258</x:v>
      </x:c>
      <x:c r="G1521" s="43" t="n">
        <x:v>0.9475675198819321</x:v>
      </x:c>
      <x:c r="H1521" s="32" t="n">
        <x:v>1297601.625607333</x:v>
      </x:c>
      <x:c r="I1521" s="50" t="b">
        <x:v>0</x:v>
      </x:c>
      <x:c r="J1521" s="50" t="b">
        <x:v>0</x:v>
      </x:c>
      <x:c r="K1521" s="31"/>
      <x:c r="L1521" s="31"/>
    </x:row>
    <x:row r="1522">
      <x:c r="A1522" s="31"/>
      <x:c r="B1522" s="31"/>
      <x:c r="C1522" s="31"/>
      <x:c r="D1522" s="31" t="n">
        <x:v>1518</x:v>
      </x:c>
      <x:c r="E1522" s="42" t="n">
        <x:v>0.008785363425529212</x:v>
      </x:c>
      <x:c r="F1522" s="42" t="n">
        <x:v>0.0010624880130966534</x:v>
      </x:c>
      <x:c r="G1522" s="43" t="n">
        <x:v>0.9916145608918644</x:v>
      </x:c>
      <x:c r="H1522" s="32" t="n">
        <x:v>1001947.5426117282</x:v>
      </x:c>
      <x:c r="I1522" s="50" t="b">
        <x:v>0</x:v>
      </x:c>
      <x:c r="J1522" s="50" t="b">
        <x:v>0</x:v>
      </x:c>
      <x:c r="K1522" s="31"/>
      <x:c r="L1522" s="31"/>
    </x:row>
    <x:row r="1523">
      <x:c r="A1523" s="31"/>
      <x:c r="B1523" s="31"/>
      <x:c r="C1523" s="31"/>
      <x:c r="D1523" s="31" t="n">
        <x:v>1519</x:v>
      </x:c>
      <x:c r="E1523" s="42" t="n">
        <x:v>-0.006662246019288082</x:v>
      </x:c>
      <x:c r="F1523" s="42" t="n">
        <x:v>0.005681512959405593</x:v>
      </x:c>
      <x:c r="G1523" s="43" t="n">
        <x:v>1.0444979025214063</x:v>
      </x:c>
      <x:c r="H1523" s="32" t="n">
        <x:v>610244.9481438356</x:v>
      </x:c>
      <x:c r="I1523" s="50" t="b">
        <x:v>1</x:v>
      </x:c>
      <x:c r="J1523" s="50" t="b">
        <x:v>0</x:v>
      </x:c>
      <x:c r="K1523" s="31"/>
      <x:c r="L1523" s="31"/>
    </x:row>
    <x:row r="1524">
      <x:c r="A1524" s="31"/>
      <x:c r="B1524" s="31"/>
      <x:c r="C1524" s="31"/>
      <x:c r="D1524" s="31" t="n">
        <x:v>1520</x:v>
      </x:c>
      <x:c r="E1524" s="42" t="n">
        <x:v>0.002257319993860798</x:v>
      </x:c>
      <x:c r="F1524" s="42" t="n">
        <x:v>-0.0007806738303608599</x:v>
      </x:c>
      <x:c r="G1524" s="43" t="n">
        <x:v>0.9602134844867382</x:v>
      </x:c>
      <x:c r="H1524" s="32" t="n">
        <x:v>1188326.1451734104</x:v>
      </x:c>
      <x:c r="I1524" s="50" t="b">
        <x:v>0</x:v>
      </x:c>
      <x:c r="J1524" s="50" t="b">
        <x:v>0</x:v>
      </x:c>
      <x:c r="K1524" s="31"/>
      <x:c r="L1524" s="31"/>
    </x:row>
    <x:row r="1525">
      <x:c r="A1525" s="31"/>
      <x:c r="B1525" s="31"/>
      <x:c r="C1525" s="31"/>
      <x:c r="D1525" s="31" t="n">
        <x:v>1521</x:v>
      </x:c>
      <x:c r="E1525" s="42" t="n">
        <x:v>0.0072502328017487565</x:v>
      </x:c>
      <x:c r="F1525" s="42" t="n">
        <x:v>-0.0007801987530065092</x:v>
      </x:c>
      <x:c r="G1525" s="43" t="n">
        <x:v>0.933772862514727</x:v>
      </x:c>
      <x:c r="H1525" s="32" t="n">
        <x:v>1370139.381784231</x:v>
      </x:c>
      <x:c r="I1525" s="50" t="b">
        <x:v>0</x:v>
      </x:c>
      <x:c r="J1525" s="50" t="b">
        <x:v>0</x:v>
      </x:c>
      <x:c r="K1525" s="31"/>
      <x:c r="L1525" s="31"/>
    </x:row>
    <x:row r="1526">
      <x:c r="A1526" s="31"/>
      <x:c r="B1526" s="31"/>
      <x:c r="C1526" s="31"/>
      <x:c r="D1526" s="31" t="n">
        <x:v>1522</x:v>
      </x:c>
      <x:c r="E1526" s="42" t="n">
        <x:v>0.01879248438307153</x:v>
      </x:c>
      <x:c r="F1526" s="42" t="n">
        <x:v>-0.005447527544516557</x:v>
      </x:c>
      <x:c r="G1526" s="43" t="n">
        <x:v>1.017207617100363</x:v>
      </x:c>
      <x:c r="H1526" s="32" t="n">
        <x:v>885389.3255709431</x:v>
      </x:c>
      <x:c r="I1526" s="50" t="b">
        <x:v>1</x:v>
      </x:c>
      <x:c r="J1526" s="50" t="b">
        <x:v>0</x:v>
      </x:c>
      <x:c r="K1526" s="31"/>
      <x:c r="L1526" s="31"/>
    </x:row>
    <x:row r="1527">
      <x:c r="A1527" s="31"/>
      <x:c r="B1527" s="31"/>
      <x:c r="C1527" s="31"/>
      <x:c r="D1527" s="31" t="n">
        <x:v>1523</x:v>
      </x:c>
      <x:c r="E1527" s="42" t="n">
        <x:v>0.013400341129721783</x:v>
      </x:c>
      <x:c r="F1527" s="42" t="n">
        <x:v>-0.0028096117396928274</x:v>
      </x:c>
      <x:c r="G1527" s="43" t="n">
        <x:v>0.9154096710833651</x:v>
      </x:c>
      <x:c r="H1527" s="32" t="n">
        <x:v>1509526.5315979803</x:v>
      </x:c>
      <x:c r="I1527" s="50" t="b">
        <x:v>0</x:v>
      </x:c>
      <x:c r="J1527" s="50" t="b">
        <x:v>0</x:v>
      </x:c>
      <x:c r="K1527" s="31"/>
      <x:c r="L1527" s="31"/>
    </x:row>
    <x:row r="1528">
      <x:c r="A1528" s="31"/>
      <x:c r="B1528" s="31"/>
      <x:c r="C1528" s="31"/>
      <x:c r="D1528" s="31" t="n">
        <x:v>1524</x:v>
      </x:c>
      <x:c r="E1528" s="42" t="n">
        <x:v>-0.007162428950586218</x:v>
      </x:c>
      <x:c r="F1528" s="42" t="n">
        <x:v>0.001315313201413759</x:v>
      </x:c>
      <x:c r="G1528" s="43" t="n">
        <x:v>1.028939474434497</x:v>
      </x:c>
      <x:c r="H1528" s="32" t="n">
        <x:v>719813.1289501493</x:v>
      </x:c>
      <x:c r="I1528" s="50" t="b">
        <x:v>1</x:v>
      </x:c>
      <x:c r="J1528" s="50" t="b">
        <x:v>0</x:v>
      </x:c>
      <x:c r="K1528" s="31"/>
      <x:c r="L1528" s="31"/>
    </x:row>
    <x:row r="1529">
      <x:c r="A1529" s="31"/>
      <x:c r="B1529" s="31"/>
      <x:c r="C1529" s="31"/>
      <x:c r="D1529" s="31" t="n">
        <x:v>1525</x:v>
      </x:c>
      <x:c r="E1529" s="42" t="n">
        <x:v>-0.0065129537440714895</x:v>
      </x:c>
      <x:c r="F1529" s="42" t="n">
        <x:v>-0.005837947841583228</x:v>
      </x:c>
      <x:c r="G1529" s="43" t="n">
        <x:v>1.0699135411452956</x:v>
      </x:c>
      <x:c r="H1529" s="32" t="n">
        <x:v>481317.87564424763</x:v>
      </x:c>
      <x:c r="I1529" s="50" t="b">
        <x:v>1</x:v>
      </x:c>
      <x:c r="J1529" s="50" t="b">
        <x:v>0</x:v>
      </x:c>
      <x:c r="K1529" s="31"/>
      <x:c r="L1529" s="31"/>
    </x:row>
    <x:row r="1530">
      <x:c r="A1530" s="31"/>
      <x:c r="B1530" s="31"/>
      <x:c r="C1530" s="31"/>
      <x:c r="D1530" s="31" t="n">
        <x:v>1526</x:v>
      </x:c>
      <x:c r="E1530" s="42" t="n">
        <x:v>0.006002930422871155</x:v>
      </x:c>
      <x:c r="F1530" s="42" t="n">
        <x:v>-0.0072786288280811485</x:v>
      </x:c>
      <x:c r="G1530" s="43" t="n">
        <x:v>1.0273339674397926</x:v>
      </x:c>
      <x:c r="H1530" s="32" t="n">
        <x:v>790576.7332115986</x:v>
      </x:c>
      <x:c r="I1530" s="50" t="b">
        <x:v>1</x:v>
      </x:c>
      <x:c r="J1530" s="50" t="b">
        <x:v>0</x:v>
      </x:c>
      <x:c r="K1530" s="31"/>
      <x:c r="L1530" s="31"/>
    </x:row>
    <x:row r="1531">
      <x:c r="A1531" s="31"/>
      <x:c r="B1531" s="31"/>
      <x:c r="C1531" s="31"/>
      <x:c r="D1531" s="31" t="n">
        <x:v>1527</x:v>
      </x:c>
      <x:c r="E1531" s="42" t="n">
        <x:v>0.003277001039257607</x:v>
      </x:c>
      <x:c r="F1531" s="42" t="n">
        <x:v>0.0057756145221853974</x:v>
      </x:c>
      <x:c r="G1531" s="43" t="n">
        <x:v>0.9600643770427318</x:v>
      </x:c>
      <x:c r="H1531" s="32" t="n">
        <x:v>1173861.8138791912</x:v>
      </x:c>
      <x:c r="I1531" s="50" t="b">
        <x:v>0</x:v>
      </x:c>
      <x:c r="J1531" s="50" t="b">
        <x:v>0</x:v>
      </x:c>
      <x:c r="K1531" s="31"/>
      <x:c r="L1531" s="31"/>
    </x:row>
    <x:row r="1532">
      <x:c r="A1532" s="31"/>
      <x:c r="B1532" s="31"/>
      <x:c r="C1532" s="31"/>
      <x:c r="D1532" s="31" t="n">
        <x:v>1528</x:v>
      </x:c>
      <x:c r="E1532" s="42" t="n">
        <x:v>0.017213783987484625</x:v>
      </x:c>
      <x:c r="F1532" s="42" t="n">
        <x:v>0.001989379207832641</x:v>
      </x:c>
      <x:c r="G1532" s="43" t="n">
        <x:v>0.9831004098787953</x:v>
      </x:c>
      <x:c r="H1532" s="32" t="n">
        <x:v>1076899.104784091</x:v>
      </x:c>
      <x:c r="I1532" s="50" t="b">
        <x:v>0</x:v>
      </x:c>
      <x:c r="J1532" s="50" t="b">
        <x:v>0</x:v>
      </x:c>
      <x:c r="K1532" s="31"/>
      <x:c r="L1532" s="31"/>
    </x:row>
    <x:row r="1533">
      <x:c r="A1533" s="31"/>
      <x:c r="B1533" s="31"/>
      <x:c r="C1533" s="31"/>
      <x:c r="D1533" s="31" t="n">
        <x:v>1529</x:v>
      </x:c>
      <x:c r="E1533" s="42" t="n">
        <x:v>0.001087294156539649</x:v>
      </x:c>
      <x:c r="F1533" s="42" t="n">
        <x:v>-0.004839168605150342</x:v>
      </x:c>
      <x:c r="G1533" s="43" t="n">
        <x:v>1.0068369235633265</x:v>
      </x:c>
      <x:c r="H1533" s="32" t="n">
        <x:v>900274.4043039215</x:v>
      </x:c>
      <x:c r="I1533" s="50" t="b">
        <x:v>1</x:v>
      </x:c>
      <x:c r="J1533" s="50" t="b">
        <x:v>0</x:v>
      </x:c>
      <x:c r="K1533" s="31"/>
      <x:c r="L1533" s="31"/>
    </x:row>
    <x:row r="1534">
      <x:c r="A1534" s="31"/>
      <x:c r="B1534" s="31"/>
      <x:c r="C1534" s="31"/>
      <x:c r="D1534" s="31" t="n">
        <x:v>1530</x:v>
      </x:c>
      <x:c r="E1534" s="42" t="n">
        <x:v>0.02409866031184896</x:v>
      </x:c>
      <x:c r="F1534" s="42" t="n">
        <x:v>-0.0017552599636375093</x:v>
      </x:c>
      <x:c r="G1534" s="43" t="n">
        <x:v>1.0084695035387443</x:v>
      </x:c>
      <x:c r="H1534" s="32" t="n">
        <x:v>945374.8849289317</x:v>
      </x:c>
      <x:c r="I1534" s="50" t="b">
        <x:v>1</x:v>
      </x:c>
      <x:c r="J1534" s="50" t="b">
        <x:v>0</x:v>
      </x:c>
      <x:c r="K1534" s="31"/>
      <x:c r="L1534" s="31"/>
    </x:row>
    <x:row r="1535">
      <x:c r="A1535" s="31"/>
      <x:c r="B1535" s="31"/>
      <x:c r="C1535" s="31"/>
      <x:c r="D1535" s="31" t="n">
        <x:v>1531</x:v>
      </x:c>
      <x:c r="E1535" s="42" t="n">
        <x:v>0.005647040391645192</x:v>
      </x:c>
      <x:c r="F1535" s="42" t="n">
        <x:v>0.0017428148409891345</x:v>
      </x:c>
      <x:c r="G1535" s="43" t="n">
        <x:v>1.0567781880698417</x:v>
      </x:c>
      <x:c r="H1535" s="32" t="n">
        <x:v>577483.0627591745</x:v>
      </x:c>
      <x:c r="I1535" s="50" t="b">
        <x:v>1</x:v>
      </x:c>
      <x:c r="J1535" s="50" t="b">
        <x:v>0</x:v>
      </x:c>
      <x:c r="K1535" s="31"/>
      <x:c r="L1535" s="31"/>
    </x:row>
    <x:row r="1536">
      <x:c r="A1536" s="31"/>
      <x:c r="B1536" s="31"/>
      <x:c r="C1536" s="31"/>
      <x:c r="D1536" s="31" t="n">
        <x:v>1532</x:v>
      </x:c>
      <x:c r="E1536" s="42" t="n">
        <x:v>-0.0226893496136958</x:v>
      </x:c>
      <x:c r="F1536" s="42" t="n">
        <x:v>0.000981131837572641</x:v>
      </x:c>
      <x:c r="G1536" s="43" t="n">
        <x:v>1.0034042931457874</x:v>
      </x:c>
      <x:c r="H1536" s="32" t="n">
        <x:v>839690.2882690772</x:v>
      </x:c>
      <x:c r="I1536" s="50" t="b">
        <x:v>1</x:v>
      </x:c>
      <x:c r="J1536" s="50" t="b">
        <x:v>0</x:v>
      </x:c>
      <x:c r="K1536" s="31"/>
      <x:c r="L1536" s="31"/>
    </x:row>
    <x:row r="1537">
      <x:c r="A1537" s="31"/>
      <x:c r="B1537" s="31"/>
      <x:c r="C1537" s="31"/>
      <x:c r="D1537" s="31" t="n">
        <x:v>1533</x:v>
      </x:c>
      <x:c r="E1537" s="42" t="n">
        <x:v>0.001336083293459058</x:v>
      </x:c>
      <x:c r="F1537" s="42" t="n">
        <x:v>-0.009430235828004901</x:v>
      </x:c>
      <x:c r="G1537" s="43" t="n">
        <x:v>0.9479571586098852</x:v>
      </x:c>
      <x:c r="H1537" s="32" t="n">
        <x:v>1287674.4595440722</x:v>
      </x:c>
      <x:c r="I1537" s="50" t="b">
        <x:v>0</x:v>
      </x:c>
      <x:c r="J1537" s="50" t="b">
        <x:v>0</x:v>
      </x:c>
      <x:c r="K1537" s="31"/>
      <x:c r="L1537" s="31"/>
    </x:row>
    <x:row r="1538">
      <x:c r="A1538" s="31"/>
      <x:c r="B1538" s="31"/>
      <x:c r="C1538" s="31"/>
      <x:c r="D1538" s="31" t="n">
        <x:v>1534</x:v>
      </x:c>
      <x:c r="E1538" s="42" t="n">
        <x:v>-0.012726262372727533</x:v>
      </x:c>
      <x:c r="F1538" s="42" t="n">
        <x:v>-0.001464890115230077</x:v>
      </x:c>
      <x:c r="G1538" s="43" t="n">
        <x:v>1.0058646917038685</x:v>
      </x:c>
      <x:c r="H1538" s="32" t="n">
        <x:v>858606.0454063856</x:v>
      </x:c>
      <x:c r="I1538" s="50" t="b">
        <x:v>1</x:v>
      </x:c>
      <x:c r="J1538" s="50" t="b">
        <x:v>0</x:v>
      </x:c>
      <x:c r="K1538" s="31"/>
      <x:c r="L1538" s="31"/>
    </x:row>
    <x:row r="1539">
      <x:c r="A1539" s="31"/>
      <x:c r="B1539" s="31"/>
      <x:c r="C1539" s="31"/>
      <x:c r="D1539" s="31" t="n">
        <x:v>1535</x:v>
      </x:c>
      <x:c r="E1539" s="42" t="n">
        <x:v>0.01904008300434643</x:v>
      </x:c>
      <x:c r="F1539" s="42" t="n">
        <x:v>-0.0064398694643668306</x:v>
      </x:c>
      <x:c r="G1539" s="43" t="n">
        <x:v>0.9915005688637052</x:v>
      </x:c>
      <x:c r="H1539" s="32" t="n">
        <x:v>1052098.6903185921</x:v>
      </x:c>
      <x:c r="I1539" s="50" t="b">
        <x:v>0</x:v>
      </x:c>
      <x:c r="J1539" s="50" t="b">
        <x:v>0</x:v>
      </x:c>
      <x:c r="K1539" s="31"/>
      <x:c r="L1539" s="31"/>
    </x:row>
    <x:row r="1540">
      <x:c r="A1540" s="31"/>
      <x:c r="B1540" s="31"/>
      <x:c r="C1540" s="31"/>
      <x:c r="D1540" s="31" t="n">
        <x:v>1536</x:v>
      </x:c>
      <x:c r="E1540" s="42" t="n">
        <x:v>-0.01787823231905577</x:v>
      </x:c>
      <x:c r="F1540" s="42" t="n">
        <x:v>-0.01212104655752194</x:v>
      </x:c>
      <x:c r="G1540" s="43" t="n">
        <x:v>1.0271126396969816</x:v>
      </x:c>
      <x:c r="H1540" s="32" t="n">
        <x:v>738987.5523674148</x:v>
      </x:c>
      <x:c r="I1540" s="50" t="b">
        <x:v>1</x:v>
      </x:c>
      <x:c r="J1540" s="50" t="b">
        <x:v>0</x:v>
      </x:c>
      <x:c r="K1540" s="31"/>
      <x:c r="L1540" s="31"/>
    </x:row>
    <x:row r="1541">
      <x:c r="A1541" s="31"/>
      <x:c r="B1541" s="31"/>
      <x:c r="C1541" s="31"/>
      <x:c r="D1541" s="31" t="n">
        <x:v>1537</x:v>
      </x:c>
      <x:c r="E1541" s="42" t="n">
        <x:v>0.00996566789588179</x:v>
      </x:c>
      <x:c r="F1541" s="42" t="n">
        <x:v>-0.004757160156619681</x:v>
      </x:c>
      <x:c r="G1541" s="43" t="n">
        <x:v>1.000777942613339</x:v>
      </x:c>
      <x:c r="H1541" s="32" t="n">
        <x:v>963238.1022494524</x:v>
      </x:c>
      <x:c r="I1541" s="50" t="b">
        <x:v>1</x:v>
      </x:c>
      <x:c r="J1541" s="50" t="b">
        <x:v>0</x:v>
      </x:c>
      <x:c r="K1541" s="31"/>
      <x:c r="L1541" s="31"/>
    </x:row>
    <x:row r="1542">
      <x:c r="A1542" s="31"/>
      <x:c r="B1542" s="31"/>
      <x:c r="C1542" s="31"/>
      <x:c r="D1542" s="31" t="n">
        <x:v>1538</x:v>
      </x:c>
      <x:c r="E1542" s="42" t="n">
        <x:v>0.004391541009232303</x:v>
      </x:c>
      <x:c r="F1542" s="42" t="n">
        <x:v>0.008371444574209939</x:v>
      </x:c>
      <x:c r="G1542" s="43" t="n">
        <x:v>0.9003979080829321</x:v>
      </x:c>
      <x:c r="H1542" s="32" t="n">
        <x:v>1548662.9454883724</x:v>
      </x:c>
      <x:c r="I1542" s="50" t="b">
        <x:v>0</x:v>
      </x:c>
      <x:c r="J1542" s="50" t="b">
        <x:v>0</x:v>
      </x:c>
      <x:c r="K1542" s="31"/>
      <x:c r="L1542" s="31"/>
    </x:row>
    <x:row r="1543">
      <x:c r="A1543" s="31"/>
      <x:c r="B1543" s="31"/>
      <x:c r="C1543" s="31"/>
      <x:c r="D1543" s="31" t="n">
        <x:v>1539</x:v>
      </x:c>
      <x:c r="E1543" s="42" t="n">
        <x:v>0.00021793773592726484</x:v>
      </x:c>
      <x:c r="F1543" s="42" t="n">
        <x:v>0.002113972714283634</x:v>
      </x:c>
      <x:c r="G1543" s="43" t="n">
        <x:v>1.0422952546011661</x:v>
      </x:c>
      <x:c r="H1543" s="32" t="n">
        <x:v>653314.7937581411</x:v>
      </x:c>
      <x:c r="I1543" s="50" t="b">
        <x:v>1</x:v>
      </x:c>
      <x:c r="J1543" s="50" t="b">
        <x:v>0</x:v>
      </x:c>
      <x:c r="K1543" s="31"/>
      <x:c r="L1543" s="31"/>
    </x:row>
    <x:row r="1544">
      <x:c r="A1544" s="31"/>
      <x:c r="B1544" s="31"/>
      <x:c r="C1544" s="31"/>
      <x:c r="D1544" s="31" t="n">
        <x:v>1540</x:v>
      </x:c>
      <x:c r="E1544" s="42" t="n">
        <x:v>0.017702138561225357</x:v>
      </x:c>
      <x:c r="F1544" s="42" t="n">
        <x:v>0.0011492255591514756</x:v>
      </x:c>
      <x:c r="G1544" s="43" t="n">
        <x:v>0.9466296989005367</x:v>
      </x:c>
      <x:c r="H1544" s="32" t="n">
        <x:v>1312211.88117752</x:v>
      </x:c>
      <x:c r="I1544" s="50" t="b">
        <x:v>0</x:v>
      </x:c>
      <x:c r="J1544" s="50" t="b">
        <x:v>0</x:v>
      </x:c>
      <x:c r="K1544" s="31"/>
      <x:c r="L1544" s="31"/>
    </x:row>
    <x:row r="1545">
      <x:c r="A1545" s="31"/>
      <x:c r="B1545" s="31"/>
      <x:c r="C1545" s="31"/>
      <x:c r="D1545" s="31" t="n">
        <x:v>1541</x:v>
      </x:c>
      <x:c r="E1545" s="42" t="n">
        <x:v>0.01689788925659729</x:v>
      </x:c>
      <x:c r="F1545" s="42" t="n">
        <x:v>0.0062042618282815406</x:v>
      </x:c>
      <x:c r="G1545" s="43" t="n">
        <x:v>0.9355459071884837</x:v>
      </x:c>
      <x:c r="H1545" s="32" t="n">
        <x:v>1366292.357132514</x:v>
      </x:c>
      <x:c r="I1545" s="50" t="b">
        <x:v>0</x:v>
      </x:c>
      <x:c r="J1545" s="50" t="b">
        <x:v>0</x:v>
      </x:c>
      <x:c r="K1545" s="31"/>
      <x:c r="L1545" s="31"/>
    </x:row>
    <x:row r="1546">
      <x:c r="A1546" s="31"/>
      <x:c r="B1546" s="31"/>
      <x:c r="C1546" s="31"/>
      <x:c r="D1546" s="31" t="n">
        <x:v>1542</x:v>
      </x:c>
      <x:c r="E1546" s="42" t="n">
        <x:v>-0.0010140729414412177</x:v>
      </x:c>
      <x:c r="F1546" s="42" t="n">
        <x:v>-0.0033471889277275862</x:v>
      </x:c>
      <x:c r="G1546" s="43" t="n">
        <x:v>1.0481193700182214</x:v>
      </x:c>
      <x:c r="H1546" s="32" t="n">
        <x:v>628099.4715103325</x:v>
      </x:c>
      <x:c r="I1546" s="50" t="b">
        <x:v>1</x:v>
      </x:c>
      <x:c r="J1546" s="50" t="b">
        <x:v>0</x:v>
      </x:c>
      <x:c r="K1546" s="31"/>
      <x:c r="L1546" s="31"/>
    </x:row>
    <x:row r="1547">
      <x:c r="A1547" s="31"/>
      <x:c r="B1547" s="31"/>
      <x:c r="C1547" s="31"/>
      <x:c r="D1547" s="31" t="n">
        <x:v>1543</x:v>
      </x:c>
      <x:c r="E1547" s="42" t="n">
        <x:v>0.013384860447533856</x:v>
      </x:c>
      <x:c r="F1547" s="42" t="n">
        <x:v>-0.0012791776354151828</x:v>
      </x:c>
      <x:c r="G1547" s="43" t="n">
        <x:v>0.982528241605074</x:v>
      </x:c>
      <x:c r="H1547" s="32" t="n">
        <x:v>1078972.9854265344</x:v>
      </x:c>
      <x:c r="I1547" s="50" t="b">
        <x:v>0</x:v>
      </x:c>
      <x:c r="J1547" s="50" t="b">
        <x:v>0</x:v>
      </x:c>
      <x:c r="K1547" s="31"/>
      <x:c r="L1547" s="31"/>
    </x:row>
    <x:row r="1548">
      <x:c r="A1548" s="31"/>
      <x:c r="B1548" s="31"/>
      <x:c r="C1548" s="31"/>
      <x:c r="D1548" s="31" t="n">
        <x:v>1544</x:v>
      </x:c>
      <x:c r="E1548" s="42" t="n">
        <x:v>0.00447366366509558</x:v>
      </x:c>
      <x:c r="F1548" s="42" t="n">
        <x:v>0.006956905511797496</x:v>
      </x:c>
      <x:c r="G1548" s="43" t="n">
        <x:v>0.902716239384882</x:v>
      </x:c>
      <x:c r="H1548" s="32" t="n">
        <x:v>1538105.8908810755</x:v>
      </x:c>
      <x:c r="I1548" s="50" t="b">
        <x:v>0</x:v>
      </x:c>
      <x:c r="J1548" s="50" t="b">
        <x:v>0</x:v>
      </x:c>
      <x:c r="K1548" s="31"/>
      <x:c r="L1548" s="31"/>
    </x:row>
    <x:row r="1549">
      <x:c r="A1549" s="31"/>
      <x:c r="B1549" s="31"/>
      <x:c r="C1549" s="31"/>
      <x:c r="D1549" s="31" t="n">
        <x:v>1545</x:v>
      </x:c>
      <x:c r="E1549" s="42" t="n">
        <x:v>-0.006972358763712204</x:v>
      </x:c>
      <x:c r="F1549" s="42" t="n">
        <x:v>-0.00895572030655339</x:v>
      </x:c>
      <x:c r="G1549" s="43" t="n">
        <x:v>1.0380443111806832</x:v>
      </x:c>
      <x:c r="H1549" s="32" t="n">
        <x:v>691109.6813261997</x:v>
      </x:c>
      <x:c r="I1549" s="50" t="b">
        <x:v>1</x:v>
      </x:c>
      <x:c r="J1549" s="50" t="b">
        <x:v>0</x:v>
      </x:c>
      <x:c r="K1549" s="31"/>
      <x:c r="L1549" s="31"/>
    </x:row>
    <x:row r="1550">
      <x:c r="A1550" s="31"/>
      <x:c r="B1550" s="31"/>
      <x:c r="C1550" s="31"/>
      <x:c r="D1550" s="31" t="n">
        <x:v>1546</x:v>
      </x:c>
      <x:c r="E1550" s="42" t="n">
        <x:v>0.02741908806289895</x:v>
      </x:c>
      <x:c r="F1550" s="42" t="n">
        <x:v>-0.006148301928863579</x:v>
      </x:c>
      <x:c r="G1550" s="43" t="n">
        <x:v>1.0653822143835328</x:v>
      </x:c>
      <x:c r="H1550" s="32" t="n">
        <x:v>605409.4777965101</x:v>
      </x:c>
      <x:c r="I1550" s="50" t="b">
        <x:v>1</x:v>
      </x:c>
      <x:c r="J1550" s="50" t="b">
        <x:v>0</x:v>
      </x:c>
      <x:c r="K1550" s="31"/>
      <x:c r="L1550" s="31"/>
    </x:row>
    <x:row r="1551">
      <x:c r="A1551" s="31"/>
      <x:c r="B1551" s="31"/>
      <x:c r="C1551" s="31"/>
      <x:c r="D1551" s="31" t="n">
        <x:v>1547</x:v>
      </x:c>
      <x:c r="E1551" s="42" t="n">
        <x:v>0.023151344353774028</x:v>
      </x:c>
      <x:c r="F1551" s="42" t="n">
        <x:v>0.008717801447256375</x:v>
      </x:c>
      <x:c r="G1551" s="43" t="n">
        <x:v>1.0712484432985725</x:v>
      </x:c>
      <x:c r="H1551" s="32" t="n">
        <x:v>514895.2820663864</x:v>
      </x:c>
      <x:c r="I1551" s="50" t="b">
        <x:v>1</x:v>
      </x:c>
      <x:c r="J1551" s="50" t="b">
        <x:v>0</x:v>
      </x:c>
      <x:c r="K1551" s="31"/>
      <x:c r="L1551" s="31"/>
    </x:row>
    <x:row r="1552">
      <x:c r="A1552" s="31"/>
      <x:c r="B1552" s="31"/>
      <x:c r="C1552" s="31"/>
      <x:c r="D1552" s="31" t="n">
        <x:v>1548</x:v>
      </x:c>
      <x:c r="E1552" s="42" t="n">
        <x:v>-0.0007232256720838543</x:v>
      </x:c>
      <x:c r="F1552" s="42" t="n">
        <x:v>0.004228532806334556</x:v>
      </x:c>
      <x:c r="G1552" s="43" t="n">
        <x:v>1.051626138791223</x:v>
      </x:c>
      <x:c r="H1552" s="32" t="n">
        <x:v>585551.3966567088</x:v>
      </x:c>
      <x:c r="I1552" s="50" t="b">
        <x:v>1</x:v>
      </x:c>
      <x:c r="J1552" s="50" t="b">
        <x:v>0</x:v>
      </x:c>
      <x:c r="K1552" s="31"/>
      <x:c r="L1552" s="31"/>
    </x:row>
    <x:row r="1553">
      <x:c r="A1553" s="31"/>
      <x:c r="B1553" s="31"/>
      <x:c r="C1553" s="31"/>
      <x:c r="D1553" s="31" t="n">
        <x:v>1549</x:v>
      </x:c>
      <x:c r="E1553" s="42" t="n">
        <x:v>-0.0086995961124573</x:v>
      </x:c>
      <x:c r="F1553" s="42" t="n">
        <x:v>-0.0034750745192603416</x:v>
      </x:c>
      <x:c r="G1553" s="43" t="n">
        <x:v>1.0066379811439243</x:v>
      </x:c>
      <x:c r="H1553" s="32" t="n">
        <x:v>870498.8174354204</x:v>
      </x:c>
      <x:c r="I1553" s="50" t="b">
        <x:v>1</x:v>
      </x:c>
      <x:c r="J1553" s="50" t="b">
        <x:v>0</x:v>
      </x:c>
      <x:c r="K1553" s="31"/>
      <x:c r="L1553" s="31"/>
    </x:row>
    <x:row r="1554">
      <x:c r="A1554" s="31"/>
      <x:c r="B1554" s="31"/>
      <x:c r="C1554" s="31"/>
      <x:c r="D1554" s="31" t="n">
        <x:v>1550</x:v>
      </x:c>
      <x:c r="E1554" s="42" t="n">
        <x:v>-0.0021123410577681147</x:v>
      </x:c>
      <x:c r="F1554" s="42" t="n">
        <x:v>-0.012559896288604563</x:v>
      </x:c>
      <x:c r="G1554" s="43" t="n">
        <x:v>1.0321425055286217</x:v>
      </x:c>
      <x:c r="H1554" s="32" t="n">
        <x:v>752150.5977944076</x:v>
      </x:c>
      <x:c r="I1554" s="50" t="b">
        <x:v>1</x:v>
      </x:c>
      <x:c r="J1554" s="50" t="b">
        <x:v>0</x:v>
      </x:c>
      <x:c r="K1554" s="31"/>
      <x:c r="L1554" s="31"/>
    </x:row>
    <x:row r="1555">
      <x:c r="A1555" s="31"/>
      <x:c r="B1555" s="31"/>
      <x:c r="C1555" s="31"/>
      <x:c r="D1555" s="31" t="n">
        <x:v>1551</x:v>
      </x:c>
      <x:c r="E1555" s="42" t="n">
        <x:v>0.0019450443968206026</x:v>
      </x:c>
      <x:c r="F1555" s="42" t="n">
        <x:v>0.010590760073438388</x:v>
      </x:c>
      <x:c r="G1555" s="43" t="n">
        <x:v>1.0351344485448788</x:v>
      </x:c>
      <x:c r="H1555" s="32" t="n">
        <x:v>680003.0978629938</x:v>
      </x:c>
      <x:c r="I1555" s="50" t="b">
        <x:v>1</x:v>
      </x:c>
      <x:c r="J1555" s="50" t="b">
        <x:v>0</x:v>
      </x:c>
      <x:c r="K1555" s="31"/>
      <x:c r="L1555" s="31"/>
    </x:row>
    <x:row r="1556">
      <x:c r="A1556" s="31"/>
      <x:c r="B1556" s="31"/>
      <x:c r="C1556" s="31"/>
      <x:c r="D1556" s="31" t="n">
        <x:v>1552</x:v>
      </x:c>
      <x:c r="E1556" s="42" t="n">
        <x:v>-0.011189739371679169</x:v>
      </x:c>
      <x:c r="F1556" s="42" t="n">
        <x:v>-0.012525323238211525</x:v>
      </x:c>
      <x:c r="G1556" s="43" t="n">
        <x:v>1.0271305142156892</x:v>
      </x:c>
      <x:c r="H1556" s="32" t="n">
        <x:v>758616.9179948787</x:v>
      </x:c>
      <x:c r="I1556" s="50" t="b">
        <x:v>1</x:v>
      </x:c>
      <x:c r="J1556" s="50" t="b">
        <x:v>0</x:v>
      </x:c>
      <x:c r="K1556" s="31"/>
      <x:c r="L1556" s="31"/>
    </x:row>
    <x:row r="1557">
      <x:c r="A1557" s="31"/>
      <x:c r="B1557" s="31"/>
      <x:c r="C1557" s="31"/>
      <x:c r="D1557" s="31" t="n">
        <x:v>1553</x:v>
      </x:c>
      <x:c r="E1557" s="42" t="n">
        <x:v>0.020891048077143197</x:v>
      </x:c>
      <x:c r="F1557" s="42" t="n">
        <x:v>0.0036553918358176135</x:v>
      </x:c>
      <x:c r="G1557" s="43" t="n">
        <x:v>1.0356054685012086</x:v>
      </x:c>
      <x:c r="H1557" s="32" t="n">
        <x:v>749053.159979563</x:v>
      </x:c>
      <x:c r="I1557" s="50" t="b">
        <x:v>1</x:v>
      </x:c>
      <x:c r="J1557" s="50" t="b">
        <x:v>0</x:v>
      </x:c>
      <x:c r="K1557" s="31"/>
      <x:c r="L1557" s="31"/>
    </x:row>
    <x:row r="1558">
      <x:c r="A1558" s="31"/>
      <x:c r="B1558" s="31"/>
      <x:c r="C1558" s="31"/>
      <x:c r="D1558" s="31" t="n">
        <x:v>1554</x:v>
      </x:c>
      <x:c r="E1558" s="42" t="n">
        <x:v>0.014121356868135792</x:v>
      </x:c>
      <x:c r="F1558" s="42" t="n">
        <x:v>-0.00011059113944580721</x:v>
      </x:c>
      <x:c r="G1558" s="43" t="n">
        <x:v>1.0803450628153688</x:v>
      </x:c>
      <x:c r="H1558" s="32" t="n">
        <x:v>456564.16177990544</x:v>
      </x:c>
      <x:c r="I1558" s="50" t="b">
        <x:v>1</x:v>
      </x:c>
      <x:c r="J1558" s="50" t="b">
        <x:v>0</x:v>
      </x:c>
      <x:c r="K1558" s="31"/>
      <x:c r="L1558" s="31"/>
    </x:row>
    <x:row r="1559">
      <x:c r="A1559" s="31"/>
      <x:c r="B1559" s="31"/>
      <x:c r="C1559" s="31"/>
      <x:c r="D1559" s="31" t="n">
        <x:v>1555</x:v>
      </x:c>
      <x:c r="E1559" s="42" t="n">
        <x:v>0.008858110002214996</x:v>
      </x:c>
      <x:c r="F1559" s="42" t="n">
        <x:v>-0.00006503876032907074</x:v>
      </x:c>
      <x:c r="G1559" s="43" t="n">
        <x:v>0.9701898323791801</x:v>
      </x:c>
      <x:c r="H1559" s="32" t="n">
        <x:v>1141350.729745894</x:v>
      </x:c>
      <x:c r="I1559" s="50" t="b">
        <x:v>0</x:v>
      </x:c>
      <x:c r="J1559" s="50" t="b">
        <x:v>0</x:v>
      </x:c>
      <x:c r="K1559" s="31"/>
      <x:c r="L1559" s="31"/>
    </x:row>
    <x:row r="1560">
      <x:c r="A1560" s="31"/>
      <x:c r="B1560" s="31"/>
      <x:c r="C1560" s="31"/>
      <x:c r="D1560" s="31" t="n">
        <x:v>1556</x:v>
      </x:c>
      <x:c r="E1560" s="42" t="n">
        <x:v>-0.00839582888389181</x:v>
      </x:c>
      <x:c r="F1560" s="42" t="n">
        <x:v>0.005927728952273138</x:v>
      </x:c>
      <x:c r="G1560" s="43" t="n">
        <x:v>0.915748438123988</x:v>
      </x:c>
      <x:c r="H1560" s="32" t="n">
        <x:v>1422384.4171002493</x:v>
      </x:c>
      <x:c r="I1560" s="50" t="b">
        <x:v>0</x:v>
      </x:c>
      <x:c r="J1560" s="50" t="b">
        <x:v>0</x:v>
      </x:c>
      <x:c r="K1560" s="31"/>
      <x:c r="L1560" s="31"/>
    </x:row>
    <x:row r="1561">
      <x:c r="A1561" s="31"/>
      <x:c r="B1561" s="31"/>
      <x:c r="C1561" s="31"/>
      <x:c r="D1561" s="31" t="n">
        <x:v>1557</x:v>
      </x:c>
      <x:c r="E1561" s="42" t="n">
        <x:v>0.0022906904561543983</x:v>
      </x:c>
      <x:c r="F1561" s="42" t="n">
        <x:v>0.00263436682340128</x:v>
      </x:c>
      <x:c r="G1561" s="43" t="n">
        <x:v>1.043309631649676</x:v>
      </x:c>
      <x:c r="H1561" s="32" t="n">
        <x:v>651193.8056935279</x:v>
      </x:c>
      <x:c r="I1561" s="50" t="b">
        <x:v>1</x:v>
      </x:c>
      <x:c r="J1561" s="50" t="b">
        <x:v>0</x:v>
      </x:c>
      <x:c r="K1561" s="31"/>
      <x:c r="L1561" s="31"/>
    </x:row>
    <x:row r="1562">
      <x:c r="A1562" s="31"/>
      <x:c r="B1562" s="31"/>
      <x:c r="C1562" s="31"/>
      <x:c r="D1562" s="31" t="n">
        <x:v>1558</x:v>
      </x:c>
      <x:c r="E1562" s="42" t="n">
        <x:v>0.01496266118742144</x:v>
      </x:c>
      <x:c r="F1562" s="42" t="n">
        <x:v>0.0024401672132638506</x:v>
      </x:c>
      <x:c r="G1562" s="43" t="n">
        <x:v>0.9631461636118284</x:v>
      </x:c>
      <x:c r="H1562" s="32" t="n">
        <x:v>1196101.8721262563</x:v>
      </x:c>
      <x:c r="I1562" s="50" t="b">
        <x:v>0</x:v>
      </x:c>
      <x:c r="J1562" s="50" t="b">
        <x:v>0</x:v>
      </x:c>
      <x:c r="K1562" s="31"/>
      <x:c r="L1562" s="31"/>
    </x:row>
    <x:row r="1563">
      <x:c r="A1563" s="31"/>
      <x:c r="B1563" s="31"/>
      <x:c r="C1563" s="31"/>
      <x:c r="D1563" s="31" t="n">
        <x:v>1559</x:v>
      </x:c>
      <x:c r="E1563" s="42" t="n">
        <x:v>-0.009567527272563154</x:v>
      </x:c>
      <x:c r="F1563" s="42" t="n">
        <x:v>-0.008130694863775626</x:v>
      </x:c>
      <x:c r="G1563" s="43" t="n">
        <x:v>1.0202886924323862</x:v>
      </x:c>
      <x:c r="H1563" s="32" t="n">
        <x:v>794350.2497352082</x:v>
      </x:c>
      <x:c r="I1563" s="50" t="b">
        <x:v>1</x:v>
      </x:c>
      <x:c r="J1563" s="50" t="b">
        <x:v>0</x:v>
      </x:c>
      <x:c r="K1563" s="31"/>
      <x:c r="L1563" s="31"/>
    </x:row>
    <x:row r="1564">
      <x:c r="A1564" s="31"/>
      <x:c r="B1564" s="31"/>
      <x:c r="C1564" s="31"/>
      <x:c r="D1564" s="31" t="n">
        <x:v>1560</x:v>
      </x:c>
      <x:c r="E1564" s="42" t="n">
        <x:v>-0.004729936211369645</x:v>
      </x:c>
      <x:c r="F1564" s="42" t="n">
        <x:v>-0.006597460055536589</x:v>
      </x:c>
      <x:c r="G1564" s="43" t="n">
        <x:v>1.0171211112536864</x:v>
      </x:c>
      <x:c r="H1564" s="32" t="n">
        <x:v>823664.3824667546</x:v>
      </x:c>
      <x:c r="I1564" s="50" t="b">
        <x:v>1</x:v>
      </x:c>
      <x:c r="J1564" s="50" t="b">
        <x:v>0</x:v>
      </x:c>
      <x:c r="K1564" s="31"/>
      <x:c r="L1564" s="31"/>
    </x:row>
    <x:row r="1565">
      <x:c r="A1565" s="31"/>
      <x:c r="B1565" s="31"/>
      <x:c r="C1565" s="31"/>
      <x:c r="D1565" s="31" t="n">
        <x:v>1561</x:v>
      </x:c>
      <x:c r="E1565" s="42" t="n">
        <x:v>-0.017528159148592824</x:v>
      </x:c>
      <x:c r="F1565" s="42" t="n">
        <x:v>-0.013349001306669687</x:v>
      </x:c>
      <x:c r="G1565" s="43" t="n">
        <x:v>1.0235976486342833</x:v>
      </x:c>
      <x:c r="H1565" s="32" t="n">
        <x:v>765702.7107256758</x:v>
      </x:c>
      <x:c r="I1565" s="50" t="b">
        <x:v>1</x:v>
      </x:c>
      <x:c r="J1565" s="50" t="b">
        <x:v>0</x:v>
      </x:c>
      <x:c r="K1565" s="31"/>
      <x:c r="L1565" s="31"/>
    </x:row>
    <x:row r="1566">
      <x:c r="A1566" s="31"/>
      <x:c r="B1566" s="31"/>
      <x:c r="C1566" s="31"/>
      <x:c r="D1566" s="31" t="n">
        <x:v>1562</x:v>
      </x:c>
      <x:c r="E1566" s="42" t="n">
        <x:v>0.02523250360874533</x:v>
      </x:c>
      <x:c r="F1566" s="42" t="n">
        <x:v>-0.0012213869270009613</x:v>
      </x:c>
      <x:c r="G1566" s="43" t="n">
        <x:v>0.9284018604256393</x:v>
      </x:c>
      <x:c r="H1566" s="32" t="n">
        <x:v>1455531.155400917</x:v>
      </x:c>
      <x:c r="I1566" s="50" t="b">
        <x:v>0</x:v>
      </x:c>
      <x:c r="J1566" s="50" t="b">
        <x:v>0</x:v>
      </x:c>
      <x:c r="K1566" s="31"/>
      <x:c r="L1566" s="31"/>
    </x:row>
    <x:row r="1567">
      <x:c r="A1567" s="31"/>
      <x:c r="B1567" s="31"/>
      <x:c r="C1567" s="31"/>
      <x:c r="D1567" s="31" t="n">
        <x:v>1563</x:v>
      </x:c>
      <x:c r="E1567" s="42" t="n">
        <x:v>-0.0001576133336468248</x:v>
      </x:c>
      <x:c r="F1567" s="42" t="n">
        <x:v>0.0020839881524767215</x:v>
      </x:c>
      <x:c r="G1567" s="43" t="n">
        <x:v>0.9981324003369114</x:v>
      </x:c>
      <x:c r="H1567" s="32" t="n">
        <x:v>932818.3036929945</x:v>
      </x:c>
      <x:c r="I1567" s="50" t="b">
        <x:v>1</x:v>
      </x:c>
      <x:c r="J1567" s="50" t="b">
        <x:v>0</x:v>
      </x:c>
      <x:c r="K1567" s="31"/>
      <x:c r="L1567" s="31"/>
    </x:row>
    <x:row r="1568">
      <x:c r="A1568" s="31"/>
      <x:c r="B1568" s="31"/>
      <x:c r="C1568" s="31"/>
      <x:c r="D1568" s="31" t="n">
        <x:v>1564</x:v>
      </x:c>
      <x:c r="E1568" s="42" t="n">
        <x:v>0.02439270181331219</x:v>
      </x:c>
      <x:c r="F1568" s="42" t="n">
        <x:v>-0.002137820948106079</x:v>
      </x:c>
      <x:c r="G1568" s="43" t="n">
        <x:v>1.0975947887460444</x:v>
      </x:c>
      <x:c r="H1568" s="32" t="n">
        <x:v>381249.5408146905</x:v>
      </x:c>
      <x:c r="I1568" s="50" t="b">
        <x:v>1</x:v>
      </x:c>
      <x:c r="J1568" s="50" t="b">
        <x:v>0</x:v>
      </x:c>
      <x:c r="K1568" s="31"/>
      <x:c r="L1568" s="31"/>
    </x:row>
    <x:row r="1569">
      <x:c r="A1569" s="31"/>
      <x:c r="B1569" s="31"/>
      <x:c r="C1569" s="31"/>
      <x:c r="D1569" s="31" t="n">
        <x:v>1565</x:v>
      </x:c>
      <x:c r="E1569" s="42" t="n">
        <x:v>0.014292914924576358</x:v>
      </x:c>
      <x:c r="F1569" s="42" t="n">
        <x:v>-0.012921358839598773</x:v>
      </x:c>
      <x:c r="G1569" s="43" t="n">
        <x:v>0.9220023609246579</x:v>
      </x:c>
      <x:c r="H1569" s="32" t="n">
        <x:v>1498289.0531112025</x:v>
      </x:c>
      <x:c r="I1569" s="50" t="b">
        <x:v>0</x:v>
      </x:c>
      <x:c r="J1569" s="50" t="b">
        <x:v>0</x:v>
      </x:c>
      <x:c r="K1569" s="31"/>
      <x:c r="L1569" s="31"/>
    </x:row>
    <x:row r="1570">
      <x:c r="A1570" s="31"/>
      <x:c r="B1570" s="31"/>
      <x:c r="C1570" s="31"/>
      <x:c r="D1570" s="31" t="n">
        <x:v>1566</x:v>
      </x:c>
      <x:c r="E1570" s="42" t="n">
        <x:v>0.004648998892624848</x:v>
      </x:c>
      <x:c r="F1570" s="42" t="n">
        <x:v>-0.005292188651044491</x:v>
      </x:c>
      <x:c r="G1570" s="43" t="n">
        <x:v>1.0110939893334545</x:v>
      </x:c>
      <x:c r="H1570" s="32" t="n">
        <x:v>884414.097110802</x:v>
      </x:c>
      <x:c r="I1570" s="50" t="b">
        <x:v>1</x:v>
      </x:c>
      <x:c r="J1570" s="50" t="b">
        <x:v>0</x:v>
      </x:c>
      <x:c r="K1570" s="31"/>
      <x:c r="L1570" s="31"/>
    </x:row>
    <x:row r="1571">
      <x:c r="A1571" s="31"/>
      <x:c r="B1571" s="31"/>
      <x:c r="C1571" s="31"/>
      <x:c r="D1571" s="31" t="n">
        <x:v>1567</x:v>
      </x:c>
      <x:c r="E1571" s="42" t="n">
        <x:v>-0.01216485906246682</x:v>
      </x:c>
      <x:c r="F1571" s="42" t="n">
        <x:v>-0.0038751852401744864</x:v>
      </x:c>
      <x:c r="G1571" s="43" t="n">
        <x:v>1.063327930450183</x:v>
      </x:c>
      <x:c r="H1571" s="32" t="n">
        <x:v>501945.57073113474</x:v>
      </x:c>
      <x:c r="I1571" s="50" t="b">
        <x:v>1</x:v>
      </x:c>
      <x:c r="J1571" s="50" t="b">
        <x:v>0</x:v>
      </x:c>
      <x:c r="K1571" s="31"/>
      <x:c r="L1571" s="31"/>
    </x:row>
    <x:row r="1572">
      <x:c r="A1572" s="31"/>
      <x:c r="B1572" s="31"/>
      <x:c r="C1572" s="31"/>
      <x:c r="D1572" s="31" t="n">
        <x:v>1568</x:v>
      </x:c>
      <x:c r="E1572" s="42" t="n">
        <x:v>0.01092026810923994</x:v>
      </x:c>
      <x:c r="F1572" s="42" t="n">
        <x:v>0.0033160520236115666</x:v>
      </x:c>
      <x:c r="G1572" s="43" t="n">
        <x:v>0.9953514299050965</x:v>
      </x:c>
      <x:c r="H1572" s="32" t="n">
        <x:v>977885.4869542405</x:v>
      </x:c>
      <x:c r="I1572" s="50" t="b">
        <x:v>1</x:v>
      </x:c>
      <x:c r="J1572" s="50" t="b">
        <x:v>0</x:v>
      </x:c>
      <x:c r="K1572" s="31"/>
      <x:c r="L1572" s="31"/>
    </x:row>
    <x:row r="1573">
      <x:c r="A1573" s="31"/>
      <x:c r="B1573" s="31"/>
      <x:c r="C1573" s="31"/>
      <x:c r="D1573" s="31" t="n">
        <x:v>1569</x:v>
      </x:c>
      <x:c r="E1573" s="42" t="n">
        <x:v>-0.0005336133866323779</x:v>
      </x:c>
      <x:c r="F1573" s="42" t="n">
        <x:v>0.008917481613088639</x:v>
      </x:c>
      <x:c r="G1573" s="43" t="n">
        <x:v>0.969228081045086</x:v>
      </x:c>
      <x:c r="H1573" s="32" t="n">
        <x:v>1096313.4170549894</x:v>
      </x:c>
      <x:c r="I1573" s="50" t="b">
        <x:v>0</x:v>
      </x:c>
      <x:c r="J1573" s="50" t="b">
        <x:v>0</x:v>
      </x:c>
      <x:c r="K1573" s="31"/>
      <x:c r="L1573" s="31"/>
    </x:row>
    <x:row r="1574">
      <x:c r="A1574" s="31"/>
      <x:c r="B1574" s="31"/>
      <x:c r="C1574" s="31"/>
      <x:c r="D1574" s="31" t="n">
        <x:v>1570</x:v>
      </x:c>
      <x:c r="E1574" s="42" t="n">
        <x:v>0.008071981792713567</x:v>
      </x:c>
      <x:c r="F1574" s="42" t="n">
        <x:v>0.01415648432989002</x:v>
      </x:c>
      <x:c r="G1574" s="43" t="n">
        <x:v>1.040053212822149</x:v>
      </x:c>
      <x:c r="H1574" s="32" t="n">
        <x:v>655894.6546397496</x:v>
      </x:c>
      <x:c r="I1574" s="50" t="b">
        <x:v>1</x:v>
      </x:c>
      <x:c r="J1574" s="50" t="b">
        <x:v>0</x:v>
      </x:c>
      <x:c r="K1574" s="31"/>
      <x:c r="L1574" s="31"/>
    </x:row>
    <x:row r="1575">
      <x:c r="A1575" s="31"/>
      <x:c r="B1575" s="31"/>
      <x:c r="C1575" s="31"/>
      <x:c r="D1575" s="31" t="n">
        <x:v>1571</x:v>
      </x:c>
      <x:c r="E1575" s="42" t="n">
        <x:v>0.009021191151334906</x:v>
      </x:c>
      <x:c r="F1575" s="42" t="n">
        <x:v>-0.01146230473369567</x:v>
      </x:c>
      <x:c r="G1575" s="43" t="n">
        <x:v>0.9448482828470394</x:v>
      </x:c>
      <x:c r="H1575" s="32" t="n">
        <x:v>1334465.9993481778</x:v>
      </x:c>
      <x:c r="I1575" s="50" t="b">
        <x:v>0</x:v>
      </x:c>
      <x:c r="J1575" s="50" t="b">
        <x:v>0</x:v>
      </x:c>
      <x:c r="K1575" s="31"/>
      <x:c r="L1575" s="31"/>
    </x:row>
    <x:row r="1576">
      <x:c r="A1576" s="31"/>
      <x:c r="B1576" s="31"/>
      <x:c r="C1576" s="31"/>
      <x:c r="D1576" s="31" t="n">
        <x:v>1572</x:v>
      </x:c>
      <x:c r="E1576" s="42" t="n">
        <x:v>-0.015403016465128533</x:v>
      </x:c>
      <x:c r="F1576" s="42" t="n">
        <x:v>0.0026409248570152645</x:v>
      </x:c>
      <x:c r="G1576" s="43" t="n">
        <x:v>0.9858628528931623</x:v>
      </x:c>
      <x:c r="H1576" s="32" t="n">
        <x:v>966752.456390062</x:v>
      </x:c>
      <x:c r="I1576" s="50" t="b">
        <x:v>1</x:v>
      </x:c>
      <x:c r="J1576" s="50" t="b">
        <x:v>0</x:v>
      </x:c>
      <x:c r="K1576" s="31"/>
      <x:c r="L1576" s="31"/>
    </x:row>
    <x:row r="1577">
      <x:c r="A1577" s="31"/>
      <x:c r="B1577" s="31"/>
      <x:c r="C1577" s="31"/>
      <x:c r="D1577" s="31" t="n">
        <x:v>1573</x:v>
      </x:c>
      <x:c r="E1577" s="42" t="n">
        <x:v>0.003058212330685993</x:v>
      </x:c>
      <x:c r="F1577" s="42" t="n">
        <x:v>0.00892498245262204</x:v>
      </x:c>
      <x:c r="G1577" s="43" t="n">
        <x:v>1.0131046340949048</x:v>
      </x:c>
      <x:c r="H1577" s="32" t="n">
        <x:v>827643.2783128561</x:v>
      </x:c>
      <x:c r="I1577" s="50" t="b">
        <x:v>1</x:v>
      </x:c>
      <x:c r="J1577" s="50" t="b">
        <x:v>0</x:v>
      </x:c>
      <x:c r="K1577" s="31"/>
      <x:c r="L1577" s="31"/>
    </x:row>
    <x:row r="1578">
      <x:c r="A1578" s="31"/>
      <x:c r="B1578" s="31"/>
      <x:c r="C1578" s="31"/>
      <x:c r="D1578" s="31" t="n">
        <x:v>1574</x:v>
      </x:c>
      <x:c r="E1578" s="42" t="n">
        <x:v>-0.0055730598439412676</x:v>
      </x:c>
      <x:c r="F1578" s="42" t="n">
        <x:v>-0.002278213519428528</x:v>
      </x:c>
      <x:c r="G1578" s="43" t="n">
        <x:v>1.0176775422486335</x:v>
      </x:c>
      <x:c r="H1578" s="32" t="n">
        <x:v>805761.079773165</x:v>
      </x:c>
      <x:c r="I1578" s="50" t="b">
        <x:v>1</x:v>
      </x:c>
      <x:c r="J1578" s="50" t="b">
        <x:v>0</x:v>
      </x:c>
      <x:c r="K1578" s="31"/>
      <x:c r="L1578" s="31"/>
    </x:row>
    <x:row r="1579">
      <x:c r="A1579" s="31"/>
      <x:c r="B1579" s="31"/>
      <x:c r="C1579" s="31"/>
      <x:c r="D1579" s="31" t="n">
        <x:v>1575</x:v>
      </x:c>
      <x:c r="E1579" s="42" t="n">
        <x:v>-0.003253867655659743</x:v>
      </x:c>
      <x:c r="F1579" s="42" t="n">
        <x:v>-0.00017212160629155512</x:v>
      </x:c>
      <x:c r="G1579" s="43" t="n">
        <x:v>1.004478808289261</x:v>
      </x:c>
      <x:c r="H1579" s="32" t="n">
        <x:v>890175.5574739912</x:v>
      </x:c>
      <x:c r="I1579" s="50" t="b">
        <x:v>1</x:v>
      </x:c>
      <x:c r="J1579" s="50" t="b">
        <x:v>0</x:v>
      </x:c>
      <x:c r="K1579" s="31"/>
      <x:c r="L1579" s="31"/>
    </x:row>
    <x:row r="1580">
      <x:c r="A1580" s="31"/>
      <x:c r="B1580" s="31"/>
      <x:c r="C1580" s="31"/>
      <x:c r="D1580" s="31" t="n">
        <x:v>1576</x:v>
      </x:c>
      <x:c r="E1580" s="42" t="n">
        <x:v>0.00027312831783470954</x:v>
      </x:c>
      <x:c r="F1580" s="42" t="n">
        <x:v>0.004797825756578396</x:v>
      </x:c>
      <x:c r="G1580" s="43" t="n">
        <x:v>1.0675547708403343</x:v>
      </x:c>
      <x:c r="H1580" s="32" t="n">
        <x:v>485582.03590430226</x:v>
      </x:c>
      <x:c r="I1580" s="50" t="b">
        <x:v>1</x:v>
      </x:c>
      <x:c r="J1580" s="50" t="b">
        <x:v>0</x:v>
      </x:c>
      <x:c r="K1580" s="31"/>
      <x:c r="L1580" s="31"/>
    </x:row>
    <x:row r="1581">
      <x:c r="A1581" s="31"/>
      <x:c r="B1581" s="31"/>
      <x:c r="C1581" s="31"/>
      <x:c r="D1581" s="31" t="n">
        <x:v>1577</x:v>
      </x:c>
      <x:c r="E1581" s="42" t="n">
        <x:v>-0.01493631163106217</x:v>
      </x:c>
      <x:c r="F1581" s="42" t="n">
        <x:v>-0.0050451855608496885</x:v>
      </x:c>
      <x:c r="G1581" s="43" t="n">
        <x:v>1.073984810582787</x:v>
      </x:c>
      <x:c r="H1581" s="32" t="n">
        <x:v>429809.15655265306</x:v>
      </x:c>
      <x:c r="I1581" s="50" t="b">
        <x:v>1</x:v>
      </x:c>
      <x:c r="J1581" s="50" t="b">
        <x:v>0</x:v>
      </x:c>
      <x:c r="K1581" s="31"/>
      <x:c r="L1581" s="31"/>
    </x:row>
    <x:row r="1582">
      <x:c r="A1582" s="31"/>
      <x:c r="B1582" s="31"/>
      <x:c r="C1582" s="31"/>
      <x:c r="D1582" s="31" t="n">
        <x:v>1578</x:v>
      </x:c>
      <x:c r="E1582" s="42" t="n">
        <x:v>-0.01610469912560253</x:v>
      </x:c>
      <x:c r="F1582" s="42" t="n">
        <x:v>-0.003368706075075942</x:v>
      </x:c>
      <x:c r="G1582" s="43" t="n">
        <x:v>1.1182924481567031</x:v>
      </x:c>
      <x:c r="H1582" s="32" t="n">
        <x:v>140505.5277274613</x:v>
      </x:c>
      <x:c r="I1582" s="50" t="b">
        <x:v>1</x:v>
      </x:c>
      <x:c r="J1582" s="50" t="b">
        <x:v>0</x:v>
      </x:c>
      <x:c r="K1582" s="31"/>
      <x:c r="L1582" s="31"/>
    </x:row>
    <x:row r="1583">
      <x:c r="A1583" s="31"/>
      <x:c r="B1583" s="31"/>
      <x:c r="C1583" s="31"/>
      <x:c r="D1583" s="31" t="n">
        <x:v>1579</x:v>
      </x:c>
      <x:c r="E1583" s="42" t="n">
        <x:v>0.010255541896580005</x:v>
      </x:c>
      <x:c r="F1583" s="42" t="n">
        <x:v>0.004684428425303827</x:v>
      </x:c>
      <x:c r="G1583" s="43" t="n">
        <x:v>1.0019944239633807</x:v>
      </x:c>
      <x:c r="H1583" s="32" t="n">
        <x:v>930038.5837330477</x:v>
      </x:c>
      <x:c r="I1583" s="50" t="b">
        <x:v>1</x:v>
      </x:c>
      <x:c r="J1583" s="50" t="b">
        <x:v>0</x:v>
      </x:c>
      <x:c r="K1583" s="31"/>
      <x:c r="L1583" s="31"/>
    </x:row>
    <x:row r="1584">
      <x:c r="A1584" s="31"/>
      <x:c r="B1584" s="31"/>
      <x:c r="C1584" s="31"/>
      <x:c r="D1584" s="31" t="n">
        <x:v>1580</x:v>
      </x:c>
      <x:c r="E1584" s="42" t="n">
        <x:v>-0.015730916874468495</x:v>
      </x:c>
      <x:c r="F1584" s="42" t="n">
        <x:v>-0.002190926647237348</x:v>
      </x:c>
      <x:c r="G1584" s="43" t="n">
        <x:v>1.0586508122907643</x:v>
      </x:c>
      <x:c r="H1584" s="32" t="n">
        <x:v>517034.2114182578</x:v>
      </x:c>
      <x:c r="I1584" s="50" t="b">
        <x:v>1</x:v>
      </x:c>
      <x:c r="J1584" s="50" t="b">
        <x:v>0</x:v>
      </x:c>
      <x:c r="K1584" s="31"/>
      <x:c r="L1584" s="31"/>
    </x:row>
    <x:row r="1585">
      <x:c r="A1585" s="31"/>
      <x:c r="B1585" s="31"/>
      <x:c r="C1585" s="31"/>
      <x:c r="D1585" s="31" t="n">
        <x:v>1581</x:v>
      </x:c>
      <x:c r="E1585" s="42" t="n">
        <x:v>0.004745992934966326</x:v>
      </x:c>
      <x:c r="F1585" s="42" t="n">
        <x:v>-0.0029759276341047194</x:v>
      </x:c>
      <x:c r="G1585" s="43" t="n">
        <x:v>0.9395787965173008</x:v>
      </x:c>
      <x:c r="H1585" s="32" t="n">
        <x:v>1332408.8417728595</x:v>
      </x:c>
      <x:c r="I1585" s="50" t="b">
        <x:v>0</x:v>
      </x:c>
      <x:c r="J1585" s="50" t="b">
        <x:v>0</x:v>
      </x:c>
      <x:c r="K1585" s="31"/>
      <x:c r="L1585" s="31"/>
    </x:row>
    <x:row r="1586">
      <x:c r="A1586" s="31"/>
      <x:c r="B1586" s="31"/>
      <x:c r="C1586" s="31"/>
      <x:c r="D1586" s="31" t="n">
        <x:v>1582</x:v>
      </x:c>
      <x:c r="E1586" s="42" t="n">
        <x:v>-0.029287883067825777</x:v>
      </x:c>
      <x:c r="F1586" s="42" t="n">
        <x:v>0.016605984356084756</x:v>
      </x:c>
      <x:c r="G1586" s="43" t="n">
        <x:v>0.9778920870883552</x:v>
      </x:c>
      <x:c r="H1586" s="32" t="n">
        <x:v>939851.577738604</x:v>
      </x:c>
      <x:c r="I1586" s="50" t="b">
        <x:v>1</x:v>
      </x:c>
      <x:c r="J1586" s="50" t="b">
        <x:v>0</x:v>
      </x:c>
      <x:c r="K1586" s="31"/>
      <x:c r="L1586" s="31"/>
    </x:row>
    <x:row r="1587">
      <x:c r="A1587" s="31"/>
      <x:c r="B1587" s="31"/>
      <x:c r="C1587" s="31"/>
      <x:c r="D1587" s="31" t="n">
        <x:v>1583</x:v>
      </x:c>
      <x:c r="E1587" s="42" t="n">
        <x:v>0.015890723700627087</x:v>
      </x:c>
      <x:c r="F1587" s="42" t="n">
        <x:v>-0.008636334925286657</x:v>
      </x:c>
      <x:c r="G1587" s="43" t="n">
        <x:v>0.9702477607084966</x:v>
      </x:c>
      <x:c r="H1587" s="32" t="n">
        <x:v>1184416.6728145783</x:v>
      </x:c>
      <x:c r="I1587" s="50" t="b">
        <x:v>0</x:v>
      </x:c>
      <x:c r="J1587" s="50" t="b">
        <x:v>0</x:v>
      </x:c>
      <x:c r="K1587" s="31"/>
      <x:c r="L1587" s="31"/>
    </x:row>
    <x:row r="1588">
      <x:c r="A1588" s="31"/>
      <x:c r="B1588" s="31"/>
      <x:c r="C1588" s="31"/>
      <x:c r="D1588" s="31" t="n">
        <x:v>1584</x:v>
      </x:c>
      <x:c r="E1588" s="42" t="n">
        <x:v>-0.004091071545128343</x:v>
      </x:c>
      <x:c r="F1588" s="42" t="n">
        <x:v>-0.009659339424653185</x:v>
      </x:c>
      <x:c r="G1588" s="43" t="n">
        <x:v>1.0009654372448624</x:v>
      </x:c>
      <x:c r="H1588" s="32" t="n">
        <x:v>936565.4573856222</x:v>
      </x:c>
      <x:c r="I1588" s="50" t="b">
        <x:v>1</x:v>
      </x:c>
      <x:c r="J1588" s="50" t="b">
        <x:v>0</x:v>
      </x:c>
      <x:c r="K1588" s="31"/>
      <x:c r="L1588" s="31"/>
    </x:row>
    <x:row r="1589">
      <x:c r="A1589" s="31"/>
      <x:c r="B1589" s="31"/>
      <x:c r="C1589" s="31"/>
      <x:c r="D1589" s="31" t="n">
        <x:v>1585</x:v>
      </x:c>
      <x:c r="E1589" s="42" t="n">
        <x:v>-0.01310147240634431</x:v>
      </x:c>
      <x:c r="F1589" s="42" t="n">
        <x:v>0.00011489922004627432</x:v>
      </x:c>
      <x:c r="G1589" s="43" t="n">
        <x:v>0.9478039679404519</x:v>
      </x:c>
      <x:c r="H1589" s="32" t="n">
        <x:v>1221890.977483722</x:v>
      </x:c>
      <x:c r="I1589" s="50" t="b">
        <x:v>0</x:v>
      </x:c>
      <x:c r="J1589" s="50" t="b">
        <x:v>0</x:v>
      </x:c>
      <x:c r="K1589" s="31"/>
      <x:c r="L1589" s="31"/>
    </x:row>
    <x:row r="1590">
      <x:c r="A1590" s="31"/>
      <x:c r="B1590" s="31"/>
      <x:c r="C1590" s="31"/>
      <x:c r="D1590" s="31" t="n">
        <x:v>1586</x:v>
      </x:c>
      <x:c r="E1590" s="42" t="n">
        <x:v>-0.010328605112336806</x:v>
      </x:c>
      <x:c r="F1590" s="42" t="n">
        <x:v>0.003712575200531072</x:v>
      </x:c>
      <x:c r="G1590" s="43" t="n">
        <x:v>0.9960329216414983</x:v>
      </x:c>
      <x:c r="H1590" s="32" t="n">
        <x:v>913307.0911016975</x:v>
      </x:c>
      <x:c r="I1590" s="50" t="b">
        <x:v>1</x:v>
      </x:c>
      <x:c r="J1590" s="50" t="b">
        <x:v>0</x:v>
      </x:c>
      <x:c r="K1590" s="31"/>
      <x:c r="L1590" s="31"/>
    </x:row>
    <x:row r="1591">
      <x:c r="A1591" s="31"/>
      <x:c r="B1591" s="31"/>
      <x:c r="C1591" s="31"/>
      <x:c r="D1591" s="31" t="n">
        <x:v>1587</x:v>
      </x:c>
      <x:c r="E1591" s="42" t="n">
        <x:v>0.010942203131682515</x:v>
      </x:c>
      <x:c r="F1591" s="42" t="n">
        <x:v>0.0034336044291503436</x:v>
      </x:c>
      <x:c r="G1591" s="43" t="n">
        <x:v>0.9804620128491953</x:v>
      </x:c>
      <x:c r="H1591" s="32" t="n">
        <x:v>1072177.677263088</x:v>
      </x:c>
      <x:c r="I1591" s="50" t="b">
        <x:v>0</x:v>
      </x:c>
      <x:c r="J1591" s="50" t="b">
        <x:v>0</x:v>
      </x:c>
      <x:c r="K1591" s="31"/>
      <x:c r="L1591" s="31"/>
    </x:row>
    <x:row r="1592">
      <x:c r="A1592" s="31"/>
      <x:c r="B1592" s="31"/>
      <x:c r="C1592" s="31"/>
      <x:c r="D1592" s="31" t="n">
        <x:v>1588</x:v>
      </x:c>
      <x:c r="E1592" s="42" t="n">
        <x:v>0.008904822511271676</x:v>
      </x:c>
      <x:c r="F1592" s="42" t="n">
        <x:v>-0.004138069696604411</x:v>
      </x:c>
      <x:c r="G1592" s="43" t="n">
        <x:v>0.9665755305954987</x:v>
      </x:c>
      <x:c r="H1592" s="32" t="n">
        <x:v>1175771.5030234654</x:v>
      </x:c>
      <x:c r="I1592" s="50" t="b">
        <x:v>0</x:v>
      </x:c>
      <x:c r="J1592" s="50" t="b">
        <x:v>0</x:v>
      </x:c>
      <x:c r="K1592" s="31"/>
      <x:c r="L1592" s="31"/>
    </x:row>
    <x:row r="1593">
      <x:c r="A1593" s="31"/>
      <x:c r="B1593" s="31"/>
      <x:c r="C1593" s="31"/>
      <x:c r="D1593" s="31" t="n">
        <x:v>1589</x:v>
      </x:c>
      <x:c r="E1593" s="42" t="n">
        <x:v>-0.012190561198034026</x:v>
      </x:c>
      <x:c r="F1593" s="42" t="n">
        <x:v>-0.00751358740888582</x:v>
      </x:c>
      <x:c r="G1593" s="43" t="n">
        <x:v>0.936167955956371</x:v>
      </x:c>
      <x:c r="H1593" s="32" t="n">
        <x:v>1319557.4977049185</x:v>
      </x:c>
      <x:c r="I1593" s="50" t="b">
        <x:v>0</x:v>
      </x:c>
      <x:c r="J1593" s="50" t="b">
        <x:v>0</x:v>
      </x:c>
      <x:c r="K1593" s="31"/>
      <x:c r="L1593" s="31"/>
    </x:row>
    <x:row r="1594">
      <x:c r="A1594" s="31"/>
      <x:c r="B1594" s="31"/>
      <x:c r="C1594" s="31"/>
      <x:c r="D1594" s="31" t="n">
        <x:v>1590</x:v>
      </x:c>
      <x:c r="E1594" s="42" t="n">
        <x:v>-0.012653226715415664</x:v>
      </x:c>
      <x:c r="F1594" s="42" t="n">
        <x:v>0.008821135376158605</x:v>
      </x:c>
      <x:c r="G1594" s="43" t="n">
        <x:v>1.0540232587514746</x:v>
      </x:c>
      <x:c r="H1594" s="32" t="n">
        <x:v>524336.9537975348</x:v>
      </x:c>
      <x:c r="I1594" s="50" t="b">
        <x:v>1</x:v>
      </x:c>
      <x:c r="J1594" s="50" t="b">
        <x:v>0</x:v>
      </x:c>
      <x:c r="K1594" s="31"/>
      <x:c r="L1594" s="31"/>
    </x:row>
    <x:row r="1595">
      <x:c r="A1595" s="31"/>
      <x:c r="B1595" s="31"/>
      <x:c r="C1595" s="31"/>
      <x:c r="D1595" s="31" t="n">
        <x:v>1591</x:v>
      </x:c>
      <x:c r="E1595" s="42" t="n">
        <x:v>0.0031277139030260457</x:v>
      </x:c>
      <x:c r="F1595" s="42" t="n">
        <x:v>-0.005160532343799561</x:v>
      </x:c>
      <x:c r="G1595" s="43" t="n">
        <x:v>0.9983843319794005</x:v>
      </x:c>
      <x:c r="H1595" s="32" t="n">
        <x:v>960528.4239109254</x:v>
      </x:c>
      <x:c r="I1595" s="50" t="b">
        <x:v>1</x:v>
      </x:c>
      <x:c r="J1595" s="50" t="b">
        <x:v>0</x:v>
      </x:c>
      <x:c r="K1595" s="31"/>
      <x:c r="L1595" s="31"/>
    </x:row>
    <x:row r="1596">
      <x:c r="A1596" s="31"/>
      <x:c r="B1596" s="31"/>
      <x:c r="C1596" s="31"/>
      <x:c r="D1596" s="31" t="n">
        <x:v>1592</x:v>
      </x:c>
      <x:c r="E1596" s="42" t="n">
        <x:v>0.029516923644472084</x:v>
      </x:c>
      <x:c r="F1596" s="42" t="n">
        <x:v>0.0026318502810931854</x:v>
      </x:c>
      <x:c r="G1596" s="43" t="n">
        <x:v>0.9391098731022307</x:v>
      </x:c>
      <x:c r="H1596" s="32" t="n">
        <x:v>1388727.8981434815</x:v>
      </x:c>
      <x:c r="I1596" s="50" t="b">
        <x:v>0</x:v>
      </x:c>
      <x:c r="J1596" s="50" t="b">
        <x:v>0</x:v>
      </x:c>
      <x:c r="K1596" s="31"/>
      <x:c r="L1596" s="31"/>
    </x:row>
    <x:row r="1597">
      <x:c r="A1597" s="31"/>
      <x:c r="B1597" s="31"/>
      <x:c r="C1597" s="31"/>
      <x:c r="D1597" s="31" t="n">
        <x:v>1593</x:v>
      </x:c>
      <x:c r="E1597" s="42" t="n">
        <x:v>-0.009634829350876653</x:v>
      </x:c>
      <x:c r="F1597" s="42" t="n">
        <x:v>-0.0020117916760719287</x:v>
      </x:c>
      <x:c r="G1597" s="43" t="n">
        <x:v>0.9586598887775388</x:v>
      </x:c>
      <x:c r="H1597" s="32" t="n">
        <x:v>1168517.360733914</x:v>
      </x:c>
      <x:c r="I1597" s="50" t="b">
        <x:v>0</x:v>
      </x:c>
      <x:c r="J1597" s="50" t="b">
        <x:v>0</x:v>
      </x:c>
      <x:c r="K1597" s="31"/>
      <x:c r="L1597" s="31"/>
    </x:row>
    <x:row r="1598">
      <x:c r="A1598" s="31"/>
      <x:c r="B1598" s="31"/>
      <x:c r="C1598" s="31"/>
      <x:c r="D1598" s="31" t="n">
        <x:v>1594</x:v>
      </x:c>
      <x:c r="E1598" s="42" t="n">
        <x:v>0.008414050583241604</x:v>
      </x:c>
      <x:c r="F1598" s="42" t="n">
        <x:v>-0.007973876827162451</x:v>
      </x:c>
      <x:c r="G1598" s="43" t="n">
        <x:v>0.9519938999537738</x:v>
      </x:c>
      <x:c r="H1598" s="32" t="n">
        <x:v>1277686.1643579653</x:v>
      </x:c>
      <x:c r="I1598" s="50" t="b">
        <x:v>0</x:v>
      </x:c>
      <x:c r="J1598" s="50" t="b">
        <x:v>0</x:v>
      </x:c>
      <x:c r="K1598" s="31"/>
      <x:c r="L1598" s="31"/>
    </x:row>
    <x:row r="1599">
      <x:c r="A1599" s="31"/>
      <x:c r="B1599" s="31"/>
      <x:c r="C1599" s="31"/>
      <x:c r="D1599" s="31" t="n">
        <x:v>1595</x:v>
      </x:c>
      <x:c r="E1599" s="42" t="n">
        <x:v>-0.009063784129795329</x:v>
      </x:c>
      <x:c r="F1599" s="42" t="n">
        <x:v>-0.0030073849663532493</x:v>
      </x:c>
      <x:c r="G1599" s="43" t="n">
        <x:v>0.9845964051414523</x:v>
      </x:c>
      <x:c r="H1599" s="32" t="n">
        <x:v>1008162.8858665265</x:v>
      </x:c>
      <x:c r="I1599" s="50" t="b">
        <x:v>0</x:v>
      </x:c>
      <x:c r="J1599" s="50" t="b">
        <x:v>0</x:v>
      </x:c>
      <x:c r="K1599" s="31"/>
      <x:c r="L1599" s="31"/>
    </x:row>
    <x:row r="1600">
      <x:c r="A1600" s="31"/>
      <x:c r="B1600" s="31"/>
      <x:c r="C1600" s="31"/>
      <x:c r="D1600" s="31" t="n">
        <x:v>1596</x:v>
      </x:c>
      <x:c r="E1600" s="42" t="n">
        <x:v>-0.015472610607573474</x:v>
      </x:c>
      <x:c r="F1600" s="42" t="n">
        <x:v>0.007469726555991057</x:v>
      </x:c>
      <x:c r="G1600" s="43" t="n">
        <x:v>0.9806795621144497</x:v>
      </x:c>
      <x:c r="H1600" s="32" t="n">
        <x:v>986035.2303849112</x:v>
      </x:c>
      <x:c r="I1600" s="50" t="b">
        <x:v>1</x:v>
      </x:c>
      <x:c r="J1600" s="50" t="b">
        <x:v>0</x:v>
      </x:c>
      <x:c r="K1600" s="31"/>
      <x:c r="L1600" s="31"/>
    </x:row>
    <x:row r="1601">
      <x:c r="A1601" s="31"/>
      <x:c r="B1601" s="31"/>
      <x:c r="C1601" s="31"/>
      <x:c r="D1601" s="31" t="n">
        <x:v>1597</x:v>
      </x:c>
      <x:c r="E1601" s="42" t="n">
        <x:v>0.01662319210873518</x:v>
      </x:c>
      <x:c r="F1601" s="42" t="n">
        <x:v>0.01475929990993882</x:v>
      </x:c>
      <x:c r="G1601" s="43" t="n">
        <x:v>1.0570579999671617</x:v>
      </x:c>
      <x:c r="H1601" s="32" t="n">
        <x:v>570026.7459288037</x:v>
      </x:c>
      <x:c r="I1601" s="50" t="b">
        <x:v>1</x:v>
      </x:c>
      <x:c r="J1601" s="50" t="b">
        <x:v>0</x:v>
      </x:c>
      <x:c r="K1601" s="31"/>
      <x:c r="L1601" s="31"/>
    </x:row>
    <x:row r="1602">
      <x:c r="A1602" s="31"/>
      <x:c r="B1602" s="31"/>
      <x:c r="C1602" s="31"/>
      <x:c r="D1602" s="31" t="n">
        <x:v>1598</x:v>
      </x:c>
      <x:c r="E1602" s="42" t="n">
        <x:v>0.017275910376042307</x:v>
      </x:c>
      <x:c r="F1602" s="42" t="n">
        <x:v>-0.00041396317871862876</x:v>
      </x:c>
      <x:c r="G1602" s="43" t="n">
        <x:v>0.9828366748216614</x:v>
      </x:c>
      <x:c r="H1602" s="32" t="n">
        <x:v>1085436.6961675177</x:v>
      </x:c>
      <x:c r="I1602" s="50" t="b">
        <x:v>0</x:v>
      </x:c>
      <x:c r="J1602" s="50" t="b">
        <x:v>0</x:v>
      </x:c>
      <x:c r="K1602" s="31"/>
      <x:c r="L1602" s="31"/>
    </x:row>
    <x:row r="1603">
      <x:c r="A1603" s="31"/>
      <x:c r="B1603" s="31"/>
      <x:c r="C1603" s="31"/>
      <x:c r="D1603" s="31" t="n">
        <x:v>1599</x:v>
      </x:c>
      <x:c r="E1603" s="42" t="n">
        <x:v>0.02467827576830636</x:v>
      </x:c>
      <x:c r="F1603" s="42" t="n">
        <x:v>0.0077878530294317825</x:v>
      </x:c>
      <x:c r="G1603" s="43" t="n">
        <x:v>1.0062288289438621</x:v>
      </x:c>
      <x:c r="H1603" s="32" t="n">
        <x:v>934654.6614348606</x:v>
      </x:c>
      <x:c r="I1603" s="50" t="b">
        <x:v>1</x:v>
      </x:c>
      <x:c r="J1603" s="50" t="b">
        <x:v>0</x:v>
      </x:c>
      <x:c r="K1603" s="31"/>
      <x:c r="L1603" s="31"/>
    </x:row>
    <x:row r="1604">
      <x:c r="A1604" s="31"/>
      <x:c r="B1604" s="31"/>
      <x:c r="C1604" s="31"/>
      <x:c r="D1604" s="31" t="n">
        <x:v>1600</x:v>
      </x:c>
      <x:c r="E1604" s="42" t="n">
        <x:v>0.00800237932361935</x:v>
      </x:c>
      <x:c r="F1604" s="42" t="n">
        <x:v>-0.006545601377095519</x:v>
      </x:c>
      <x:c r="G1604" s="43" t="n">
        <x:v>1.0281265864174802</x:v>
      </x:c>
      <x:c r="H1604" s="32" t="n">
        <x:v>789068.1535252959</x:v>
      </x:c>
      <x:c r="I1604" s="50" t="b">
        <x:v>1</x:v>
      </x:c>
      <x:c r="J1604" s="50" t="b">
        <x:v>0</x:v>
      </x:c>
      <x:c r="K1604" s="31"/>
      <x:c r="L1604" s="31"/>
    </x:row>
    <x:row r="1605">
      <x:c r="A1605" s="31"/>
      <x:c r="B1605" s="31"/>
      <x:c r="C1605" s="31"/>
      <x:c r="D1605" s="31" t="n">
        <x:v>1601</x:v>
      </x:c>
      <x:c r="E1605" s="42" t="n">
        <x:v>0.0009790280999483788</x:v>
      </x:c>
      <x:c r="F1605" s="42" t="n">
        <x:v>-0.0014746703170519094</x:v>
      </x:c>
      <x:c r="G1605" s="43" t="n">
        <x:v>0.9173513566536717</x:v>
      </x:c>
      <x:c r="H1605" s="32" t="n">
        <x:v>1458904.6138753365</x:v>
      </x:c>
      <x:c r="I1605" s="50" t="b">
        <x:v>0</x:v>
      </x:c>
      <x:c r="J1605" s="50" t="b">
        <x:v>0</x:v>
      </x:c>
      <x:c r="K1605" s="31"/>
      <x:c r="L1605" s="31"/>
    </x:row>
    <x:row r="1606">
      <x:c r="A1606" s="31"/>
      <x:c r="B1606" s="31"/>
      <x:c r="C1606" s="31"/>
      <x:c r="D1606" s="31" t="n">
        <x:v>1602</x:v>
      </x:c>
      <x:c r="E1606" s="42" t="n">
        <x:v>-0.0052744765113181494</x:v>
      </x:c>
      <x:c r="F1606" s="42" t="n">
        <x:v>0.00490993559573333</x:v>
      </x:c>
      <x:c r="G1606" s="43" t="n">
        <x:v>0.9637403732898013</x:v>
      </x:c>
      <x:c r="H1606" s="32" t="n">
        <x:v>1129123.043428755</x:v>
      </x:c>
      <x:c r="I1606" s="50" t="b">
        <x:v>0</x:v>
      </x:c>
      <x:c r="J1606" s="50" t="b">
        <x:v>0</x:v>
      </x:c>
      <x:c r="K1606" s="31"/>
      <x:c r="L1606" s="31"/>
    </x:row>
    <x:row r="1607">
      <x:c r="A1607" s="31"/>
      <x:c r="B1607" s="31"/>
      <x:c r="C1607" s="31"/>
      <x:c r="D1607" s="31" t="n">
        <x:v>1603</x:v>
      </x:c>
      <x:c r="E1607" s="42" t="n">
        <x:v>-0.000631990599808178</x:v>
      </x:c>
      <x:c r="F1607" s="42" t="n">
        <x:v>-0.006780248531267901</x:v>
      </x:c>
      <x:c r="G1607" s="43" t="n">
        <x:v>1.065194843795034</x:v>
      </x:c>
      <x:c r="H1607" s="32" t="n">
        <x:v>530277.6518628737</x:v>
      </x:c>
      <x:c r="I1607" s="50" t="b">
        <x:v>1</x:v>
      </x:c>
      <x:c r="J1607" s="50" t="b">
        <x:v>0</x:v>
      </x:c>
      <x:c r="K1607" s="31"/>
      <x:c r="L1607" s="31"/>
    </x:row>
    <x:row r="1608">
      <x:c r="A1608" s="31"/>
      <x:c r="B1608" s="31"/>
      <x:c r="C1608" s="31"/>
      <x:c r="D1608" s="31" t="n">
        <x:v>1604</x:v>
      </x:c>
      <x:c r="E1608" s="42" t="n">
        <x:v>0.004374703704117601</x:v>
      </x:c>
      <x:c r="F1608" s="42" t="n">
        <x:v>-0.006345670928701144</x:v>
      </x:c>
      <x:c r="G1608" s="43" t="n">
        <x:v>0.9856744153752433</x:v>
      </x:c>
      <x:c r="H1608" s="32" t="n">
        <x:v>1048015.2791460503</x:v>
      </x:c>
      <x:c r="I1608" s="50" t="b">
        <x:v>0</x:v>
      </x:c>
      <x:c r="J1608" s="50" t="b">
        <x:v>0</x:v>
      </x:c>
      <x:c r="K1608" s="31"/>
      <x:c r="L1608" s="31"/>
    </x:row>
    <x:row r="1609">
      <x:c r="A1609" s="31"/>
      <x:c r="B1609" s="31"/>
      <x:c r="C1609" s="31"/>
      <x:c r="D1609" s="31" t="n">
        <x:v>1605</x:v>
      </x:c>
      <x:c r="E1609" s="42" t="n">
        <x:v>0.002542995126327393</x:v>
      </x:c>
      <x:c r="F1609" s="42" t="n">
        <x:v>-0.00000961474628003712</x:v>
      </x:c>
      <x:c r="G1609" s="43" t="n">
        <x:v>1.046608711129342</x:v>
      </x:c>
      <x:c r="H1609" s="32" t="n">
        <x:v>638304.1914443166</x:v>
      </x:c>
      <x:c r="I1609" s="50" t="b">
        <x:v>1</x:v>
      </x:c>
      <x:c r="J1609" s="50" t="b">
        <x:v>0</x:v>
      </x:c>
      <x:c r="K1609" s="31"/>
      <x:c r="L1609" s="31"/>
    </x:row>
    <x:row r="1610">
      <x:c r="A1610" s="31"/>
      <x:c r="B1610" s="31"/>
      <x:c r="C1610" s="31"/>
      <x:c r="D1610" s="31" t="n">
        <x:v>1606</x:v>
      </x:c>
      <x:c r="E1610" s="42" t="n">
        <x:v>0.011793863513235275</x:v>
      </x:c>
      <x:c r="F1610" s="42" t="n">
        <x:v>0.00540114359996436</x:v>
      </x:c>
      <x:c r="G1610" s="43" t="n">
        <x:v>1.0656388413816875</x:v>
      </x:c>
      <x:c r="H1610" s="32" t="n">
        <x:v>528138.4180810885</x:v>
      </x:c>
      <x:c r="I1610" s="50" t="b">
        <x:v>1</x:v>
      </x:c>
      <x:c r="J1610" s="50" t="b">
        <x:v>0</x:v>
      </x:c>
      <x:c r="K1610" s="31"/>
      <x:c r="L1610" s="31"/>
    </x:row>
    <x:row r="1611">
      <x:c r="A1611" s="31"/>
      <x:c r="B1611" s="31"/>
      <x:c r="C1611" s="31"/>
      <x:c r="D1611" s="31" t="n">
        <x:v>1607</x:v>
      </x:c>
      <x:c r="E1611" s="42" t="n">
        <x:v>0.014972881033029543</x:v>
      </x:c>
      <x:c r="F1611" s="42" t="n">
        <x:v>0.003798954935344636</x:v>
      </x:c>
      <x:c r="G1611" s="43" t="n">
        <x:v>0.9761631581731078</x:v>
      </x:c>
      <x:c r="H1611" s="32" t="n">
        <x:v>1109680.9690788763</x:v>
      </x:c>
      <x:c r="I1611" s="50" t="b">
        <x:v>0</x:v>
      </x:c>
      <x:c r="J1611" s="50" t="b">
        <x:v>0</x:v>
      </x:c>
      <x:c r="K1611" s="31"/>
      <x:c r="L1611" s="31"/>
    </x:row>
    <x:row r="1612">
      <x:c r="A1612" s="31"/>
      <x:c r="B1612" s="31"/>
      <x:c r="C1612" s="31"/>
      <x:c r="D1612" s="31" t="n">
        <x:v>1608</x:v>
      </x:c>
      <x:c r="E1612" s="42" t="n">
        <x:v>0.005885315278545527</x:v>
      </x:c>
      <x:c r="F1612" s="42" t="n">
        <x:v>-0.0037925378375197453</x:v>
      </x:c>
      <x:c r="G1612" s="43" t="n">
        <x:v>0.9958498468858694</x:v>
      </x:c>
      <x:c r="H1612" s="32" t="n">
        <x:v>980492.2007724065</x:v>
      </x:c>
      <x:c r="I1612" s="50" t="b">
        <x:v>1</x:v>
      </x:c>
      <x:c r="J1612" s="50" t="b">
        <x:v>0</x:v>
      </x:c>
      <x:c r="K1612" s="31"/>
      <x:c r="L1612" s="31"/>
    </x:row>
    <x:row r="1613">
      <x:c r="A1613" s="31"/>
      <x:c r="B1613" s="31"/>
      <x:c r="C1613" s="31"/>
      <x:c r="D1613" s="31" t="n">
        <x:v>1609</x:v>
      </x:c>
      <x:c r="E1613" s="42" t="n">
        <x:v>-0.006897221322152188</x:v>
      </x:c>
      <x:c r="F1613" s="42" t="n">
        <x:v>-0.0016742763087683357</x:v>
      </x:c>
      <x:c r="G1613" s="43" t="n">
        <x:v>0.985943357913136</x:v>
      </x:c>
      <x:c r="H1613" s="32" t="n">
        <x:v>1001928.7199173411</x:v>
      </x:c>
      <x:c r="I1613" s="50" t="b">
        <x:v>0</x:v>
      </x:c>
      <x:c r="J1613" s="50" t="b">
        <x:v>0</x:v>
      </x:c>
      <x:c r="K1613" s="31"/>
      <x:c r="L1613" s="31"/>
    </x:row>
    <x:row r="1614">
      <x:c r="A1614" s="31"/>
      <x:c r="B1614" s="31"/>
      <x:c r="C1614" s="31"/>
      <x:c r="D1614" s="31" t="n">
        <x:v>1610</x:v>
      </x:c>
      <x:c r="E1614" s="42" t="n">
        <x:v>-0.012105282129616578</x:v>
      </x:c>
      <x:c r="F1614" s="42" t="n">
        <x:v>-0.0050767734090619646</x:v>
      </x:c>
      <x:c r="G1614" s="43" t="n">
        <x:v>0.9964703642787996</x:v>
      </x:c>
      <x:c r="H1614" s="32" t="n">
        <x:v>930048.9473680004</x:v>
      </x:c>
      <x:c r="I1614" s="50" t="b">
        <x:v>1</x:v>
      </x:c>
      <x:c r="J1614" s="50" t="b">
        <x:v>0</x:v>
      </x:c>
      <x:c r="K1614" s="31"/>
      <x:c r="L1614" s="31"/>
    </x:row>
    <x:row r="1615">
      <x:c r="A1615" s="31"/>
      <x:c r="B1615" s="31"/>
      <x:c r="C1615" s="31"/>
      <x:c r="D1615" s="31" t="n">
        <x:v>1611</x:v>
      </x:c>
      <x:c r="E1615" s="42" t="n">
        <x:v>-0.0025488941236994837</x:v>
      </x:c>
      <x:c r="F1615" s="42" t="n">
        <x:v>0.007566225434040483</x:v>
      </x:c>
      <x:c r="G1615" s="43" t="n">
        <x:v>1.0256742113624162</x:v>
      </x:c>
      <x:c r="H1615" s="32" t="n">
        <x:v>735992.1857066161</x:v>
      </x:c>
      <x:c r="I1615" s="50" t="b">
        <x:v>1</x:v>
      </x:c>
      <x:c r="J1615" s="50" t="b">
        <x:v>0</x:v>
      </x:c>
      <x:c r="K1615" s="31"/>
      <x:c r="L1615" s="31"/>
    </x:row>
    <x:row r="1616">
      <x:c r="A1616" s="31"/>
      <x:c r="B1616" s="31"/>
      <x:c r="C1616" s="31"/>
      <x:c r="D1616" s="31" t="n">
        <x:v>1612</x:v>
      </x:c>
      <x:c r="E1616" s="42" t="n">
        <x:v>0.01811793016880706</x:v>
      </x:c>
      <x:c r="F1616" s="42" t="n">
        <x:v>-0.002420862851768293</x:v>
      </x:c>
      <x:c r="G1616" s="43" t="n">
        <x:v>0.982380627894894</x:v>
      </x:c>
      <x:c r="H1616" s="32" t="n">
        <x:v>1096262.9476211371</x:v>
      </x:c>
      <x:c r="I1616" s="50" t="b">
        <x:v>0</x:v>
      </x:c>
      <x:c r="J1616" s="50" t="b">
        <x:v>0</x:v>
      </x:c>
      <x:c r="K1616" s="31"/>
      <x:c r="L1616" s="31"/>
    </x:row>
    <x:row r="1617">
      <x:c r="A1617" s="31"/>
      <x:c r="B1617" s="31"/>
      <x:c r="C1617" s="31"/>
      <x:c r="D1617" s="31" t="n">
        <x:v>1613</x:v>
      </x:c>
      <x:c r="E1617" s="42" t="n">
        <x:v>-0.01220064543650338</x:v>
      </x:c>
      <x:c r="F1617" s="42" t="n">
        <x:v>-0.0046964570238811265</x:v>
      </x:c>
      <x:c r="G1617" s="43" t="n">
        <x:v>1.0336122851240406</x:v>
      </x:c>
      <x:c r="H1617" s="32" t="n">
        <x:v>692847.3800676216</x:v>
      </x:c>
      <x:c r="I1617" s="50" t="b">
        <x:v>1</x:v>
      </x:c>
      <x:c r="J1617" s="50" t="b">
        <x:v>0</x:v>
      </x:c>
      <x:c r="K1617" s="31"/>
      <x:c r="L1617" s="31"/>
    </x:row>
    <x:row r="1618">
      <x:c r="A1618" s="31"/>
      <x:c r="B1618" s="31"/>
      <x:c r="C1618" s="31"/>
      <x:c r="D1618" s="31" t="n">
        <x:v>1614</x:v>
      </x:c>
      <x:c r="E1618" s="42" t="n">
        <x:v>-0.007502238190097263</x:v>
      </x:c>
      <x:c r="F1618" s="42" t="n">
        <x:v>-0.006231610589842752</x:v>
      </x:c>
      <x:c r="G1618" s="43" t="n">
        <x:v>0.9912628270859487</x:v>
      </x:c>
      <x:c r="H1618" s="32" t="n">
        <x:v>979147.6863982889</x:v>
      </x:c>
      <x:c r="I1618" s="50" t="b">
        <x:v>1</x:v>
      </x:c>
      <x:c r="J1618" s="50" t="b">
        <x:v>0</x:v>
      </x:c>
      <x:c r="K1618" s="31"/>
      <x:c r="L1618" s="31"/>
    </x:row>
    <x:row r="1619">
      <x:c r="A1619" s="31"/>
      <x:c r="B1619" s="31"/>
      <x:c r="C1619" s="31"/>
      <x:c r="D1619" s="31" t="n">
        <x:v>1615</x:v>
      </x:c>
      <x:c r="E1619" s="42" t="n">
        <x:v>0.007877754498702365</x:v>
      </x:c>
      <x:c r="F1619" s="42" t="n">
        <x:v>0.013112739185503626</x:v>
      </x:c>
      <x:c r="G1619" s="43" t="n">
        <x:v>1.072485254872716</x:v>
      </x:c>
      <x:c r="H1619" s="32" t="n">
        <x:v>452292.8700900264</x:v>
      </x:c>
      <x:c r="I1619" s="50" t="b">
        <x:v>1</x:v>
      </x:c>
      <x:c r="J1619" s="50" t="b">
        <x:v>0</x:v>
      </x:c>
      <x:c r="K1619" s="31"/>
      <x:c r="L1619" s="31"/>
    </x:row>
    <x:row r="1620">
      <x:c r="A1620" s="31"/>
      <x:c r="B1620" s="31"/>
      <x:c r="C1620" s="31"/>
      <x:c r="D1620" s="31" t="n">
        <x:v>1616</x:v>
      </x:c>
      <x:c r="E1620" s="42" t="n">
        <x:v>-0.00557439100036048</x:v>
      </x:c>
      <x:c r="F1620" s="42" t="n">
        <x:v>-0.0009283873325418911</x:v>
      </x:c>
      <x:c r="G1620" s="43" t="n">
        <x:v>0.9382821450278418</x:v>
      </x:c>
      <x:c r="H1620" s="32" t="n">
        <x:v>1306217.1057913816</x:v>
      </x:c>
      <x:c r="I1620" s="50" t="b">
        <x:v>0</x:v>
      </x:c>
      <x:c r="J1620" s="50" t="b">
        <x:v>0</x:v>
      </x:c>
      <x:c r="K1620" s="31"/>
      <x:c r="L1620" s="31"/>
    </x:row>
    <x:row r="1621">
      <x:c r="A1621" s="31"/>
      <x:c r="B1621" s="31"/>
      <x:c r="C1621" s="31"/>
      <x:c r="D1621" s="31" t="n">
        <x:v>1617</x:v>
      </x:c>
      <x:c r="E1621" s="42" t="n">
        <x:v>-0.014394590327377265</x:v>
      </x:c>
      <x:c r="F1621" s="42" t="n">
        <x:v>-0.00478680808914366</x:v>
      </x:c>
      <x:c r="G1621" s="43" t="n">
        <x:v>0.8743418462327089</x:v>
      </x:c>
      <x:c r="H1621" s="32" t="n">
        <x:v>1698472.0668458627</x:v>
      </x:c>
      <x:c r="I1621" s="50" t="b">
        <x:v>0</x:v>
      </x:c>
      <x:c r="J1621" s="50" t="b">
        <x:v>0</x:v>
      </x:c>
      <x:c r="K1621" s="31"/>
      <x:c r="L1621" s="31"/>
    </x:row>
    <x:row r="1622">
      <x:c r="A1622" s="31"/>
      <x:c r="B1622" s="31"/>
      <x:c r="C1622" s="31"/>
      <x:c r="D1622" s="31" t="n">
        <x:v>1618</x:v>
      </x:c>
      <x:c r="E1622" s="42" t="n">
        <x:v>-0.0180898762779997</x:v>
      </x:c>
      <x:c r="F1622" s="42" t="n">
        <x:v>0.00790702210531707</x:v>
      </x:c>
      <x:c r="G1622" s="43" t="n">
        <x:v>1.0386938502394456</x:v>
      </x:c>
      <x:c r="H1622" s="32" t="n">
        <x:v>609100.9745564468</x:v>
      </x:c>
      <x:c r="I1622" s="50" t="b">
        <x:v>1</x:v>
      </x:c>
      <x:c r="J1622" s="50" t="b">
        <x:v>0</x:v>
      </x:c>
      <x:c r="K1622" s="31"/>
      <x:c r="L1622" s="31"/>
    </x:row>
    <x:row r="1623">
      <x:c r="A1623" s="31"/>
      <x:c r="B1623" s="31"/>
      <x:c r="C1623" s="31"/>
      <x:c r="D1623" s="31" t="n">
        <x:v>1619</x:v>
      </x:c>
      <x:c r="E1623" s="42" t="n">
        <x:v>-0.011745958230189039</x:v>
      </x:c>
      <x:c r="F1623" s="42" t="n">
        <x:v>0.008460780922409686</x:v>
      </x:c>
      <x:c r="G1623" s="43" t="n">
        <x:v>1.0594721606427515</x:v>
      </x:c>
      <x:c r="H1623" s="32" t="n">
        <x:v>493261.024269628</x:v>
      </x:c>
      <x:c r="I1623" s="50" t="b">
        <x:v>1</x:v>
      </x:c>
      <x:c r="J1623" s="50" t="b">
        <x:v>0</x:v>
      </x:c>
      <x:c r="K1623" s="31"/>
      <x:c r="L1623" s="31"/>
    </x:row>
    <x:row r="1624">
      <x:c r="A1624" s="31"/>
      <x:c r="B1624" s="31"/>
      <x:c r="C1624" s="31"/>
      <x:c r="D1624" s="31" t="n">
        <x:v>1620</x:v>
      </x:c>
      <x:c r="E1624" s="42" t="n">
        <x:v>-0.013175439461825155</x:v>
      </x:c>
      <x:c r="F1624" s="42" t="n">
        <x:v>-0.0012942809641118174</x:v>
      </x:c>
      <x:c r="G1624" s="43" t="n">
        <x:v>1.0291593436682067</x:v>
      </x:c>
      <x:c r="H1624" s="32" t="n">
        <x:v>708943.318758846</x:v>
      </x:c>
      <x:c r="I1624" s="50" t="b">
        <x:v>1</x:v>
      </x:c>
      <x:c r="J1624" s="50" t="b">
        <x:v>0</x:v>
      </x:c>
      <x:c r="K1624" s="31"/>
      <x:c r="L1624" s="31"/>
    </x:row>
    <x:row r="1625">
      <x:c r="A1625" s="31"/>
      <x:c r="B1625" s="31"/>
      <x:c r="C1625" s="31"/>
      <x:c r="D1625" s="31" t="n">
        <x:v>1621</x:v>
      </x:c>
      <x:c r="E1625" s="42" t="n">
        <x:v>0.017905855171195934</x:v>
      </x:c>
      <x:c r="F1625" s="42" t="n">
        <x:v>0.0021405213800522282</x:v>
      </x:c>
      <x:c r="G1625" s="43" t="n">
        <x:v>0.9679720878287748</x:v>
      </x:c>
      <x:c r="H1625" s="32" t="n">
        <x:v>1174480.3520041602</x:v>
      </x:c>
      <x:c r="I1625" s="50" t="b">
        <x:v>0</x:v>
      </x:c>
      <x:c r="J1625" s="50" t="b">
        <x:v>0</x:v>
      </x:c>
      <x:c r="K1625" s="31"/>
      <x:c r="L1625" s="31"/>
    </x:row>
    <x:row r="1626">
      <x:c r="A1626" s="31"/>
      <x:c r="B1626" s="31"/>
      <x:c r="C1626" s="31"/>
      <x:c r="D1626" s="31" t="n">
        <x:v>1622</x:v>
      </x:c>
      <x:c r="E1626" s="42" t="n">
        <x:v>-0.004712897864496937</x:v>
      </x:c>
      <x:c r="F1626" s="42" t="n">
        <x:v>-0.0067262750706879315</x:v>
      </x:c>
      <x:c r="G1626" s="43" t="n">
        <x:v>0.9393731230339116</x:v>
      </x:c>
      <x:c r="H1626" s="32" t="n">
        <x:v>1317825.1570680821</x:v>
      </x:c>
      <x:c r="I1626" s="50" t="b">
        <x:v>0</x:v>
      </x:c>
      <x:c r="J1626" s="50" t="b">
        <x:v>0</x:v>
      </x:c>
      <x:c r="K1626" s="31"/>
      <x:c r="L1626" s="31"/>
    </x:row>
    <x:row r="1627">
      <x:c r="A1627" s="31"/>
      <x:c r="B1627" s="31"/>
      <x:c r="C1627" s="31"/>
      <x:c r="D1627" s="31" t="n">
        <x:v>1623</x:v>
      </x:c>
      <x:c r="E1627" s="42" t="n">
        <x:v>0.016925934979073347</x:v>
      </x:c>
      <x:c r="F1627" s="42" t="n">
        <x:v>-0.0016774801339387029</x:v>
      </x:c>
      <x:c r="G1627" s="43" t="n">
        <x:v>0.945202456750414</x:v>
      </x:c>
      <x:c r="H1627" s="32" t="n">
        <x:v>1326983.4977222718</x:v>
      </x:c>
      <x:c r="I1627" s="50" t="b">
        <x:v>0</x:v>
      </x:c>
      <x:c r="J1627" s="50" t="b">
        <x:v>0</x:v>
      </x:c>
      <x:c r="K1627" s="31"/>
      <x:c r="L1627" s="31"/>
    </x:row>
    <x:row r="1628">
      <x:c r="A1628" s="31"/>
      <x:c r="B1628" s="31"/>
      <x:c r="C1628" s="31"/>
      <x:c r="D1628" s="31" t="n">
        <x:v>1624</x:v>
      </x:c>
      <x:c r="E1628" s="42" t="n">
        <x:v>0.008821939679050256</x:v>
      </x:c>
      <x:c r="F1628" s="42" t="n">
        <x:v>-0.009656249673201597</x:v>
      </x:c>
      <x:c r="G1628" s="43" t="n">
        <x:v>1.0024884122830207</x:v>
      </x:c>
      <x:c r="H1628" s="32" t="n">
        <x:v>962828.5398641282</x:v>
      </x:c>
      <x:c r="I1628" s="50" t="b">
        <x:v>1</x:v>
      </x:c>
      <x:c r="J1628" s="50" t="b">
        <x:v>0</x:v>
      </x:c>
      <x:c r="K1628" s="31"/>
      <x:c r="L1628" s="31"/>
    </x:row>
    <x:row r="1629">
      <x:c r="A1629" s="31"/>
      <x:c r="B1629" s="31"/>
      <x:c r="C1629" s="31"/>
      <x:c r="D1629" s="31" t="n">
        <x:v>1625</x:v>
      </x:c>
      <x:c r="E1629" s="42" t="n">
        <x:v>-0.008922976341482976</x:v>
      </x:c>
      <x:c r="F1629" s="42" t="n">
        <x:v>-0.007290492361133895</x:v>
      </x:c>
      <x:c r="G1629" s="43" t="n">
        <x:v>1.008171018333991</x:v>
      </x:c>
      <x:c r="H1629" s="32" t="n">
        <x:v>870761.4618556051</x:v>
      </x:c>
      <x:c r="I1629" s="50" t="b">
        <x:v>1</x:v>
      </x:c>
      <x:c r="J1629" s="50" t="b">
        <x:v>0</x:v>
      </x:c>
      <x:c r="K1629" s="31"/>
      <x:c r="L1629" s="31"/>
    </x:row>
    <x:row r="1630">
      <x:c r="A1630" s="31"/>
      <x:c r="B1630" s="31"/>
      <x:c r="C1630" s="31"/>
      <x:c r="D1630" s="31" t="n">
        <x:v>1626</x:v>
      </x:c>
      <x:c r="E1630" s="42" t="n">
        <x:v>0.008572550376851262</x:v>
      </x:c>
      <x:c r="F1630" s="42" t="n">
        <x:v>0.0009712923524649922</x:v>
      </x:c>
      <x:c r="G1630" s="43" t="n">
        <x:v>1.0121840482960045</x:v>
      </x:c>
      <x:c r="H1630" s="32" t="n">
        <x:v>870978.2050031989</x:v>
      </x:c>
      <x:c r="I1630" s="50" t="b">
        <x:v>1</x:v>
      </x:c>
      <x:c r="J1630" s="50" t="b">
        <x:v>0</x:v>
      </x:c>
      <x:c r="K1630" s="31"/>
      <x:c r="L1630" s="31"/>
    </x:row>
    <x:row r="1631">
      <x:c r="A1631" s="31"/>
      <x:c r="B1631" s="31"/>
      <x:c r="C1631" s="31"/>
      <x:c r="D1631" s="31" t="n">
        <x:v>1627</x:v>
      </x:c>
      <x:c r="E1631" s="42" t="n">
        <x:v>-0.00046955976792857574</x:v>
      </x:c>
      <x:c r="F1631" s="42" t="n">
        <x:v>0.003290682832364006</x:v>
      </x:c>
      <x:c r="G1631" s="43" t="n">
        <x:v>1.0178574291296898</x:v>
      </x:c>
      <x:c r="H1631" s="32" t="n">
        <x:v>803323.2298276778</x:v>
      </x:c>
      <x:c r="I1631" s="50" t="b">
        <x:v>1</x:v>
      </x:c>
      <x:c r="J1631" s="50" t="b">
        <x:v>0</x:v>
      </x:c>
      <x:c r="K1631" s="31"/>
      <x:c r="L1631" s="31"/>
    </x:row>
    <x:row r="1632">
      <x:c r="A1632" s="31"/>
      <x:c r="B1632" s="31"/>
      <x:c r="C1632" s="31"/>
      <x:c r="D1632" s="31" t="n">
        <x:v>1628</x:v>
      </x:c>
      <x:c r="E1632" s="42" t="n">
        <x:v>0.027662239153694857</x:v>
      </x:c>
      <x:c r="F1632" s="42" t="n">
        <x:v>-0.011222880982845355</x:v>
      </x:c>
      <x:c r="G1632" s="43" t="n">
        <x:v>0.9624347390930194</x:v>
      </x:c>
      <x:c r="H1632" s="32" t="n">
        <x:v>1274000.8759578543</x:v>
      </x:c>
      <x:c r="I1632" s="50" t="b">
        <x:v>0</x:v>
      </x:c>
      <x:c r="J1632" s="50" t="b">
        <x:v>0</x:v>
      </x:c>
      <x:c r="K1632" s="31"/>
      <x:c r="L1632" s="31"/>
    </x:row>
    <x:row r="1633">
      <x:c r="A1633" s="31"/>
      <x:c r="B1633" s="31"/>
      <x:c r="C1633" s="31"/>
      <x:c r="D1633" s="31" t="n">
        <x:v>1629</x:v>
      </x:c>
      <x:c r="E1633" s="42" t="n">
        <x:v>-0.0007348319926216434</x:v>
      </x:c>
      <x:c r="F1633" s="42" t="n">
        <x:v>-0.011352835868166645</x:v>
      </x:c>
      <x:c r="G1633" s="43" t="n">
        <x:v>0.9921236511997301</x:v>
      </x:c>
      <x:c r="H1633" s="32" t="n">
        <x:v>1006773.1128560158</x:v>
      </x:c>
      <x:c r="I1633" s="50" t="b">
        <x:v>0</x:v>
      </x:c>
      <x:c r="J1633" s="50" t="b">
        <x:v>0</x:v>
      </x:c>
      <x:c r="K1633" s="31"/>
      <x:c r="L1633" s="31"/>
    </x:row>
    <x:row r="1634">
      <x:c r="A1634" s="31"/>
      <x:c r="B1634" s="31"/>
      <x:c r="C1634" s="31"/>
      <x:c r="D1634" s="31" t="n">
        <x:v>1630</x:v>
      </x:c>
      <x:c r="E1634" s="42" t="n">
        <x:v>0.0075276001339733365</x:v>
      </x:c>
      <x:c r="F1634" s="42" t="n">
        <x:v>-0.007285138943618854</x:v>
      </x:c>
      <x:c r="G1634" s="43" t="n">
        <x:v>0.9841494012806313</x:v>
      </x:c>
      <x:c r="H1634" s="32" t="n">
        <x:v>1069091.3858500384</x:v>
      </x:c>
      <x:c r="I1634" s="50" t="b">
        <x:v>0</x:v>
      </x:c>
      <x:c r="J1634" s="50" t="b">
        <x:v>0</x:v>
      </x:c>
      <x:c r="K1634" s="31"/>
      <x:c r="L1634" s="31"/>
    </x:row>
    <x:row r="1635">
      <x:c r="A1635" s="31"/>
      <x:c r="B1635" s="31"/>
      <x:c r="C1635" s="31"/>
      <x:c r="D1635" s="31" t="n">
        <x:v>1631</x:v>
      </x:c>
      <x:c r="E1635" s="42" t="n">
        <x:v>-0.0010572719067082883</x:v>
      </x:c>
      <x:c r="F1635" s="42" t="n">
        <x:v>-0.0003255119092411157</x:v>
      </x:c>
      <x:c r="G1635" s="43" t="n">
        <x:v>1.0059205780347578</x:v>
      </x:c>
      <x:c r="H1635" s="32" t="n">
        <x:v>887560.5367537586</x:v>
      </x:c>
      <x:c r="I1635" s="50" t="b">
        <x:v>1</x:v>
      </x:c>
      <x:c r="J1635" s="50" t="b">
        <x:v>0</x:v>
      </x:c>
      <x:c r="K1635" s="31"/>
      <x:c r="L1635" s="31"/>
    </x:row>
    <x:row r="1636">
      <x:c r="A1636" s="31"/>
      <x:c r="B1636" s="31"/>
      <x:c r="C1636" s="31"/>
      <x:c r="D1636" s="31" t="n">
        <x:v>1632</x:v>
      </x:c>
      <x:c r="E1636" s="42" t="n">
        <x:v>0.0038227622899671696</x:v>
      </x:c>
      <x:c r="F1636" s="42" t="n">
        <x:v>-0.0016104844580350059</x:v>
      </x:c>
      <x:c r="G1636" s="43" t="n">
        <x:v>1.0519828670851545</x:v>
      </x:c>
      <x:c r="H1636" s="32" t="n">
        <x:v>612192.8115904538</x:v>
      </x:c>
      <x:c r="I1636" s="50" t="b">
        <x:v>1</x:v>
      </x:c>
      <x:c r="J1636" s="50" t="b">
        <x:v>0</x:v>
      </x:c>
      <x:c r="K1636" s="31"/>
      <x:c r="L1636" s="31"/>
    </x:row>
    <x:row r="1637">
      <x:c r="A1637" s="31"/>
      <x:c r="B1637" s="31"/>
      <x:c r="C1637" s="31"/>
      <x:c r="D1637" s="31" t="n">
        <x:v>1633</x:v>
      </x:c>
      <x:c r="E1637" s="42" t="n">
        <x:v>0.023083377596181325</x:v>
      </x:c>
      <x:c r="F1637" s="42" t="n">
        <x:v>-0.0002148378187372991</x:v>
      </x:c>
      <x:c r="G1637" s="43" t="n">
        <x:v>0.9477612576202443</x:v>
      </x:c>
      <x:c r="H1637" s="32" t="n">
        <x:v>1323801.3806901174</x:v>
      </x:c>
      <x:c r="I1637" s="50" t="b">
        <x:v>0</x:v>
      </x:c>
      <x:c r="J1637" s="50" t="b">
        <x:v>0</x:v>
      </x:c>
      <x:c r="K1637" s="31"/>
      <x:c r="L1637" s="31"/>
    </x:row>
    <x:row r="1638">
      <x:c r="A1638" s="31"/>
      <x:c r="B1638" s="31"/>
      <x:c r="C1638" s="31"/>
      <x:c r="D1638" s="31" t="n">
        <x:v>1634</x:v>
      </x:c>
      <x:c r="E1638" s="42" t="n">
        <x:v>-0.01625484733998829</x:v>
      </x:c>
      <x:c r="F1638" s="42" t="n">
        <x:v>0.005919276252886107</x:v>
      </x:c>
      <x:c r="G1638" s="43" t="n">
        <x:v>1.0040195147661637</x:v>
      </x:c>
      <x:c r="H1638" s="32" t="n">
        <x:v>839948.3405298374</x:v>
      </x:c>
      <x:c r="I1638" s="50" t="b">
        <x:v>1</x:v>
      </x:c>
      <x:c r="J1638" s="50" t="b">
        <x:v>0</x:v>
      </x:c>
      <x:c r="K1638" s="31"/>
      <x:c r="L1638" s="31"/>
    </x:row>
    <x:row r="1639">
      <x:c r="A1639" s="31"/>
      <x:c r="B1639" s="31"/>
      <x:c r="C1639" s="31"/>
      <x:c r="D1639" s="31" t="n">
        <x:v>1635</x:v>
      </x:c>
      <x:c r="E1639" s="42" t="n">
        <x:v>0.01828305747643181</x:v>
      </x:c>
      <x:c r="F1639" s="42" t="n">
        <x:v>0.0028841799122070596</x:v>
      </x:c>
      <x:c r="G1639" s="43" t="n">
        <x:v>1.0061824493903284</x:v>
      </x:c>
      <x:c r="H1639" s="32" t="n">
        <x:v>930797.4553913776</x:v>
      </x:c>
      <x:c r="I1639" s="50" t="b">
        <x:v>1</x:v>
      </x:c>
      <x:c r="J1639" s="50" t="b">
        <x:v>0</x:v>
      </x:c>
      <x:c r="K1639" s="31"/>
      <x:c r="L1639" s="31"/>
    </x:row>
    <x:row r="1640">
      <x:c r="A1640" s="31"/>
      <x:c r="B1640" s="31"/>
      <x:c r="C1640" s="31"/>
      <x:c r="D1640" s="31" t="n">
        <x:v>1636</x:v>
      </x:c>
      <x:c r="E1640" s="42" t="n">
        <x:v>-0.0060536987313077805</x:v>
      </x:c>
      <x:c r="F1640" s="42" t="n">
        <x:v>-0.0003634598473739445</x:v>
      </x:c>
      <x:c r="G1640" s="43" t="n">
        <x:v>0.9656786689405942</x:v>
      </x:c>
      <x:c r="H1640" s="32" t="n">
        <x:v>1129323.124075979</x:v>
      </x:c>
      <x:c r="I1640" s="50" t="b">
        <x:v>0</x:v>
      </x:c>
      <x:c r="J1640" s="50" t="b">
        <x:v>0</x:v>
      </x:c>
      <x:c r="K1640" s="31"/>
      <x:c r="L1640" s="31"/>
    </x:row>
    <x:row r="1641">
      <x:c r="A1641" s="31"/>
      <x:c r="B1641" s="31"/>
      <x:c r="C1641" s="31"/>
      <x:c r="D1641" s="31" t="n">
        <x:v>1637</x:v>
      </x:c>
      <x:c r="E1641" s="42" t="n">
        <x:v>0.00376205410144926</x:v>
      </x:c>
      <x:c r="F1641" s="42" t="n">
        <x:v>-0.003723149117330606</x:v>
      </x:c>
      <x:c r="G1641" s="43" t="n">
        <x:v>1.0033577268986646</x:v>
      </x:c>
      <x:c r="H1641" s="32" t="n">
        <x:v>926708.5558045792</x:v>
      </x:c>
      <x:c r="I1641" s="50" t="b">
        <x:v>1</x:v>
      </x:c>
      <x:c r="J1641" s="50" t="b">
        <x:v>0</x:v>
      </x:c>
      <x:c r="K1641" s="31"/>
      <x:c r="L1641" s="31"/>
    </x:row>
    <x:row r="1642">
      <x:c r="A1642" s="31"/>
      <x:c r="B1642" s="31"/>
      <x:c r="C1642" s="31"/>
      <x:c r="D1642" s="31" t="n">
        <x:v>1638</x:v>
      </x:c>
      <x:c r="E1642" s="42" t="n">
        <x:v>-0.00925523649663651</x:v>
      </x:c>
      <x:c r="F1642" s="42" t="n">
        <x:v>0.005489282483213857</x:v>
      </x:c>
      <x:c r="G1642" s="43" t="n">
        <x:v>1.0900116657646515</x:v>
      </x:c>
      <x:c r="H1642" s="32" t="n">
        <x:v>314517.7487265689</x:v>
      </x:c>
      <x:c r="I1642" s="50" t="b">
        <x:v>1</x:v>
      </x:c>
      <x:c r="J1642" s="50" t="b">
        <x:v>0</x:v>
      </x:c>
      <x:c r="K1642" s="31"/>
      <x:c r="L1642" s="31"/>
    </x:row>
    <x:row r="1643">
      <x:c r="A1643" s="31"/>
      <x:c r="B1643" s="31"/>
      <x:c r="C1643" s="31"/>
      <x:c r="D1643" s="31" t="n">
        <x:v>1639</x:v>
      </x:c>
      <x:c r="E1643" s="42" t="n">
        <x:v>-0.00020492014849393</x:v>
      </x:c>
      <x:c r="F1643" s="42" t="n">
        <x:v>0.004189204258513805</x:v>
      </x:c>
      <x:c r="G1643" s="43" t="n">
        <x:v>1.0274719217680384</x:v>
      </x:c>
      <x:c r="H1643" s="32" t="n">
        <x:v>740499.9682568221</x:v>
      </x:c>
      <x:c r="I1643" s="50" t="b">
        <x:v>1</x:v>
      </x:c>
      <x:c r="J1643" s="50" t="b">
        <x:v>0</x:v>
      </x:c>
      <x:c r="K1643" s="31"/>
      <x:c r="L1643" s="31"/>
    </x:row>
    <x:row r="1644">
      <x:c r="A1644" s="31"/>
      <x:c r="B1644" s="31"/>
      <x:c r="C1644" s="31"/>
      <x:c r="D1644" s="31" t="n">
        <x:v>1640</x:v>
      </x:c>
      <x:c r="E1644" s="42" t="n">
        <x:v>-0.012395478003875077</x:v>
      </x:c>
      <x:c r="F1644" s="42" t="n">
        <x:v>0.00905464121149378</x:v>
      </x:c>
      <x:c r="G1644" s="43" t="n">
        <x:v>0.9825585728446522</x:v>
      </x:c>
      <x:c r="H1644" s="32" t="n">
        <x:v>978255.8032150314</x:v>
      </x:c>
      <x:c r="I1644" s="50" t="b">
        <x:v>1</x:v>
      </x:c>
      <x:c r="J1644" s="50" t="b">
        <x:v>0</x:v>
      </x:c>
      <x:c r="K1644" s="31"/>
      <x:c r="L1644" s="31"/>
    </x:row>
    <x:row r="1645">
      <x:c r="A1645" s="31"/>
      <x:c r="B1645" s="31"/>
      <x:c r="C1645" s="31"/>
      <x:c r="D1645" s="31" t="n">
        <x:v>1641</x:v>
      </x:c>
      <x:c r="E1645" s="42" t="n">
        <x:v>-0.012253865503860277</x:v>
      </x:c>
      <x:c r="F1645" s="42" t="n">
        <x:v>-0.0028084371198231132</x:v>
      </x:c>
      <x:c r="G1645" s="43" t="n">
        <x:v>0.9787336969569528</x:v>
      </x:c>
      <x:c r="H1645" s="32" t="n">
        <x:v>1035961.7970170885</x:v>
      </x:c>
      <x:c r="I1645" s="50" t="b">
        <x:v>0</x:v>
      </x:c>
      <x:c r="J1645" s="50" t="b">
        <x:v>0</x:v>
      </x:c>
      <x:c r="K1645" s="31"/>
      <x:c r="L1645" s="31"/>
    </x:row>
    <x:row r="1646">
      <x:c r="A1646" s="31"/>
      <x:c r="B1646" s="31"/>
      <x:c r="C1646" s="31"/>
      <x:c r="D1646" s="31" t="n">
        <x:v>1642</x:v>
      </x:c>
      <x:c r="E1646" s="42" t="n">
        <x:v>0.013650979149773635</x:v>
      </x:c>
      <x:c r="F1646" s="42" t="n">
        <x:v>-0.011951190068714788</x:v>
      </x:c>
      <x:c r="G1646" s="43" t="n">
        <x:v>1.016492730102634</x:v>
      </x:c>
      <x:c r="H1646" s="32" t="n">
        <x:v>893720.9593231231</x:v>
      </x:c>
      <x:c r="I1646" s="50" t="b">
        <x:v>1</x:v>
      </x:c>
      <x:c r="J1646" s="50" t="b">
        <x:v>0</x:v>
      </x:c>
      <x:c r="K1646" s="31"/>
      <x:c r="L1646" s="31"/>
    </x:row>
    <x:row r="1647">
      <x:c r="A1647" s="31"/>
      <x:c r="B1647" s="31"/>
      <x:c r="C1647" s="31"/>
      <x:c r="D1647" s="31" t="n">
        <x:v>1643</x:v>
      </x:c>
      <x:c r="E1647" s="42" t="n">
        <x:v>0.006892549319152015</x:v>
      </x:c>
      <x:c r="F1647" s="42" t="n">
        <x:v>0.003698459732268764</x:v>
      </x:c>
      <x:c r="G1647" s="43" t="n">
        <x:v>1.0172380158417715</x:v>
      </x:c>
      <x:c r="H1647" s="32" t="n">
        <x:v>826614.4806872203</x:v>
      </x:c>
      <x:c r="I1647" s="50" t="b">
        <x:v>1</x:v>
      </x:c>
      <x:c r="J1647" s="50" t="b">
        <x:v>0</x:v>
      </x:c>
      <x:c r="K1647" s="31"/>
      <x:c r="L1647" s="31"/>
    </x:row>
    <x:row r="1648">
      <x:c r="A1648" s="31"/>
      <x:c r="B1648" s="31"/>
      <x:c r="C1648" s="31"/>
      <x:c r="D1648" s="31" t="n">
        <x:v>1644</x:v>
      </x:c>
      <x:c r="E1648" s="42" t="n">
        <x:v>-0.018589904123881257</x:v>
      </x:c>
      <x:c r="F1648" s="42" t="n">
        <x:v>0.0018238426054012393</x:v>
      </x:c>
      <x:c r="G1648" s="43" t="n">
        <x:v>1.0019670310665425</x:v>
      </x:c>
      <x:c r="H1648" s="32" t="n">
        <x:v>857883.1136707723</x:v>
      </x:c>
      <x:c r="I1648" s="50" t="b">
        <x:v>1</x:v>
      </x:c>
      <x:c r="J1648" s="50" t="b">
        <x:v>0</x:v>
      </x:c>
      <x:c r="K1648" s="31"/>
      <x:c r="L1648" s="31"/>
    </x:row>
    <x:row r="1649">
      <x:c r="A1649" s="31"/>
      <x:c r="B1649" s="31"/>
      <x:c r="C1649" s="31"/>
      <x:c r="D1649" s="31" t="n">
        <x:v>1645</x:v>
      </x:c>
      <x:c r="E1649" s="42" t="n">
        <x:v>-0.003654694500295697</x:v>
      </x:c>
      <x:c r="F1649" s="42" t="n">
        <x:v>-0.009908835362434521</x:v>
      </x:c>
      <x:c r="G1649" s="43" t="n">
        <x:v>1.0121427537545855</x:v>
      </x:c>
      <x:c r="H1649" s="32" t="n">
        <x:v>867490.7241054004</x:v>
      </x:c>
      <x:c r="I1649" s="50" t="b">
        <x:v>1</x:v>
      </x:c>
      <x:c r="J1649" s="50" t="b">
        <x:v>0</x:v>
      </x:c>
      <x:c r="K1649" s="31"/>
      <x:c r="L1649" s="31"/>
    </x:row>
    <x:row r="1650">
      <x:c r="A1650" s="31"/>
      <x:c r="B1650" s="31"/>
      <x:c r="C1650" s="31"/>
      <x:c r="D1650" s="31" t="n">
        <x:v>1646</x:v>
      </x:c>
      <x:c r="E1650" s="42" t="n">
        <x:v>-0.0023318500702272406</x:v>
      </x:c>
      <x:c r="F1650" s="42" t="n">
        <x:v>0.0051244649642002635</x:v>
      </x:c>
      <x:c r="G1650" s="43" t="n">
        <x:v>1.0184371769482465</x:v>
      </x:c>
      <x:c r="H1650" s="32" t="n">
        <x:v>789353.3210370955</x:v>
      </x:c>
      <x:c r="I1650" s="50" t="b">
        <x:v>1</x:v>
      </x:c>
      <x:c r="J1650" s="50" t="b">
        <x:v>0</x:v>
      </x:c>
      <x:c r="K1650" s="31"/>
      <x:c r="L1650" s="31"/>
    </x:row>
    <x:row r="1651">
      <x:c r="A1651" s="31"/>
      <x:c r="B1651" s="31"/>
      <x:c r="C1651" s="31"/>
      <x:c r="D1651" s="31" t="n">
        <x:v>1647</x:v>
      </x:c>
      <x:c r="E1651" s="42" t="n">
        <x:v>-0.0023627622139512465</x:v>
      </x:c>
      <x:c r="F1651" s="42" t="n">
        <x:v>-0.004957268343601956</x:v>
      </x:c>
      <x:c r="G1651" s="43" t="n">
        <x:v>0.992981829583718</x:v>
      </x:c>
      <x:c r="H1651" s="32" t="n">
        <x:v>978989.4885040055</x:v>
      </x:c>
      <x:c r="I1651" s="50" t="b">
        <x:v>1</x:v>
      </x:c>
      <x:c r="J1651" s="50" t="b">
        <x:v>0</x:v>
      </x:c>
      <x:c r="K1651" s="31"/>
      <x:c r="L1651" s="31"/>
    </x:row>
    <x:row r="1652">
      <x:c r="A1652" s="31"/>
      <x:c r="B1652" s="31"/>
      <x:c r="C1652" s="31"/>
      <x:c r="D1652" s="31" t="n">
        <x:v>1648</x:v>
      </x:c>
      <x:c r="E1652" s="42" t="n">
        <x:v>0.004791177058121968</x:v>
      </x:c>
      <x:c r="F1652" s="42" t="n">
        <x:v>-0.0024582277178822744</x:v>
      </x:c>
      <x:c r="G1652" s="43" t="n">
        <x:v>1.023999566709127</x:v>
      </x:c>
      <x:c r="H1652" s="32" t="n">
        <x:v>794961.9036770517</x:v>
      </x:c>
      <x:c r="I1652" s="50" t="b">
        <x:v>1</x:v>
      </x:c>
      <x:c r="J1652" s="50" t="b">
        <x:v>0</x:v>
      </x:c>
      <x:c r="K1652" s="31"/>
      <x:c r="L1652" s="31"/>
    </x:row>
    <x:row r="1653">
      <x:c r="A1653" s="31"/>
      <x:c r="B1653" s="31"/>
      <x:c r="C1653" s="31"/>
      <x:c r="D1653" s="31" t="n">
        <x:v>1649</x:v>
      </x:c>
      <x:c r="E1653" s="42" t="n">
        <x:v>-0.016654953799947997</x:v>
      </x:c>
      <x:c r="F1653" s="42" t="n">
        <x:v>-0.003229094361476985</x:v>
      </x:c>
      <x:c r="G1653" s="43" t="n">
        <x:v>1.0119380711526673</x:v>
      </x:c>
      <x:c r="H1653" s="32" t="n">
        <x:v>814010.8865192079</x:v>
      </x:c>
      <x:c r="I1653" s="50" t="b">
        <x:v>1</x:v>
      </x:c>
      <x:c r="J1653" s="50" t="b">
        <x:v>0</x:v>
      </x:c>
      <x:c r="K1653" s="31"/>
      <x:c r="L1653" s="31"/>
    </x:row>
    <x:row r="1654">
      <x:c r="A1654" s="31"/>
      <x:c r="B1654" s="31"/>
      <x:c r="C1654" s="31"/>
      <x:c r="D1654" s="31" t="n">
        <x:v>1650</x:v>
      </x:c>
      <x:c r="E1654" s="42" t="n">
        <x:v>0.029897620687480076</x:v>
      </x:c>
      <x:c r="F1654" s="42" t="n">
        <x:v>-0.005528517889728789</x:v>
      </x:c>
      <x:c r="G1654" s="43" t="n">
        <x:v>0.9271247378596456</x:v>
      </x:c>
      <x:c r="H1654" s="32" t="n">
        <x:v>1488616.2394949065</x:v>
      </x:c>
      <x:c r="I1654" s="50" t="b">
        <x:v>0</x:v>
      </x:c>
      <x:c r="J1654" s="50" t="b">
        <x:v>0</x:v>
      </x:c>
      <x:c r="K1654" s="31"/>
      <x:c r="L1654" s="31"/>
    </x:row>
    <x:row r="1655">
      <x:c r="A1655" s="31"/>
      <x:c r="B1655" s="31"/>
      <x:c r="C1655" s="31"/>
      <x:c r="D1655" s="31" t="n">
        <x:v>1651</x:v>
      </x:c>
      <x:c r="E1655" s="42" t="n">
        <x:v>-0.0007853944187876988</x:v>
      </x:c>
      <x:c r="F1655" s="42" t="n">
        <x:v>0.0068966992034216945</x:v>
      </x:c>
      <x:c r="G1655" s="43" t="n">
        <x:v>0.9574964720135938</x:v>
      </x:c>
      <x:c r="H1655" s="32" t="n">
        <x:v>1175741.4976111958</x:v>
      </x:c>
      <x:c r="I1655" s="50" t="b">
        <x:v>0</x:v>
      </x:c>
      <x:c r="J1655" s="50" t="b">
        <x:v>0</x:v>
      </x:c>
      <x:c r="K1655" s="31"/>
      <x:c r="L1655" s="31"/>
    </x:row>
    <x:row r="1656">
      <x:c r="A1656" s="31"/>
      <x:c r="B1656" s="31"/>
      <x:c r="C1656" s="31"/>
      <x:c r="D1656" s="31" t="n">
        <x:v>1652</x:v>
      </x:c>
      <x:c r="E1656" s="42" t="n">
        <x:v>-0.015214861468778873</x:v>
      </x:c>
      <x:c r="F1656" s="42" t="n">
        <x:v>0.004405758192541889</x:v>
      </x:c>
      <x:c r="G1656" s="43" t="n">
        <x:v>0.9547771642565617</x:v>
      </x:c>
      <x:c r="H1656" s="32" t="n">
        <x:v>1159779.8758961977</x:v>
      </x:c>
      <x:c r="I1656" s="50" t="b">
        <x:v>0</x:v>
      </x:c>
      <x:c r="J1656" s="50" t="b">
        <x:v>0</x:v>
      </x:c>
      <x:c r="K1656" s="31"/>
      <x:c r="L1656" s="31"/>
    </x:row>
    <x:row r="1657">
      <x:c r="A1657" s="31"/>
      <x:c r="B1657" s="31"/>
      <x:c r="C1657" s="31"/>
      <x:c r="D1657" s="31" t="n">
        <x:v>1653</x:v>
      </x:c>
      <x:c r="E1657" s="42" t="n">
        <x:v>-0.005212101952671608</x:v>
      </x:c>
      <x:c r="F1657" s="42" t="n">
        <x:v>-0.004004475142910149</x:v>
      </x:c>
      <x:c r="G1657" s="43" t="n">
        <x:v>1.0678365384632227</x:v>
      </x:c>
      <x:c r="H1657" s="32" t="n">
        <x:v>493025.7515662089</x:v>
      </x:c>
      <x:c r="I1657" s="50" t="b">
        <x:v>1</x:v>
      </x:c>
      <x:c r="J1657" s="50" t="b">
        <x:v>0</x:v>
      </x:c>
      <x:c r="K1657" s="31"/>
      <x:c r="L1657" s="31"/>
    </x:row>
    <x:row r="1658">
      <x:c r="A1658" s="31"/>
      <x:c r="B1658" s="31"/>
      <x:c r="C1658" s="31"/>
      <x:c r="D1658" s="31" t="n">
        <x:v>1654</x:v>
      </x:c>
      <x:c r="E1658" s="42" t="n">
        <x:v>-0.03861499693179596</x:v>
      </x:c>
      <x:c r="F1658" s="42" t="n">
        <x:v>-0.002282565785468151</x:v>
      </x:c>
      <x:c r="G1658" s="43" t="n">
        <x:v>0.950498481729655</x:v>
      </x:c>
      <x:c r="H1658" s="32" t="n">
        <x:v>1140434.8425185839</x:v>
      </x:c>
      <x:c r="I1658" s="50" t="b">
        <x:v>0</x:v>
      </x:c>
      <x:c r="J1658" s="50" t="b">
        <x:v>0</x:v>
      </x:c>
      <x:c r="K1658" s="31"/>
      <x:c r="L1658" s="31"/>
    </x:row>
    <x:row r="1659">
      <x:c r="A1659" s="31"/>
      <x:c r="B1659" s="31"/>
      <x:c r="C1659" s="31"/>
      <x:c r="D1659" s="31" t="n">
        <x:v>1655</x:v>
      </x:c>
      <x:c r="E1659" s="42" t="n">
        <x:v>0.0038060220313736147</x:v>
      </x:c>
      <x:c r="F1659" s="42" t="n">
        <x:v>-0.008926718390313141</x:v>
      </x:c>
      <x:c r="G1659" s="43" t="n">
        <x:v>1.0881212130754134</x:v>
      </x:c>
      <x:c r="H1659" s="32" t="n">
        <x:v>403007.02279025153</x:v>
      </x:c>
      <x:c r="I1659" s="50" t="b">
        <x:v>1</x:v>
      </x:c>
      <x:c r="J1659" s="50" t="b">
        <x:v>0</x:v>
      </x:c>
      <x:c r="K1659" s="31"/>
      <x:c r="L1659" s="31"/>
    </x:row>
    <x:row r="1660">
      <x:c r="A1660" s="31"/>
      <x:c r="B1660" s="31"/>
      <x:c r="C1660" s="31"/>
      <x:c r="D1660" s="31" t="n">
        <x:v>1656</x:v>
      </x:c>
      <x:c r="E1660" s="42" t="n">
        <x:v>0.00046693696553867976</x:v>
      </x:c>
      <x:c r="F1660" s="42" t="n">
        <x:v>0.015024677463192127</x:v>
      </x:c>
      <x:c r="G1660" s="43" t="n">
        <x:v>1.0211445716425138</x:v>
      </x:c>
      <x:c r="H1660" s="32" t="n">
        <x:v>752392.4720849334</x:v>
      </x:c>
      <x:c r="I1660" s="50" t="b">
        <x:v>1</x:v>
      </x:c>
      <x:c r="J1660" s="50" t="b">
        <x:v>0</x:v>
      </x:c>
      <x:c r="K1660" s="31"/>
      <x:c r="L1660" s="31"/>
    </x:row>
    <x:row r="1661">
      <x:c r="A1661" s="31"/>
      <x:c r="B1661" s="31"/>
      <x:c r="C1661" s="31"/>
      <x:c r="D1661" s="31" t="n">
        <x:v>1657</x:v>
      </x:c>
      <x:c r="E1661" s="42" t="n">
        <x:v>-0.023916094974733702</x:v>
      </x:c>
      <x:c r="F1661" s="42" t="n">
        <x:v>0.0014498284160288611</x:v>
      </x:c>
      <x:c r="G1661" s="43" t="n">
        <x:v>0.9322736525889518</x:v>
      </x:c>
      <x:c r="H1661" s="32" t="n">
        <x:v>1286700.9323301008</x:v>
      </x:c>
      <x:c r="I1661" s="50" t="b">
        <x:v>0</x:v>
      </x:c>
      <x:c r="J1661" s="50" t="b">
        <x:v>0</x:v>
      </x:c>
      <x:c r="K1661" s="31"/>
      <x:c r="L1661" s="31"/>
    </x:row>
    <x:row r="1662">
      <x:c r="A1662" s="31"/>
      <x:c r="B1662" s="31"/>
      <x:c r="C1662" s="31"/>
      <x:c r="D1662" s="31" t="n">
        <x:v>1658</x:v>
      </x:c>
      <x:c r="E1662" s="42" t="n">
        <x:v>-0.009258492752410311</x:v>
      </x:c>
      <x:c r="F1662" s="42" t="n">
        <x:v>-0.0022626263378555237</x:v>
      </x:c>
      <x:c r="G1662" s="43" t="n">
        <x:v>0.9922225720693293</x:v>
      </x:c>
      <x:c r="H1662" s="32" t="n">
        <x:v>957116.2968878685</x:v>
      </x:c>
      <x:c r="I1662" s="50" t="b">
        <x:v>1</x:v>
      </x:c>
      <x:c r="J1662" s="50" t="b">
        <x:v>0</x:v>
      </x:c>
      <x:c r="K1662" s="31"/>
      <x:c r="L1662" s="31"/>
    </x:row>
    <x:row r="1663">
      <x:c r="A1663" s="31"/>
      <x:c r="B1663" s="31"/>
      <x:c r="C1663" s="31"/>
      <x:c r="D1663" s="31" t="n">
        <x:v>1659</x:v>
      </x:c>
      <x:c r="E1663" s="42" t="n">
        <x:v>-0.0039242823050990435</x:v>
      </x:c>
      <x:c r="F1663" s="42" t="n">
        <x:v>0.0016373054925423608</x:v>
      </x:c>
      <x:c r="G1663" s="43" t="n">
        <x:v>1.0780181320075055</x:v>
      </x:c>
      <x:c r="H1663" s="32" t="n">
        <x:v>416246.07474432804</x:v>
      </x:c>
      <x:c r="I1663" s="50" t="b">
        <x:v>1</x:v>
      </x:c>
      <x:c r="J1663" s="50" t="b">
        <x:v>0</x:v>
      </x:c>
      <x:c r="K1663" s="31"/>
      <x:c r="L1663" s="31"/>
    </x:row>
    <x:row r="1664">
      <x:c r="A1664" s="31"/>
      <x:c r="B1664" s="31"/>
      <x:c r="C1664" s="31"/>
      <x:c r="D1664" s="31" t="n">
        <x:v>1660</x:v>
      </x:c>
      <x:c r="E1664" s="42" t="n">
        <x:v>0.0026069904073542645</x:v>
      </x:c>
      <x:c r="F1664" s="42" t="n">
        <x:v>-0.0013742923469091265</x:v>
      </x:c>
      <x:c r="G1664" s="43" t="n">
        <x:v>1.0472847767542293</x:v>
      </x:c>
      <x:c r="H1664" s="32" t="n">
        <x:v>637987.4385518979</x:v>
      </x:c>
      <x:c r="I1664" s="50" t="b">
        <x:v>1</x:v>
      </x:c>
      <x:c r="J1664" s="50" t="b">
        <x:v>0</x:v>
      </x:c>
      <x:c r="K1664" s="31"/>
      <x:c r="L1664" s="31"/>
    </x:row>
    <x:row r="1665">
      <x:c r="A1665" s="31"/>
      <x:c r="B1665" s="31"/>
      <x:c r="C1665" s="31"/>
      <x:c r="D1665" s="31" t="n">
        <x:v>1661</x:v>
      </x:c>
      <x:c r="E1665" s="42" t="n">
        <x:v>-0.0021722586266587638</x:v>
      </x:c>
      <x:c r="F1665" s="42" t="n">
        <x:v>-0.006019199441526149</x:v>
      </x:c>
      <x:c r="G1665" s="43" t="n">
        <x:v>1.0156855331799721</x:v>
      </x:c>
      <x:c r="H1665" s="32" t="n">
        <x:v>838291.0709665013</x:v>
      </x:c>
      <x:c r="I1665" s="50" t="b">
        <x:v>1</x:v>
      </x:c>
      <x:c r="J1665" s="50" t="b">
        <x:v>0</x:v>
      </x:c>
      <x:c r="K1665" s="31"/>
      <x:c r="L1665" s="31"/>
    </x:row>
    <x:row r="1666">
      <x:c r="A1666" s="31"/>
      <x:c r="B1666" s="31"/>
      <x:c r="C1666" s="31"/>
      <x:c r="D1666" s="31" t="n">
        <x:v>1662</x:v>
      </x:c>
      <x:c r="E1666" s="42" t="n">
        <x:v>-0.009087508736488378</x:v>
      </x:c>
      <x:c r="F1666" s="42" t="n">
        <x:v>0.008640085819808735</x:v>
      </x:c>
      <x:c r="G1666" s="43" t="n">
        <x:v>0.9215509791711337</x:v>
      </x:c>
      <x:c r="H1666" s="32" t="n">
        <x:v>1376058.960260508</x:v>
      </x:c>
      <x:c r="I1666" s="50" t="b">
        <x:v>0</x:v>
      </x:c>
      <x:c r="J1666" s="50" t="b">
        <x:v>0</x:v>
      </x:c>
      <x:c r="K1666" s="31"/>
      <x:c r="L1666" s="31"/>
    </x:row>
    <x:row r="1667">
      <x:c r="A1667" s="31"/>
      <x:c r="B1667" s="31"/>
      <x:c r="C1667" s="31"/>
      <x:c r="D1667" s="31" t="n">
        <x:v>1663</x:v>
      </x:c>
      <x:c r="E1667" s="42" t="n">
        <x:v>0.004306430672005701</x:v>
      </x:c>
      <x:c r="F1667" s="42" t="n">
        <x:v>-0.005507126319554067</x:v>
      </x:c>
      <x:c r="G1667" s="43" t="n">
        <x:v>0.9882371789537188</x:v>
      </x:c>
      <x:c r="H1667" s="32" t="n">
        <x:v>1029215.7683953001</x:v>
      </x:c>
      <x:c r="I1667" s="50" t="b">
        <x:v>0</x:v>
      </x:c>
      <x:c r="J1667" s="50" t="b">
        <x:v>0</x:v>
      </x:c>
      <x:c r="K1667" s="31"/>
      <x:c r="L1667" s="31"/>
    </x:row>
    <x:row r="1668">
      <x:c r="A1668" s="31"/>
      <x:c r="B1668" s="31"/>
      <x:c r="C1668" s="31"/>
      <x:c r="D1668" s="31" t="n">
        <x:v>1664</x:v>
      </x:c>
      <x:c r="E1668" s="42" t="n">
        <x:v>0.005040078481139908</x:v>
      </x:c>
      <x:c r="F1668" s="42" t="n">
        <x:v>-0.004787756683994692</x:v>
      </x:c>
      <x:c r="G1668" s="43" t="n">
        <x:v>1.0433613254736074</x:v>
      </x:c>
      <x:c r="H1668" s="32" t="n">
        <x:v>679178.1411161418</x:v>
      </x:c>
      <x:c r="I1668" s="50" t="b">
        <x:v>1</x:v>
      </x:c>
      <x:c r="J1668" s="50" t="b">
        <x:v>0</x:v>
      </x:c>
      <x:c r="K1668" s="31"/>
      <x:c r="L1668" s="31"/>
    </x:row>
    <x:row r="1669">
      <x:c r="A1669" s="31"/>
      <x:c r="B1669" s="31"/>
      <x:c r="C1669" s="31"/>
      <x:c r="D1669" s="31" t="n">
        <x:v>1665</x:v>
      </x:c>
      <x:c r="E1669" s="42" t="n">
        <x:v>-0.00012109866010902877</x:v>
      </x:c>
      <x:c r="F1669" s="42" t="n">
        <x:v>0.001434828986330132</x:v>
      </x:c>
      <x:c r="G1669" s="43" t="n">
        <x:v>1.0580227292860989</x:v>
      </x:c>
      <x:c r="H1669" s="32" t="n">
        <x:v>554380.8871606541</x:v>
      </x:c>
      <x:c r="I1669" s="50" t="b">
        <x:v>1</x:v>
      </x:c>
      <x:c r="J1669" s="50" t="b">
        <x:v>0</x:v>
      </x:c>
      <x:c r="K1669" s="31"/>
      <x:c r="L1669" s="31"/>
    </x:row>
    <x:row r="1670">
      <x:c r="A1670" s="31"/>
      <x:c r="B1670" s="31"/>
      <x:c r="C1670" s="31"/>
      <x:c r="D1670" s="31" t="n">
        <x:v>1666</x:v>
      </x:c>
      <x:c r="E1670" s="42" t="n">
        <x:v>0.011912257278141842</x:v>
      </x:c>
      <x:c r="F1670" s="42" t="n">
        <x:v>0.0026056506811303103</x:v>
      </x:c>
      <x:c r="G1670" s="43" t="n">
        <x:v>1.0661431877720102</x:v>
      </x:c>
      <x:c r="H1670" s="32" t="n">
        <x:v>533046.3294844709</x:v>
      </x:c>
      <x:c r="I1670" s="50" t="b">
        <x:v>1</x:v>
      </x:c>
      <x:c r="J1670" s="50" t="b">
        <x:v>0</x:v>
      </x:c>
      <x:c r="K1670" s="31"/>
      <x:c r="L1670" s="31"/>
    </x:row>
    <x:row r="1671">
      <x:c r="A1671" s="31"/>
      <x:c r="B1671" s="31"/>
      <x:c r="C1671" s="31"/>
      <x:c r="D1671" s="31" t="n">
        <x:v>1667</x:v>
      </x:c>
      <x:c r="E1671" s="42" t="n">
        <x:v>-0.005848935233410529</x:v>
      </x:c>
      <x:c r="F1671" s="42" t="n">
        <x:v>0.008567457087740562</x:v>
      </x:c>
      <x:c r="G1671" s="43" t="n">
        <x:v>1.0185416803266099</x:v>
      </x:c>
      <x:c r="H1671" s="32" t="n">
        <x:v>769316.1211651505</x:v>
      </x:c>
      <x:c r="I1671" s="50" t="b">
        <x:v>1</x:v>
      </x:c>
      <x:c r="J1671" s="50" t="b">
        <x:v>0</x:v>
      </x:c>
      <x:c r="K1671" s="31"/>
      <x:c r="L1671" s="31"/>
    </x:row>
    <x:row r="1672">
      <x:c r="A1672" s="31"/>
      <x:c r="B1672" s="31"/>
      <x:c r="C1672" s="31"/>
      <x:c r="D1672" s="31" t="n">
        <x:v>1668</x:v>
      </x:c>
      <x:c r="E1672" s="42" t="n">
        <x:v>-0.010690503938091405</x:v>
      </x:c>
      <x:c r="F1672" s="42" t="n">
        <x:v>-0.001186938935298274</x:v>
      </x:c>
      <x:c r="G1672" s="43" t="n">
        <x:v>0.9435780697931205</x:v>
      </x:c>
      <x:c r="H1672" s="32" t="n">
        <x:v>1259063.1031568334</x:v>
      </x:c>
      <x:c r="I1672" s="50" t="b">
        <x:v>0</x:v>
      </x:c>
      <x:c r="J1672" s="50" t="b">
        <x:v>0</x:v>
      </x:c>
      <x:c r="K1672" s="31"/>
      <x:c r="L1672" s="31"/>
    </x:row>
    <x:row r="1673">
      <x:c r="A1673" s="31"/>
      <x:c r="B1673" s="31"/>
      <x:c r="C1673" s="31"/>
      <x:c r="D1673" s="31" t="n">
        <x:v>1669</x:v>
      </x:c>
      <x:c r="E1673" s="42" t="n">
        <x:v>0.024969931452414173</x:v>
      </x:c>
      <x:c r="F1673" s="42" t="n">
        <x:v>-0.0008880283116075332</x:v>
      </x:c>
      <x:c r="G1673" s="43" t="n">
        <x:v>1.060652428025403</x:v>
      </x:c>
      <x:c r="H1673" s="32" t="n">
        <x:v>613987.6010112308</x:v>
      </x:c>
      <x:c r="I1673" s="50" t="b">
        <x:v>1</x:v>
      </x:c>
      <x:c r="J1673" s="50" t="b">
        <x:v>0</x:v>
      </x:c>
      <x:c r="K1673" s="31"/>
      <x:c r="L1673" s="31"/>
    </x:row>
    <x:row r="1674">
      <x:c r="A1674" s="31"/>
      <x:c r="B1674" s="31"/>
      <x:c r="C1674" s="31"/>
      <x:c r="D1674" s="31" t="n">
        <x:v>1670</x:v>
      </x:c>
      <x:c r="E1674" s="42" t="n">
        <x:v>-0.012143339646132274</x:v>
      </x:c>
      <x:c r="F1674" s="42" t="n">
        <x:v>-0.0010465215949984666</x:v>
      </x:c>
      <x:c r="G1674" s="43" t="n">
        <x:v>1.0662163238551703</x:v>
      </x:c>
      <x:c r="H1674" s="32" t="n">
        <x:v>475788.47878188756</x:v>
      </x:c>
      <x:c r="I1674" s="50" t="b">
        <x:v>1</x:v>
      </x:c>
      <x:c r="J1674" s="50" t="b">
        <x:v>0</x:v>
      </x:c>
      <x:c r="K1674" s="31"/>
      <x:c r="L1674" s="31"/>
    </x:row>
    <x:row r="1675">
      <x:c r="A1675" s="31"/>
      <x:c r="B1675" s="31"/>
      <x:c r="C1675" s="31"/>
      <x:c r="D1675" s="31" t="n">
        <x:v>1671</x:v>
      </x:c>
      <x:c r="E1675" s="42" t="n">
        <x:v>-0.011470797409500272</x:v>
      </x:c>
      <x:c r="F1675" s="42" t="n">
        <x:v>-0.000949285560877432</x:v>
      </x:c>
      <x:c r="G1675" s="43" t="n">
        <x:v>1.008700293666455</x:v>
      </x:c>
      <x:c r="H1675" s="32" t="n">
        <x:v>842657.3825379966</x:v>
      </x:c>
      <x:c r="I1675" s="50" t="b">
        <x:v>1</x:v>
      </x:c>
      <x:c r="J1675" s="50" t="b">
        <x:v>0</x:v>
      </x:c>
      <x:c r="K1675" s="31"/>
      <x:c r="L1675" s="31"/>
    </x:row>
    <x:row r="1676">
      <x:c r="A1676" s="31"/>
      <x:c r="B1676" s="31"/>
      <x:c r="C1676" s="31"/>
      <x:c r="D1676" s="31" t="n">
        <x:v>1672</x:v>
      </x:c>
      <x:c r="E1676" s="42" t="n">
        <x:v>-0.014313012869641295</x:v>
      </x:c>
      <x:c r="F1676" s="42" t="n">
        <x:v>0.0008748746101451051</x:v>
      </x:c>
      <x:c r="G1676" s="43" t="n">
        <x:v>1.0210066872871415</x:v>
      </x:c>
      <x:c r="H1676" s="32" t="n">
        <x:v>751514.1073023526</x:v>
      </x:c>
      <x:c r="I1676" s="50" t="b">
        <x:v>1</x:v>
      </x:c>
      <x:c r="J1676" s="50" t="b">
        <x:v>0</x:v>
      </x:c>
      <x:c r="K1676" s="31"/>
      <x:c r="L1676" s="31"/>
    </x:row>
    <x:row r="1677">
      <x:c r="A1677" s="31"/>
      <x:c r="B1677" s="31"/>
      <x:c r="C1677" s="31"/>
      <x:c r="D1677" s="31" t="n">
        <x:v>1673</x:v>
      </x:c>
      <x:c r="E1677" s="42" t="n">
        <x:v>0.01047034566004328</x:v>
      </x:c>
      <x:c r="F1677" s="42" t="n">
        <x:v>0.0014308523486628395</x:v>
      </x:c>
      <x:c r="G1677" s="43" t="n">
        <x:v>1.0566559277216443</x:v>
      </x:c>
      <x:c r="H1677" s="32" t="n">
        <x:v>592553.6342005808</x:v>
      </x:c>
      <x:c r="I1677" s="50" t="b">
        <x:v>1</x:v>
      </x:c>
      <x:c r="J1677" s="50" t="b">
        <x:v>0</x:v>
      </x:c>
      <x:c r="K1677" s="31"/>
      <x:c r="L1677" s="31"/>
    </x:row>
    <x:row r="1678">
      <x:c r="A1678" s="31"/>
      <x:c r="B1678" s="31"/>
      <x:c r="C1678" s="31"/>
      <x:c r="D1678" s="31" t="n">
        <x:v>1674</x:v>
      </x:c>
      <x:c r="E1678" s="42" t="n">
        <x:v>-0.020553186080571446</x:v>
      </x:c>
      <x:c r="F1678" s="42" t="n">
        <x:v>-0.0027445343263713465</x:v>
      </x:c>
      <x:c r="G1678" s="43" t="n">
        <x:v>1.0385619527443666</x:v>
      </x:c>
      <x:c r="H1678" s="32" t="n">
        <x:v>632730.7830594057</x:v>
      </x:c>
      <x:c r="I1678" s="50" t="b">
        <x:v>1</x:v>
      </x:c>
      <x:c r="J1678" s="50" t="b">
        <x:v>0</x:v>
      </x:c>
      <x:c r="K1678" s="31"/>
      <x:c r="L1678" s="31"/>
    </x:row>
    <x:row r="1679">
      <x:c r="A1679" s="31"/>
      <x:c r="B1679" s="31"/>
      <x:c r="C1679" s="31"/>
      <x:c r="D1679" s="31" t="n">
        <x:v>1675</x:v>
      </x:c>
      <x:c r="E1679" s="42" t="n">
        <x:v>0.010955213781412069</x:v>
      </x:c>
      <x:c r="F1679" s="42" t="n">
        <x:v>-0.000981366807271333</x:v>
      </x:c>
      <x:c r="G1679" s="43" t="n">
        <x:v>0.9696419563006681</x:v>
      </x:c>
      <x:c r="H1679" s="32" t="n">
        <x:v>1153218.085150716</x:v>
      </x:c>
      <x:c r="I1679" s="50" t="b">
        <x:v>0</x:v>
      </x:c>
      <x:c r="J1679" s="50" t="b">
        <x:v>0</x:v>
      </x:c>
      <x:c r="K1679" s="31"/>
      <x:c r="L1679" s="31"/>
    </x:row>
    <x:row r="1680">
      <x:c r="A1680" s="31"/>
      <x:c r="B1680" s="31"/>
      <x:c r="C1680" s="31"/>
      <x:c r="D1680" s="31" t="n">
        <x:v>1676</x:v>
      </x:c>
      <x:c r="E1680" s="42" t="n">
        <x:v>-0.005501200996088541</x:v>
      </x:c>
      <x:c r="F1680" s="42" t="n">
        <x:v>-0.006712988987274339</x:v>
      </x:c>
      <x:c r="G1680" s="43" t="n">
        <x:v>1.107361482537604</x:v>
      </x:c>
      <x:c r="H1680" s="32" t="n">
        <x:v>248748.85873083968</x:v>
      </x:c>
      <x:c r="I1680" s="50" t="b">
        <x:v>1</x:v>
      </x:c>
      <x:c r="J1680" s="50" t="b">
        <x:v>0</x:v>
      </x:c>
      <x:c r="K1680" s="31"/>
      <x:c r="L1680" s="31"/>
    </x:row>
    <x:row r="1681">
      <x:c r="A1681" s="31"/>
      <x:c r="B1681" s="31"/>
      <x:c r="C1681" s="31"/>
      <x:c r="D1681" s="31" t="n">
        <x:v>1677</x:v>
      </x:c>
      <x:c r="E1681" s="42" t="n">
        <x:v>-0.012945385090927282</x:v>
      </x:c>
      <x:c r="F1681" s="42" t="n">
        <x:v>-0.005364350350299944</x:v>
      </x:c>
      <x:c r="G1681" s="43" t="n">
        <x:v>0.9698647137675374</x:v>
      </x:c>
      <x:c r="H1681" s="32" t="n">
        <x:v>1097475.7025695844</x:v>
      </x:c>
      <x:c r="I1681" s="50" t="b">
        <x:v>0</x:v>
      </x:c>
      <x:c r="J1681" s="50" t="b">
        <x:v>0</x:v>
      </x:c>
      <x:c r="K1681" s="31"/>
      <x:c r="L1681" s="31"/>
    </x:row>
    <x:row r="1682">
      <x:c r="A1682" s="31"/>
      <x:c r="B1682" s="31"/>
      <x:c r="C1682" s="31"/>
      <x:c r="D1682" s="31" t="n">
        <x:v>1678</x:v>
      </x:c>
      <x:c r="E1682" s="42" t="n">
        <x:v>0.0027757230031901677</x:v>
      </x:c>
      <x:c r="F1682" s="42" t="n">
        <x:v>-0.0019471309329642452</x:v>
      </x:c>
      <x:c r="G1682" s="43" t="n">
        <x:v>1.0227546717614717</x:v>
      </x:c>
      <x:c r="H1682" s="32" t="n">
        <x:v>795835.1579976</x:v>
      </x:c>
      <x:c r="I1682" s="50" t="b">
        <x:v>1</x:v>
      </x:c>
      <x:c r="J1682" s="50" t="b">
        <x:v>0</x:v>
      </x:c>
      <x:c r="K1682" s="31"/>
      <x:c r="L1682" s="31"/>
    </x:row>
    <x:row r="1683">
      <x:c r="A1683" s="31"/>
      <x:c r="B1683" s="31"/>
      <x:c r="C1683" s="31"/>
      <x:c r="D1683" s="31" t="n">
        <x:v>1679</x:v>
      </x:c>
      <x:c r="E1683" s="42" t="n">
        <x:v>0.017099214311335962</x:v>
      </x:c>
      <x:c r="F1683" s="42" t="n">
        <x:v>-0.0015346116750031564</x:v>
      </x:c>
      <x:c r="G1683" s="43" t="n">
        <x:v>0.9890912334714782</x:v>
      </x:c>
      <x:c r="H1683" s="32" t="n">
        <x:v>1048343.3316018877</x:v>
      </x:c>
      <x:c r="I1683" s="50" t="b">
        <x:v>0</x:v>
      </x:c>
      <x:c r="J1683" s="50" t="b">
        <x:v>0</x:v>
      </x:c>
      <x:c r="K1683" s="31"/>
      <x:c r="L1683" s="31"/>
    </x:row>
    <x:row r="1684">
      <x:c r="A1684" s="31"/>
      <x:c r="B1684" s="31"/>
      <x:c r="C1684" s="31"/>
      <x:c r="D1684" s="31" t="n">
        <x:v>1680</x:v>
      </x:c>
      <x:c r="E1684" s="42" t="n">
        <x:v>-0.010017102546762226</x:v>
      </x:c>
      <x:c r="F1684" s="42" t="n">
        <x:v>0.003816601281609855</x:v>
      </x:c>
      <x:c r="G1684" s="43" t="n">
        <x:v>0.9735316863541791</x:v>
      </x:c>
      <x:c r="H1684" s="32" t="n">
        <x:v>1056783.386585431</x:v>
      </x:c>
      <x:c r="I1684" s="50" t="b">
        <x:v>0</x:v>
      </x:c>
      <x:c r="J1684" s="50" t="b">
        <x:v>0</x:v>
      </x:c>
      <x:c r="K1684" s="31"/>
      <x:c r="L1684" s="31"/>
    </x:row>
    <x:row r="1685">
      <x:c r="A1685" s="31"/>
      <x:c r="B1685" s="31"/>
      <x:c r="C1685" s="31"/>
      <x:c r="D1685" s="31" t="n">
        <x:v>1681</x:v>
      </x:c>
      <x:c r="E1685" s="42" t="n">
        <x:v>0.011151963374388079</x:v>
      </x:c>
      <x:c r="F1685" s="42" t="n">
        <x:v>0.00041452992223099146</x:v>
      </x:c>
      <x:c r="G1685" s="43" t="n">
        <x:v>0.9651172197294005</x:v>
      </x:c>
      <x:c r="H1685" s="32" t="n">
        <x:v>1178615.5142903405</x:v>
      </x:c>
      <x:c r="I1685" s="50" t="b">
        <x:v>0</x:v>
      </x:c>
      <x:c r="J1685" s="50" t="b">
        <x:v>0</x:v>
      </x:c>
      <x:c r="K1685" s="31"/>
      <x:c r="L1685" s="31"/>
    </x:row>
    <x:row r="1686">
      <x:c r="A1686" s="31"/>
      <x:c r="B1686" s="31"/>
      <x:c r="C1686" s="31"/>
      <x:c r="D1686" s="31" t="n">
        <x:v>1682</x:v>
      </x:c>
      <x:c r="E1686" s="42" t="n">
        <x:v>-0.008752452026879624</x:v>
      </x:c>
      <x:c r="F1686" s="42" t="n">
        <x:v>0.004111462418163526</x:v>
      </x:c>
      <x:c r="G1686" s="43" t="n">
        <x:v>0.955527394047741</x:v>
      </x:c>
      <x:c r="H1686" s="32" t="n">
        <x:v>1173822.8241290702</x:v>
      </x:c>
      <x:c r="I1686" s="50" t="b">
        <x:v>0</x:v>
      </x:c>
      <x:c r="J1686" s="50" t="b">
        <x:v>0</x:v>
      </x:c>
      <x:c r="K1686" s="31"/>
      <x:c r="L1686" s="31"/>
    </x:row>
    <x:row r="1687">
      <x:c r="A1687" s="31"/>
      <x:c r="B1687" s="31"/>
      <x:c r="C1687" s="31"/>
      <x:c r="D1687" s="31" t="n">
        <x:v>1683</x:v>
      </x:c>
      <x:c r="E1687" s="42" t="n">
        <x:v>0.007350496590885798</x:v>
      </x:c>
      <x:c r="F1687" s="42" t="n">
        <x:v>-0.0037727524526472178</x:v>
      </x:c>
      <x:c r="G1687" s="43" t="n">
        <x:v>0.9591252569596322</x:v>
      </x:c>
      <x:c r="H1687" s="32" t="n">
        <x:v>1217742.6478077683</x:v>
      </x:c>
      <x:c r="I1687" s="50" t="b">
        <x:v>0</x:v>
      </x:c>
      <x:c r="J1687" s="50" t="b">
        <x:v>0</x:v>
      </x:c>
      <x:c r="K1687" s="31"/>
      <x:c r="L1687" s="31"/>
    </x:row>
    <x:row r="1688">
      <x:c r="A1688" s="31"/>
      <x:c r="B1688" s="31"/>
      <x:c r="C1688" s="31"/>
      <x:c r="D1688" s="31" t="n">
        <x:v>1684</x:v>
      </x:c>
      <x:c r="E1688" s="42" t="n">
        <x:v>0.009227615181883184</x:v>
      </x:c>
      <x:c r="F1688" s="42" t="n">
        <x:v>-0.0094071129442314</x:v>
      </x:c>
      <x:c r="G1688" s="43" t="n">
        <x:v>0.8992193806049961</x:v>
      </x:c>
      <x:c r="H1688" s="32" t="n">
        <x:v>1619095.7582358704</x:v>
      </x:c>
      <x:c r="I1688" s="50" t="b">
        <x:v>0</x:v>
      </x:c>
      <x:c r="J1688" s="50" t="b">
        <x:v>0</x:v>
      </x:c>
      <x:c r="K1688" s="31"/>
      <x:c r="L1688" s="31"/>
    </x:row>
    <x:row r="1689">
      <x:c r="A1689" s="31"/>
      <x:c r="B1689" s="31"/>
      <x:c r="C1689" s="31"/>
      <x:c r="D1689" s="31" t="n">
        <x:v>1685</x:v>
      </x:c>
      <x:c r="E1689" s="42" t="n">
        <x:v>-0.011039747476864419</x:v>
      </x:c>
      <x:c r="F1689" s="42" t="n">
        <x:v>0.0043118668619732785</x:v>
      </x:c>
      <x:c r="G1689" s="43" t="n">
        <x:v>1.008274819715157</x:v>
      </x:c>
      <x:c r="H1689" s="32" t="n">
        <x:v>831914.7461142791</x:v>
      </x:c>
      <x:c r="I1689" s="50" t="b">
        <x:v>1</x:v>
      </x:c>
      <x:c r="J1689" s="50" t="b">
        <x:v>0</x:v>
      </x:c>
      <x:c r="K1689" s="31"/>
      <x:c r="L1689" s="31"/>
    </x:row>
    <x:row r="1690">
      <x:c r="A1690" s="31"/>
      <x:c r="B1690" s="31"/>
      <x:c r="C1690" s="31"/>
      <x:c r="D1690" s="31" t="n">
        <x:v>1686</x:v>
      </x:c>
      <x:c r="E1690" s="42" t="n">
        <x:v>0.01875737857429571</x:v>
      </x:c>
      <x:c r="F1690" s="42" t="n">
        <x:v>0.009247814992703485</x:v>
      </x:c>
      <x:c r="G1690" s="43" t="n">
        <x:v>1.0089342398124683</x:v>
      </x:c>
      <x:c r="H1690" s="32" t="n">
        <x:v>896928.6012992183</x:v>
      </x:c>
      <x:c r="I1690" s="50" t="b">
        <x:v>1</x:v>
      </x:c>
      <x:c r="J1690" s="50" t="b">
        <x:v>0</x:v>
      </x:c>
      <x:c r="K1690" s="31"/>
      <x:c r="L1690" s="31"/>
    </x:row>
    <x:row r="1691">
      <x:c r="A1691" s="31"/>
      <x:c r="B1691" s="31"/>
      <x:c r="C1691" s="31"/>
      <x:c r="D1691" s="31" t="n">
        <x:v>1687</x:v>
      </x:c>
      <x:c r="E1691" s="42" t="n">
        <x:v>0.00467526157493321</x:v>
      </x:c>
      <x:c r="F1691" s="42" t="n">
        <x:v>0.007279390567475711</x:v>
      </x:c>
      <x:c r="G1691" s="43" t="n">
        <x:v>0.9966180481497037</x:v>
      </x:c>
      <x:c r="H1691" s="32" t="n">
        <x:v>941426.4092390847</x:v>
      </x:c>
      <x:c r="I1691" s="50" t="b">
        <x:v>1</x:v>
      </x:c>
      <x:c r="J1691" s="50" t="b">
        <x:v>0</x:v>
      </x:c>
      <x:c r="K1691" s="31"/>
      <x:c r="L1691" s="31"/>
    </x:row>
    <x:row r="1692">
      <x:c r="A1692" s="31"/>
      <x:c r="B1692" s="31"/>
      <x:c r="C1692" s="31"/>
      <x:c r="D1692" s="31" t="n">
        <x:v>1688</x:v>
      </x:c>
      <x:c r="E1692" s="42" t="n">
        <x:v>0.005093666522363605</x:v>
      </x:c>
      <x:c r="F1692" s="42" t="n">
        <x:v>-0.002236085201355662</x:v>
      </x:c>
      <x:c r="G1692" s="43" t="n">
        <x:v>1.008059137017253</x:v>
      </x:c>
      <x:c r="H1692" s="32" t="n">
        <x:v>896418.5691967085</x:v>
      </x:c>
      <x:c r="I1692" s="50" t="b">
        <x:v>1</x:v>
      </x:c>
      <x:c r="J1692" s="50" t="b">
        <x:v>0</x:v>
      </x:c>
      <x:c r="K1692" s="31"/>
      <x:c r="L1692" s="31"/>
    </x:row>
    <x:row r="1693">
      <x:c r="A1693" s="31"/>
      <x:c r="B1693" s="31"/>
      <x:c r="C1693" s="31"/>
      <x:c r="D1693" s="31" t="n">
        <x:v>1689</x:v>
      </x:c>
      <x:c r="E1693" s="42" t="n">
        <x:v>0.016951226739223002</x:v>
      </x:c>
      <x:c r="F1693" s="42" t="n">
        <x:v>-0.014007987401935098</x:v>
      </x:c>
      <x:c r="G1693" s="43" t="n">
        <x:v>1.0004615374514219</x:v>
      </x:c>
      <x:c r="H1693" s="32" t="n">
        <x:v>1010441.8396938825</x:v>
      </x:c>
      <x:c r="I1693" s="50" t="b">
        <x:v>0</x:v>
      </x:c>
      <x:c r="J1693" s="50" t="b">
        <x:v>0</x:v>
      </x:c>
      <x:c r="K1693" s="31"/>
      <x:c r="L1693" s="31"/>
    </x:row>
    <x:row r="1694">
      <x:c r="A1694" s="31"/>
      <x:c r="B1694" s="31"/>
      <x:c r="C1694" s="31"/>
      <x:c r="D1694" s="31" t="n">
        <x:v>1690</x:v>
      </x:c>
      <x:c r="E1694" s="42" t="n">
        <x:v>0.017673691451130104</x:v>
      </x:c>
      <x:c r="F1694" s="42" t="n">
        <x:v>0.008916134310097117</x:v>
      </x:c>
      <x:c r="G1694" s="43" t="n">
        <x:v>1.049272992188871</x:v>
      </x:c>
      <x:c r="H1694" s="32" t="n">
        <x:v>638655.7280592455</x:v>
      </x:c>
      <x:c r="I1694" s="50" t="b">
        <x:v>1</x:v>
      </x:c>
      <x:c r="J1694" s="50" t="b">
        <x:v>0</x:v>
      </x:c>
      <x:c r="K1694" s="31"/>
      <x:c r="L1694" s="31"/>
    </x:row>
    <x:row r="1695">
      <x:c r="A1695" s="31"/>
      <x:c r="B1695" s="31"/>
      <x:c r="C1695" s="31"/>
      <x:c r="D1695" s="31" t="n">
        <x:v>1691</x:v>
      </x:c>
      <x:c r="E1695" s="42" t="n">
        <x:v>0.012145647819738427</x:v>
      </x:c>
      <x:c r="F1695" s="42" t="n">
        <x:v>0.00490469792187823</x:v>
      </x:c>
      <x:c r="G1695" s="43" t="n">
        <x:v>0.9274110186363294</x:v>
      </x:c>
      <x:c r="H1695" s="32" t="n">
        <x:v>1408344.0563591858</x:v>
      </x:c>
      <x:c r="I1695" s="50" t="b">
        <x:v>0</x:v>
      </x:c>
      <x:c r="J1695" s="50" t="b">
        <x:v>0</x:v>
      </x:c>
      <x:c r="K1695" s="31"/>
      <x:c r="L1695" s="31"/>
    </x:row>
    <x:row r="1696">
      <x:c r="A1696" s="31"/>
      <x:c r="B1696" s="31"/>
      <x:c r="C1696" s="31"/>
      <x:c r="D1696" s="31" t="n">
        <x:v>1692</x:v>
      </x:c>
      <x:c r="E1696" s="42" t="n">
        <x:v>-0.008250800944070862</x:v>
      </x:c>
      <x:c r="F1696" s="42" t="n">
        <x:v>0.0037078244810699094</x:v>
      </x:c>
      <x:c r="G1696" s="43" t="n">
        <x:v>0.9640554038789793</x:v>
      </x:c>
      <x:c r="H1696" s="32" t="n">
        <x:v>1122183.8139751134</x:v>
      </x:c>
      <x:c r="I1696" s="50" t="b">
        <x:v>0</x:v>
      </x:c>
      <x:c r="J1696" s="50" t="b">
        <x:v>0</x:v>
      </x:c>
      <x:c r="K1696" s="31"/>
      <x:c r="L1696" s="31"/>
    </x:row>
    <x:row r="1697">
      <x:c r="A1697" s="31"/>
      <x:c r="B1697" s="31"/>
      <x:c r="C1697" s="31"/>
      <x:c r="D1697" s="31" t="n">
        <x:v>1693</x:v>
      </x:c>
      <x:c r="E1697" s="42" t="n">
        <x:v>-0.010927202798473966</x:v>
      </x:c>
      <x:c r="F1697" s="42" t="n">
        <x:v>-0.002169575395897104</x:v>
      </x:c>
      <x:c r="G1697" s="43" t="n">
        <x:v>0.990375140822941</x:v>
      </x:c>
      <x:c r="H1697" s="32" t="n">
        <x:v>963944.8929438975</x:v>
      </x:c>
      <x:c r="I1697" s="50" t="b">
        <x:v>1</x:v>
      </x:c>
      <x:c r="J1697" s="50" t="b">
        <x:v>0</x:v>
      </x:c>
      <x:c r="K1697" s="31"/>
      <x:c r="L1697" s="31"/>
    </x:row>
    <x:row r="1698">
      <x:c r="A1698" s="31"/>
      <x:c r="B1698" s="31"/>
      <x:c r="C1698" s="31"/>
      <x:c r="D1698" s="31" t="n">
        <x:v>1694</x:v>
      </x:c>
      <x:c r="E1698" s="42" t="n">
        <x:v>0.014247655777573373</x:v>
      </x:c>
      <x:c r="F1698" s="42" t="n">
        <x:v>-0.012477040272293174</x:v>
      </x:c>
      <x:c r="G1698" s="43" t="n">
        <x:v>1.025738098379579</x:v>
      </x:c>
      <x:c r="H1698" s="32" t="n">
        <x:v>838130.9012488583</x:v>
      </x:c>
      <x:c r="I1698" s="50" t="b">
        <x:v>1</x:v>
      </x:c>
      <x:c r="J1698" s="50" t="b">
        <x:v>0</x:v>
      </x:c>
      <x:c r="K1698" s="31"/>
      <x:c r="L1698" s="31"/>
    </x:row>
    <x:row r="1699">
      <x:c r="A1699" s="31"/>
      <x:c r="B1699" s="31"/>
      <x:c r="C1699" s="31"/>
      <x:c r="D1699" s="31" t="n">
        <x:v>1695</x:v>
      </x:c>
      <x:c r="E1699" s="42" t="n">
        <x:v>0.02563356117516471</x:v>
      </x:c>
      <x:c r="F1699" s="42" t="n">
        <x:v>-0.013667887716595519</x:v>
      </x:c>
      <x:c r="G1699" s="43" t="n">
        <x:v>0.9737115471899126</x:v>
      </x:c>
      <x:c r="H1699" s="32" t="n">
        <x:v>1203544.018304565</x:v>
      </x:c>
      <x:c r="I1699" s="50" t="b">
        <x:v>0</x:v>
      </x:c>
      <x:c r="J1699" s="50" t="b">
        <x:v>0</x:v>
      </x:c>
      <x:c r="K1699" s="31"/>
      <x:c r="L1699" s="31"/>
    </x:row>
    <x:row r="1700">
      <x:c r="A1700" s="31"/>
      <x:c r="B1700" s="31"/>
      <x:c r="C1700" s="31"/>
      <x:c r="D1700" s="31" t="n">
        <x:v>1696</x:v>
      </x:c>
      <x:c r="E1700" s="42" t="n">
        <x:v>0.0035996137846258506</x:v>
      </x:c>
      <x:c r="F1700" s="42" t="n">
        <x:v>-0.003090993490107427</x:v>
      </x:c>
      <x:c r="G1700" s="43" t="n">
        <x:v>1.0008807585359398</x:v>
      </x:c>
      <x:c r="H1700" s="32" t="n">
        <x:v>940227.2837438779</x:v>
      </x:c>
      <x:c r="I1700" s="50" t="b">
        <x:v>1</x:v>
      </x:c>
      <x:c r="J1700" s="50" t="b">
        <x:v>0</x:v>
      </x:c>
      <x:c r="K1700" s="31"/>
      <x:c r="L1700" s="31"/>
    </x:row>
    <x:row r="1701">
      <x:c r="A1701" s="31"/>
      <x:c r="B1701" s="31"/>
      <x:c r="C1701" s="31"/>
      <x:c r="D1701" s="31" t="n">
        <x:v>1697</x:v>
      </x:c>
      <x:c r="E1701" s="42" t="n">
        <x:v>-0.002677977327677953</x:v>
      </x:c>
      <x:c r="F1701" s="42" t="n">
        <x:v>-0.0036543858515453932</x:v>
      </x:c>
      <x:c r="G1701" s="43" t="n">
        <x:v>0.9509799745837193</x:v>
      </x:c>
      <x:c r="H1701" s="32" t="n">
        <x:v>1241227.0041109184</x:v>
      </x:c>
      <x:c r="I1701" s="50" t="b">
        <x:v>0</x:v>
      </x:c>
      <x:c r="J1701" s="50" t="b">
        <x:v>0</x:v>
      </x:c>
      <x:c r="K1701" s="31"/>
      <x:c r="L1701" s="31"/>
    </x:row>
    <x:row r="1702">
      <x:c r="A1702" s="31"/>
      <x:c r="B1702" s="31"/>
      <x:c r="C1702" s="31"/>
      <x:c r="D1702" s="31" t="n">
        <x:v>1698</x:v>
      </x:c>
      <x:c r="E1702" s="42" t="n">
        <x:v>-0.015572230685910005</x:v>
      </x:c>
      <x:c r="F1702" s="42" t="n">
        <x:v>0.0081203793067367</x:v>
      </x:c>
      <x:c r="G1702" s="43" t="n">
        <x:v>1.0259753876273636</x:v>
      </x:c>
      <x:c r="H1702" s="32" t="n">
        <x:v>696286.2575336928</x:v>
      </x:c>
      <x:c r="I1702" s="50" t="b">
        <x:v>1</x:v>
      </x:c>
      <x:c r="J1702" s="50" t="b">
        <x:v>0</x:v>
      </x:c>
      <x:c r="K1702" s="31"/>
      <x:c r="L1702" s="31"/>
    </x:row>
    <x:row r="1703">
      <x:c r="A1703" s="31"/>
      <x:c r="B1703" s="31"/>
      <x:c r="C1703" s="31"/>
      <x:c r="D1703" s="31" t="n">
        <x:v>1699</x:v>
      </x:c>
      <x:c r="E1703" s="42" t="n">
        <x:v>-0.008396682819701006</x:v>
      </x:c>
      <x:c r="F1703" s="42" t="n">
        <x:v>0.003277126171537947</x:v>
      </x:c>
      <x:c r="G1703" s="43" t="n">
        <x:v>0.9315346468988176</x:v>
      </x:c>
      <x:c r="H1703" s="32" t="n">
        <x:v>1329506.4457825324</x:v>
      </x:c>
      <x:c r="I1703" s="50" t="b">
        <x:v>0</x:v>
      </x:c>
      <x:c r="J1703" s="50" t="b">
        <x:v>0</x:v>
      </x:c>
      <x:c r="K1703" s="31"/>
      <x:c r="L1703" s="31"/>
    </x:row>
    <x:row r="1704">
      <x:c r="A1704" s="31"/>
      <x:c r="B1704" s="31"/>
      <x:c r="C1704" s="31"/>
      <x:c r="D1704" s="31" t="n">
        <x:v>1700</x:v>
      </x:c>
      <x:c r="E1704" s="42" t="n">
        <x:v>-0.006021209885295396</x:v>
      </x:c>
      <x:c r="F1704" s="42" t="n">
        <x:v>0.00007955242409753582</x:v>
      </x:c>
      <x:c r="G1704" s="43" t="n">
        <x:v>1.0262259984765447</x:v>
      </x:c>
      <x:c r="H1704" s="32" t="n">
        <x:v>743661.9991249517</x:v>
      </x:c>
      <x:c r="I1704" s="50" t="b">
        <x:v>1</x:v>
      </x:c>
      <x:c r="J1704" s="50" t="b">
        <x:v>0</x:v>
      </x:c>
      <x:c r="K1704" s="31"/>
      <x:c r="L1704" s="31"/>
    </x:row>
    <x:row r="1705">
      <x:c r="A1705" s="31"/>
      <x:c r="B1705" s="31"/>
      <x:c r="C1705" s="31"/>
      <x:c r="D1705" s="31" t="n">
        <x:v>1701</x:v>
      </x:c>
      <x:c r="E1705" s="42" t="n">
        <x:v>-0.0003368483242896636</x:v>
      </x:c>
      <x:c r="F1705" s="42" t="n">
        <x:v>0.0004711298800620159</x:v>
      </x:c>
      <x:c r="G1705" s="43" t="n">
        <x:v>0.9916703730046088</x:v>
      </x:c>
      <x:c r="H1705" s="32" t="n">
        <x:v>977847.2760279116</x:v>
      </x:c>
      <x:c r="I1705" s="50" t="b">
        <x:v>1</x:v>
      </x:c>
      <x:c r="J1705" s="50" t="b">
        <x:v>0</x:v>
      </x:c>
      <x:c r="K1705" s="31"/>
      <x:c r="L1705" s="31"/>
    </x:row>
    <x:row r="1706">
      <x:c r="A1706" s="31"/>
      <x:c r="B1706" s="31"/>
      <x:c r="C1706" s="31"/>
      <x:c r="D1706" s="31" t="n">
        <x:v>1702</x:v>
      </x:c>
      <x:c r="E1706" s="42" t="n">
        <x:v>-0.006710936674574616</x:v>
      </x:c>
      <x:c r="F1706" s="42" t="n">
        <x:v>0.0004326846646185409</x:v>
      </x:c>
      <x:c r="G1706" s="43" t="n">
        <x:v>1.0316721485652085</x:v>
      </x:c>
      <x:c r="H1706" s="32" t="n">
        <x:v>706172.2677175156</x:v>
      </x:c>
      <x:c r="I1706" s="50" t="b">
        <x:v>1</x:v>
      </x:c>
      <x:c r="J1706" s="50" t="b">
        <x:v>0</x:v>
      </x:c>
      <x:c r="K1706" s="31"/>
      <x:c r="L1706" s="31"/>
    </x:row>
    <x:row r="1707">
      <x:c r="A1707" s="31"/>
      <x:c r="B1707" s="31"/>
      <x:c r="C1707" s="31"/>
      <x:c r="D1707" s="31" t="n">
        <x:v>1703</x:v>
      </x:c>
      <x:c r="E1707" s="42" t="n">
        <x:v>0.006595676487393546</x:v>
      </x:c>
      <x:c r="F1707" s="42" t="n">
        <x:v>0.000003482731202239891</x:v>
      </x:c>
      <x:c r="G1707" s="43" t="n">
        <x:v>1.1582433940843775</x:v>
      </x:c>
      <x:c r="H1707" s="32" t="n">
        <x:v>-59410.83689922909</x:v>
      </x:c>
      <x:c r="I1707" s="50" t="b">
        <x:v>1</x:v>
      </x:c>
      <x:c r="J1707" s="50" t="b">
        <x:v>1</x:v>
      </x:c>
      <x:c r="K1707" s="31"/>
      <x:c r="L1707" s="31"/>
    </x:row>
    <x:row r="1708">
      <x:c r="A1708" s="31"/>
      <x:c r="B1708" s="31"/>
      <x:c r="C1708" s="31"/>
      <x:c r="D1708" s="31" t="n">
        <x:v>1704</x:v>
      </x:c>
      <x:c r="E1708" s="42" t="n">
        <x:v>0.006625488004442484</x:v>
      </x:c>
      <x:c r="F1708" s="42" t="n">
        <x:v>0.009233390340112451</x:v>
      </x:c>
      <x:c r="G1708" s="43" t="n">
        <x:v>1.0176737903221924</x:v>
      </x:c>
      <x:c r="H1708" s="32" t="n">
        <x:v>807697.0309832689</x:v>
      </x:c>
      <x:c r="I1708" s="50" t="b">
        <x:v>1</x:v>
      </x:c>
      <x:c r="J1708" s="50" t="b">
        <x:v>0</x:v>
      </x:c>
      <x:c r="K1708" s="31"/>
      <x:c r="L1708" s="31"/>
    </x:row>
    <x:row r="1709">
      <x:c r="A1709" s="31"/>
      <x:c r="B1709" s="31"/>
      <x:c r="C1709" s="31"/>
      <x:c r="D1709" s="31" t="n">
        <x:v>1705</x:v>
      </x:c>
      <x:c r="E1709" s="42" t="n">
        <x:v>0.021734461407103493</x:v>
      </x:c>
      <x:c r="F1709" s="42" t="n">
        <x:v>-0.009693024274748902</x:v>
      </x:c>
      <x:c r="G1709" s="43" t="n">
        <x:v>1.022777323536657</x:v>
      </x:c>
      <x:c r="H1709" s="32" t="n">
        <x:v>870024.2375907678</x:v>
      </x:c>
      <x:c r="I1709" s="50" t="b">
        <x:v>1</x:v>
      </x:c>
      <x:c r="J1709" s="50" t="b">
        <x:v>0</x:v>
      </x:c>
      <x:c r="K1709" s="31"/>
      <x:c r="L1709" s="31"/>
    </x:row>
    <x:row r="1710">
      <x:c r="A1710" s="31"/>
      <x:c r="B1710" s="31"/>
      <x:c r="C1710" s="31"/>
      <x:c r="D1710" s="31" t="n">
        <x:v>1706</x:v>
      </x:c>
      <x:c r="E1710" s="42" t="n">
        <x:v>0.01839889631337498</x:v>
      </x:c>
      <x:c r="F1710" s="42" t="n">
        <x:v>-0.0056209778982940686</x:v>
      </x:c>
      <x:c r="G1710" s="43" t="n">
        <x:v>0.9426750909507464</x:v>
      </x:c>
      <x:c r="H1710" s="32" t="n">
        <x:v>1358110.8944668116</x:v>
      </x:c>
      <x:c r="I1710" s="50" t="b">
        <x:v>0</x:v>
      </x:c>
      <x:c r="J1710" s="50" t="b">
        <x:v>0</x:v>
      </x:c>
      <x:c r="K1710" s="31"/>
      <x:c r="L1710" s="31"/>
    </x:row>
    <x:row r="1711">
      <x:c r="A1711" s="31"/>
      <x:c r="B1711" s="31"/>
      <x:c r="C1711" s="31"/>
      <x:c r="D1711" s="31" t="n">
        <x:v>1707</x:v>
      </x:c>
      <x:c r="E1711" s="42" t="n">
        <x:v>0.007991587634552147</x:v>
      </x:c>
      <x:c r="F1711" s="42" t="n">
        <x:v>0.005018036878559724</x:v>
      </x:c>
      <x:c r="G1711" s="43" t="n">
        <x:v>1.02734272003382</x:v>
      </x:c>
      <x:c r="H1711" s="32" t="n">
        <x:v>761828.5779040952</x:v>
      </x:c>
      <x:c r="I1711" s="50" t="b">
        <x:v>1</x:v>
      </x:c>
      <x:c r="J1711" s="50" t="b">
        <x:v>0</x:v>
      </x:c>
      <x:c r="K1711" s="31"/>
      <x:c r="L1711" s="31"/>
    </x:row>
    <x:row r="1712">
      <x:c r="A1712" s="31"/>
      <x:c r="B1712" s="31"/>
      <x:c r="C1712" s="31"/>
      <x:c r="D1712" s="31" t="n">
        <x:v>1708</x:v>
      </x:c>
      <x:c r="E1712" s="42" t="n">
        <x:v>0.0017629736333877708</x:v>
      </x:c>
      <x:c r="F1712" s="42" t="n">
        <x:v>0.01248626667960802</x:v>
      </x:c>
      <x:c r="G1712" s="43" t="n">
        <x:v>0.9319415425779198</x:v>
      </x:c>
      <x:c r="H1712" s="32" t="n">
        <x:v>1329568.1522475483</x:v>
      </x:c>
      <x:c r="I1712" s="50" t="b">
        <x:v>0</x:v>
      </x:c>
      <x:c r="J1712" s="50" t="b">
        <x:v>0</x:v>
      </x:c>
      <x:c r="K1712" s="31"/>
      <x:c r="L1712" s="31"/>
    </x:row>
    <x:row r="1713">
      <x:c r="A1713" s="31"/>
      <x:c r="B1713" s="31"/>
      <x:c r="C1713" s="31"/>
      <x:c r="D1713" s="31" t="n">
        <x:v>1709</x:v>
      </x:c>
      <x:c r="E1713" s="42" t="n">
        <x:v>0.0032699907017980853</x:v>
      </x:c>
      <x:c r="F1713" s="42" t="n">
        <x:v>0.007359040529624464</x:v>
      </x:c>
      <x:c r="G1713" s="43" t="n">
        <x:v>1.03246942142578</x:v>
      </x:c>
      <x:c r="H1713" s="32" t="n">
        <x:v>709611.4879121154</x:v>
      </x:c>
      <x:c r="I1713" s="50" t="b">
        <x:v>1</x:v>
      </x:c>
      <x:c r="J1713" s="50" t="b">
        <x:v>0</x:v>
      </x:c>
      <x:c r="K1713" s="31"/>
      <x:c r="L1713" s="31"/>
    </x:row>
    <x:row r="1714">
      <x:c r="A1714" s="31"/>
      <x:c r="B1714" s="31"/>
      <x:c r="C1714" s="31"/>
      <x:c r="D1714" s="31" t="n">
        <x:v>1710</x:v>
      </x:c>
      <x:c r="E1714" s="42" t="n">
        <x:v>-0.0007170471204703577</x:v>
      </x:c>
      <x:c r="F1714" s="42" t="n">
        <x:v>0.0012655589670035644</x:v>
      </x:c>
      <x:c r="G1714" s="43" t="n">
        <x:v>1.0346206476962367</x:v>
      </x:c>
      <x:c r="H1714" s="32" t="n">
        <x:v>701813.0103784326</x:v>
      </x:c>
      <x:c r="I1714" s="50" t="b">
        <x:v>1</x:v>
      </x:c>
      <x:c r="J1714" s="50" t="b">
        <x:v>0</x:v>
      </x:c>
      <x:c r="K1714" s="31"/>
      <x:c r="L1714" s="31"/>
    </x:row>
    <x:row r="1715">
      <x:c r="A1715" s="31"/>
      <x:c r="B1715" s="31"/>
      <x:c r="C1715" s="31"/>
      <x:c r="D1715" s="31" t="n">
        <x:v>1711</x:v>
      </x:c>
      <x:c r="E1715" s="42" t="n">
        <x:v>0.0014376795110686417</x:v>
      </x:c>
      <x:c r="F1715" s="42" t="n">
        <x:v>0.004632073863257498</x:v>
      </x:c>
      <x:c r="G1715" s="43" t="n">
        <x:v>0.9490219229022564</x:v>
      </x:c>
      <x:c r="H1715" s="32" t="n">
        <x:v>1242052.4967792162</x:v>
      </x:c>
      <x:c r="I1715" s="50" t="b">
        <x:v>0</x:v>
      </x:c>
      <x:c r="J1715" s="50" t="b">
        <x:v>0</x:v>
      </x:c>
      <x:c r="K1715" s="31"/>
      <x:c r="L1715" s="31"/>
    </x:row>
    <x:row r="1716">
      <x:c r="A1716" s="31"/>
      <x:c r="B1716" s="31"/>
      <x:c r="C1716" s="31"/>
      <x:c r="D1716" s="31" t="n">
        <x:v>1712</x:v>
      </x:c>
      <x:c r="E1716" s="42" t="n">
        <x:v>0.021754517848765947</x:v>
      </x:c>
      <x:c r="F1716" s="42" t="n">
        <x:v>0.005225873410940891</x:v>
      </x:c>
      <x:c r="G1716" s="43" t="n">
        <x:v>0.963800017073922</x:v>
      </x:c>
      <x:c r="H1716" s="32" t="n">
        <x:v>1203100.648181648</x:v>
      </x:c>
      <x:c r="I1716" s="50" t="b">
        <x:v>0</x:v>
      </x:c>
      <x:c r="J1716" s="50" t="b">
        <x:v>0</x:v>
      </x:c>
      <x:c r="K1716" s="31"/>
      <x:c r="L1716" s="31"/>
    </x:row>
    <x:row r="1717">
      <x:c r="A1717" s="31"/>
      <x:c r="B1717" s="31"/>
      <x:c r="C1717" s="31"/>
      <x:c r="D1717" s="31" t="n">
        <x:v>1713</x:v>
      </x:c>
      <x:c r="E1717" s="42" t="n">
        <x:v>-0.006081887951957142</x:v>
      </x:c>
      <x:c r="F1717" s="42" t="n">
        <x:v>0.0016139056829828301</x:v>
      </x:c>
      <x:c r="G1717" s="43" t="n">
        <x:v>1.0430306072129725</x:v>
      </x:c>
      <x:c r="H1717" s="32" t="n">
        <x:v>632501.0270954558</x:v>
      </x:c>
      <x:c r="I1717" s="50" t="b">
        <x:v>1</x:v>
      </x:c>
      <x:c r="J1717" s="50" t="b">
        <x:v>0</x:v>
      </x:c>
      <x:c r="K1717" s="31"/>
      <x:c r="L1717" s="31"/>
    </x:row>
    <x:row r="1718">
      <x:c r="A1718" s="31"/>
      <x:c r="B1718" s="31"/>
      <x:c r="C1718" s="31"/>
      <x:c r="D1718" s="31" t="n">
        <x:v>1714</x:v>
      </x:c>
      <x:c r="E1718" s="42" t="n">
        <x:v>-0.005779049573546754</x:v>
      </x:c>
      <x:c r="F1718" s="42" t="n">
        <x:v>-0.005102962643487077</x:v>
      </x:c>
      <x:c r="G1718" s="43" t="n">
        <x:v>0.9977226125540587</x:v>
      </x:c>
      <x:c r="H1718" s="32" t="n">
        <x:v>939778.3908060273</x:v>
      </x:c>
      <x:c r="I1718" s="50" t="b">
        <x:v>1</x:v>
      </x:c>
      <x:c r="J1718" s="50" t="b">
        <x:v>0</x:v>
      </x:c>
      <x:c r="K1718" s="31"/>
      <x:c r="L1718" s="31"/>
    </x:row>
    <x:row r="1719">
      <x:c r="A1719" s="31"/>
      <x:c r="B1719" s="31"/>
      <x:c r="C1719" s="31"/>
      <x:c r="D1719" s="31" t="n">
        <x:v>1715</x:v>
      </x:c>
      <x:c r="E1719" s="42" t="n">
        <x:v>0.0145254908773371</x:v>
      </x:c>
      <x:c r="F1719" s="42" t="n">
        <x:v>-0.002121740717921473</x:v>
      </x:c>
      <x:c r="G1719" s="43" t="n">
        <x:v>0.9609873145832042</x:v>
      </x:c>
      <x:c r="H1719" s="32" t="n">
        <x:v>1221293.3910150775</x:v>
      </x:c>
      <x:c r="I1719" s="50" t="b">
        <x:v>0</x:v>
      </x:c>
      <x:c r="J1719" s="50" t="b">
        <x:v>0</x:v>
      </x:c>
      <x:c r="K1719" s="31"/>
      <x:c r="L1719" s="31"/>
    </x:row>
    <x:row r="1720">
      <x:c r="A1720" s="31"/>
      <x:c r="B1720" s="31"/>
      <x:c r="C1720" s="31"/>
      <x:c r="D1720" s="31" t="n">
        <x:v>1716</x:v>
      </x:c>
      <x:c r="E1720" s="42" t="n">
        <x:v>-0.002594811002265094</x:v>
      </x:c>
      <x:c r="F1720" s="42" t="n">
        <x:v>-0.0011796533972539373</x:v>
      </x:c>
      <x:c r="G1720" s="43" t="n">
        <x:v>0.9595853475814661</x:v>
      </x:c>
      <x:c r="H1720" s="32" t="n">
        <x:v>1179919.813672974</x:v>
      </x:c>
      <x:c r="I1720" s="50" t="b">
        <x:v>0</x:v>
      </x:c>
      <x:c r="J1720" s="50" t="b">
        <x:v>0</x:v>
      </x:c>
      <x:c r="K1720" s="31"/>
      <x:c r="L1720" s="31"/>
    </x:row>
    <x:row r="1721">
      <x:c r="A1721" s="31"/>
      <x:c r="B1721" s="31"/>
      <x:c r="C1721" s="31"/>
      <x:c r="D1721" s="31" t="n">
        <x:v>1717</x:v>
      </x:c>
      <x:c r="E1721" s="42" t="n">
        <x:v>-0.007452351117763529</x:v>
      </x:c>
      <x:c r="F1721" s="42" t="n">
        <x:v>-0.00161600839806228</x:v>
      </x:c>
      <x:c r="G1721" s="43" t="n">
        <x:v>0.9501887478723527</x:v>
      </x:c>
      <x:c r="H1721" s="32" t="n">
        <x:v>1227288.4099971196</x:v>
      </x:c>
      <x:c r="I1721" s="50" t="b">
        <x:v>0</x:v>
      </x:c>
      <x:c r="J1721" s="50" t="b">
        <x:v>0</x:v>
      </x:c>
      <x:c r="K1721" s="31"/>
      <x:c r="L1721" s="31"/>
    </x:row>
    <x:row r="1722">
      <x:c r="A1722" s="31"/>
      <x:c r="B1722" s="31"/>
      <x:c r="C1722" s="31"/>
      <x:c r="D1722" s="31" t="n">
        <x:v>1718</x:v>
      </x:c>
      <x:c r="E1722" s="42" t="n">
        <x:v>0.010669020475249548</x:v>
      </x:c>
      <x:c r="F1722" s="42" t="n">
        <x:v>-0.002894395828356632</x:v>
      </x:c>
      <x:c r="G1722" s="43" t="n">
        <x:v>0.9555981031452071</x:v>
      </x:c>
      <x:c r="H1722" s="32" t="n">
        <x:v>1246934.832218157</x:v>
      </x:c>
      <x:c r="I1722" s="50" t="b">
        <x:v>0</x:v>
      </x:c>
      <x:c r="J1722" s="50" t="b">
        <x:v>0</x:v>
      </x:c>
      <x:c r="K1722" s="31"/>
      <x:c r="L1722" s="31"/>
    </x:row>
    <x:row r="1723">
      <x:c r="A1723" s="31"/>
      <x:c r="B1723" s="31"/>
      <x:c r="C1723" s="31"/>
      <x:c r="D1723" s="31" t="n">
        <x:v>1719</x:v>
      </x:c>
      <x:c r="E1723" s="42" t="n">
        <x:v>0.0031767856915768736</x:v>
      </x:c>
      <x:c r="F1723" s="42" t="n">
        <x:v>0.003363337688040244</x:v>
      </x:c>
      <x:c r="G1723" s="43" t="n">
        <x:v>0.9641226780355515</x:v>
      </x:c>
      <x:c r="H1723" s="32" t="n">
        <x:v>1154524.4027679695</x:v>
      </x:c>
      <x:c r="I1723" s="50" t="b">
        <x:v>0</x:v>
      </x:c>
      <x:c r="J1723" s="50" t="b">
        <x:v>0</x:v>
      </x:c>
      <x:c r="K1723" s="31"/>
      <x:c r="L1723" s="31"/>
    </x:row>
    <x:row r="1724">
      <x:c r="A1724" s="31"/>
      <x:c r="B1724" s="31"/>
      <x:c r="C1724" s="31"/>
      <x:c r="D1724" s="31" t="n">
        <x:v>1720</x:v>
      </x:c>
      <x:c r="E1724" s="42" t="n">
        <x:v>-0.0017706193329849545</x:v>
      </x:c>
      <x:c r="F1724" s="42" t="n">
        <x:v>-0.006590492522976457</x:v>
      </x:c>
      <x:c r="G1724" s="43" t="n">
        <x:v>1.0283210339227746</x:v>
      </x:c>
      <x:c r="H1724" s="32" t="n">
        <x:v>760754.871260731</x:v>
      </x:c>
      <x:c r="I1724" s="50" t="b">
        <x:v>1</x:v>
      </x:c>
      <x:c r="J1724" s="50" t="b">
        <x:v>0</x:v>
      </x:c>
      <x:c r="K1724" s="31"/>
      <x:c r="L1724" s="31"/>
    </x:row>
    <x:row r="1725">
      <x:c r="A1725" s="31"/>
      <x:c r="B1725" s="31"/>
      <x:c r="C1725" s="31"/>
      <x:c r="D1725" s="31" t="n">
        <x:v>1721</x:v>
      </x:c>
      <x:c r="E1725" s="42" t="n">
        <x:v>-0.0011205394827169225</x:v>
      </x:c>
      <x:c r="F1725" s="42" t="n">
        <x:v>-0.0041618594897166955</x:v>
      </x:c>
      <x:c r="G1725" s="43" t="n">
        <x:v>1.0963756410666183</x:v>
      </x:c>
      <x:c r="H1725" s="32" t="n">
        <x:v>323609.2754774613</x:v>
      </x:c>
      <x:c r="I1725" s="50" t="b">
        <x:v>1</x:v>
      </x:c>
      <x:c r="J1725" s="50" t="b">
        <x:v>0</x:v>
      </x:c>
      <x:c r="K1725" s="31"/>
      <x:c r="L1725" s="31"/>
    </x:row>
    <x:row r="1726">
      <x:c r="A1726" s="31"/>
      <x:c r="B1726" s="31"/>
      <x:c r="C1726" s="31"/>
      <x:c r="D1726" s="31" t="n">
        <x:v>1722</x:v>
      </x:c>
      <x:c r="E1726" s="42" t="n">
        <x:v>-0.022328946861129413</x:v>
      </x:c>
      <x:c r="F1726" s="42" t="n">
        <x:v>-0.002045711040394164</x:v>
      </x:c>
      <x:c r="G1726" s="43" t="n">
        <x:v>1.0583628998842285</x:v>
      </x:c>
      <x:c r="H1726" s="32" t="n">
        <x:v>500092.6855249009</x:v>
      </x:c>
      <x:c r="I1726" s="50" t="b">
        <x:v>1</x:v>
      </x:c>
      <x:c r="J1726" s="50" t="b">
        <x:v>0</x:v>
      </x:c>
      <x:c r="K1726" s="31"/>
      <x:c r="L1726" s="31"/>
    </x:row>
    <x:row r="1727">
      <x:c r="A1727" s="31"/>
      <x:c r="B1727" s="31"/>
      <x:c r="C1727" s="31"/>
      <x:c r="D1727" s="31" t="n">
        <x:v>1723</x:v>
      </x:c>
      <x:c r="E1727" s="42" t="n">
        <x:v>-0.00417135143398667</x:v>
      </x:c>
      <x:c r="F1727" s="42" t="n">
        <x:v>0.007233019593364368</x:v>
      </x:c>
      <x:c r="G1727" s="43" t="n">
        <x:v>1.012409827927154</x:v>
      </x:c>
      <x:c r="H1727" s="32" t="n">
        <x:v>816641.7546909947</x:v>
      </x:c>
      <x:c r="I1727" s="50" t="b">
        <x:v>1</x:v>
      </x:c>
      <x:c r="J1727" s="50" t="b">
        <x:v>0</x:v>
      </x:c>
      <x:c r="K1727" s="31"/>
      <x:c r="L1727" s="31"/>
    </x:row>
    <x:row r="1728">
      <x:c r="A1728" s="31"/>
      <x:c r="B1728" s="31"/>
      <x:c r="C1728" s="31"/>
      <x:c r="D1728" s="31" t="n">
        <x:v>1724</x:v>
      </x:c>
      <x:c r="E1728" s="42" t="n">
        <x:v>0.0038362553542702314</x:v>
      </x:c>
      <x:c r="F1728" s="42" t="n">
        <x:v>0.002183929553816128</x:v>
      </x:c>
      <x:c r="G1728" s="43" t="n">
        <x:v>1.0185572509470364</x:v>
      </x:c>
      <x:c r="H1728" s="32" t="n">
        <x:v>813944.8697741199</x:v>
      </x:c>
      <x:c r="I1728" s="50" t="b">
        <x:v>1</x:v>
      </x:c>
      <x:c r="J1728" s="50" t="b">
        <x:v>0</x:v>
      </x:c>
      <x:c r="K1728" s="31"/>
      <x:c r="L1728" s="31"/>
    </x:row>
    <x:row r="1729">
      <x:c r="A1729" s="31"/>
      <x:c r="B1729" s="31"/>
      <x:c r="C1729" s="31"/>
      <x:c r="D1729" s="31" t="n">
        <x:v>1725</x:v>
      </x:c>
      <x:c r="E1729" s="42" t="n">
        <x:v>-0.0017133408123870262</x:v>
      </x:c>
      <x:c r="F1729" s="42" t="n">
        <x:v>-0.001133143990652902</x:v>
      </x:c>
      <x:c r="G1729" s="43" t="n">
        <x:v>0.9826690037811032</x:v>
      </x:c>
      <x:c r="H1729" s="32" t="n">
        <x:v>1035646.3801508127</x:v>
      </x:c>
      <x:c r="I1729" s="50" t="b">
        <x:v>0</x:v>
      </x:c>
      <x:c r="J1729" s="50" t="b">
        <x:v>0</x:v>
      </x:c>
      <x:c r="K1729" s="31"/>
      <x:c r="L1729" s="31"/>
    </x:row>
    <x:row r="1730">
      <x:c r="A1730" s="31"/>
      <x:c r="B1730" s="31"/>
      <x:c r="C1730" s="31"/>
      <x:c r="D1730" s="31" t="n">
        <x:v>1726</x:v>
      </x:c>
      <x:c r="E1730" s="42" t="n">
        <x:v>0.004931621960790734</x:v>
      </x:c>
      <x:c r="F1730" s="42" t="n">
        <x:v>-0.002191350717566906</x:v>
      </x:c>
      <x:c r="G1730" s="43" t="n">
        <x:v>0.9980469403665356</x:v>
      </x:c>
      <x:c r="H1730" s="32" t="n">
        <x:v>959427.5347952788</x:v>
      </x:c>
      <x:c r="I1730" s="50" t="b">
        <x:v>1</x:v>
      </x:c>
      <x:c r="J1730" s="50" t="b">
        <x:v>0</x:v>
      </x:c>
      <x:c r="K1730" s="31"/>
      <x:c r="L1730" s="31"/>
    </x:row>
    <x:row r="1731">
      <x:c r="A1731" s="31"/>
      <x:c r="B1731" s="31"/>
      <x:c r="C1731" s="31"/>
      <x:c r="D1731" s="31" t="n">
        <x:v>1727</x:v>
      </x:c>
      <x:c r="E1731" s="42" t="n">
        <x:v>0.0064319532274653615</x:v>
      </x:c>
      <x:c r="F1731" s="42" t="n">
        <x:v>0.0002973727276233575</x:v>
      </x:c>
      <x:c r="G1731" s="43" t="n">
        <x:v>0.9685899219813185</x:v>
      </x:c>
      <x:c r="H1731" s="32" t="n">
        <x:v>1143749.2523028264</x:v>
      </x:c>
      <x:c r="I1731" s="50" t="b">
        <x:v>0</x:v>
      </x:c>
      <x:c r="J1731" s="50" t="b">
        <x:v>0</x:v>
      </x:c>
      <x:c r="K1731" s="31"/>
      <x:c r="L1731" s="31"/>
    </x:row>
    <x:row r="1732">
      <x:c r="A1732" s="31"/>
      <x:c r="B1732" s="31"/>
      <x:c r="C1732" s="31"/>
      <x:c r="D1732" s="31" t="n">
        <x:v>1728</x:v>
      </x:c>
      <x:c r="E1732" s="42" t="n">
        <x:v>0.0068875205973427745</x:v>
      </x:c>
      <x:c r="F1732" s="42" t="n">
        <x:v>0.013858196716008143</x:v>
      </x:c>
      <x:c r="G1732" s="43" t="n">
        <x:v>1.0088343568464007</x:v>
      </x:c>
      <x:c r="H1732" s="32" t="n">
        <x:v>851689.816361366</x:v>
      </x:c>
      <x:c r="I1732" s="50" t="b">
        <x:v>1</x:v>
      </x:c>
      <x:c r="J1732" s="50" t="b">
        <x:v>0</x:v>
      </x:c>
      <x:c r="K1732" s="31"/>
      <x:c r="L1732" s="31"/>
    </x:row>
    <x:row r="1733">
      <x:c r="A1733" s="31"/>
      <x:c r="B1733" s="31"/>
      <x:c r="C1733" s="31"/>
      <x:c r="D1733" s="31" t="n">
        <x:v>1729</x:v>
      </x:c>
      <x:c r="E1733" s="42" t="n">
        <x:v>-0.0017324522944580027</x:v>
      </x:c>
      <x:c r="F1733" s="42" t="n">
        <x:v>-0.0015772185663362186</x:v>
      </x:c>
      <x:c r="G1733" s="43" t="n">
        <x:v>0.9768607782679658</x:v>
      </x:c>
      <x:c r="H1733" s="32" t="n">
        <x:v>1073715.619900911</x:v>
      </x:c>
      <x:c r="I1733" s="50" t="b">
        <x:v>0</x:v>
      </x:c>
      <x:c r="J1733" s="50" t="b">
        <x:v>0</x:v>
      </x:c>
      <x:c r="K1733" s="31"/>
      <x:c r="L1733" s="31"/>
    </x:row>
    <x:row r="1734">
      <x:c r="A1734" s="31"/>
      <x:c r="B1734" s="31"/>
      <x:c r="C1734" s="31"/>
      <x:c r="D1734" s="31" t="n">
        <x:v>1730</x:v>
      </x:c>
      <x:c r="E1734" s="42" t="n">
        <x:v>-0.0099685167504574</x:v>
      </x:c>
      <x:c r="F1734" s="42" t="n">
        <x:v>-0.0035438557955439413</x:v>
      </x:c>
      <x:c r="G1734" s="43" t="n">
        <x:v>0.9769828566071741</x:v>
      </x:c>
      <x:c r="H1734" s="32" t="n">
        <x:v>1055489.2463315218</x:v>
      </x:c>
      <x:c r="I1734" s="50" t="b">
        <x:v>0</x:v>
      </x:c>
      <x:c r="J1734" s="50" t="b">
        <x:v>0</x:v>
      </x:c>
      <x:c r="K1734" s="31"/>
      <x:c r="L1734" s="31"/>
    </x:row>
    <x:row r="1735">
      <x:c r="A1735" s="31"/>
      <x:c r="B1735" s="31"/>
      <x:c r="C1735" s="31"/>
      <x:c r="D1735" s="31" t="n">
        <x:v>1731</x:v>
      </x:c>
      <x:c r="E1735" s="42" t="n">
        <x:v>-0.01694445338202522</x:v>
      </x:c>
      <x:c r="F1735" s="42" t="n">
        <x:v>-0.0014849993536776738</x:v>
      </x:c>
      <x:c r="G1735" s="43" t="n">
        <x:v>0.9542424889530338</x:v>
      </x:c>
      <x:c r="H1735" s="32" t="n">
        <x:v>1174758.1395230906</x:v>
      </x:c>
      <x:c r="I1735" s="50" t="b">
        <x:v>0</x:v>
      </x:c>
      <x:c r="J1735" s="50" t="b">
        <x:v>0</x:v>
      </x:c>
      <x:c r="K1735" s="31"/>
      <x:c r="L1735" s="31"/>
    </x:row>
    <x:row r="1736">
      <x:c r="A1736" s="31"/>
      <x:c r="B1736" s="31"/>
      <x:c r="C1736" s="31"/>
      <x:c r="D1736" s="31" t="n">
        <x:v>1732</x:v>
      </x:c>
      <x:c r="E1736" s="42" t="n">
        <x:v>0.012939298376826475</x:v>
      </x:c>
      <x:c r="F1736" s="42" t="n">
        <x:v>-0.003868783973257432</x:v>
      </x:c>
      <x:c r="G1736" s="43" t="n">
        <x:v>1.0046130746871165</x:v>
      </x:c>
      <x:c r="H1736" s="32" t="n">
        <x:v>944686.6489909913</x:v>
      </x:c>
      <x:c r="I1736" s="50" t="b">
        <x:v>1</x:v>
      </x:c>
      <x:c r="J1736" s="50" t="b">
        <x:v>0</x:v>
      </x:c>
      <x:c r="K1736" s="31"/>
      <x:c r="L1736" s="31"/>
    </x:row>
    <x:row r="1737">
      <x:c r="A1737" s="31"/>
      <x:c r="B1737" s="31"/>
      <x:c r="C1737" s="31"/>
      <x:c r="D1737" s="31" t="n">
        <x:v>1733</x:v>
      </x:c>
      <x:c r="E1737" s="42" t="n">
        <x:v>0.009612361998111732</x:v>
      </x:c>
      <x:c r="F1737" s="42" t="n">
        <x:v>-0.00887465350161811</x:v>
      </x:c>
      <x:c r="G1737" s="43" t="n">
        <x:v>1.013105487736945</x:v>
      </x:c>
      <x:c r="H1737" s="32" t="n">
        <x:v>895427.1591936457</x:v>
      </x:c>
      <x:c r="I1737" s="50" t="b">
        <x:v>1</x:v>
      </x:c>
      <x:c r="J1737" s="50" t="b">
        <x:v>0</x:v>
      </x:c>
      <x:c r="K1737" s="31"/>
      <x:c r="L1737" s="31"/>
    </x:row>
    <x:row r="1738">
      <x:c r="A1738" s="31"/>
      <x:c r="B1738" s="31"/>
      <x:c r="C1738" s="31"/>
      <x:c r="D1738" s="31" t="n">
        <x:v>1734</x:v>
      </x:c>
      <x:c r="E1738" s="42" t="n">
        <x:v>-0.0017599667017778324</x:v>
      </x:c>
      <x:c r="F1738" s="42" t="n">
        <x:v>0.0032526427737851293</x:v>
      </x:c>
      <x:c r="G1738" s="43" t="n">
        <x:v>1.0288228275706601</x:v>
      </x:c>
      <x:c r="H1738" s="32" t="n">
        <x:v>730199.1927623339</x:v>
      </x:c>
      <x:c r="I1738" s="50" t="b">
        <x:v>1</x:v>
      </x:c>
      <x:c r="J1738" s="50" t="b">
        <x:v>0</x:v>
      </x:c>
      <x:c r="K1738" s="31"/>
      <x:c r="L1738" s="31"/>
    </x:row>
    <x:row r="1739">
      <x:c r="A1739" s="31"/>
      <x:c r="B1739" s="31"/>
      <x:c r="C1739" s="31"/>
      <x:c r="D1739" s="31" t="n">
        <x:v>1735</x:v>
      </x:c>
      <x:c r="E1739" s="42" t="n">
        <x:v>-0.018771235508162225</x:v>
      </x:c>
      <x:c r="F1739" s="42" t="n">
        <x:v>0.0051198715547169996</x:v>
      </x:c>
      <x:c r="G1739" s="43" t="n">
        <x:v>0.9927476994130833</x:v>
      </x:c>
      <x:c r="H1739" s="32" t="n">
        <x:v>906753.0894945482</x:v>
      </x:c>
      <x:c r="I1739" s="50" t="b">
        <x:v>1</x:v>
      </x:c>
      <x:c r="J1739" s="50" t="b">
        <x:v>0</x:v>
      </x:c>
      <x:c r="K1739" s="31"/>
      <x:c r="L1739" s="31"/>
    </x:row>
    <x:row r="1740">
      <x:c r="A1740" s="31"/>
      <x:c r="B1740" s="31"/>
      <x:c r="C1740" s="31"/>
      <x:c r="D1740" s="31" t="n">
        <x:v>1736</x:v>
      </x:c>
      <x:c r="E1740" s="42" t="n">
        <x:v>0.00677816795681268</x:v>
      </x:c>
      <x:c r="F1740" s="42" t="n">
        <x:v>-0.0071299945438300545</x:v>
      </x:c>
      <x:c r="G1740" s="43" t="n">
        <x:v>0.9153903881479883</x:v>
      </x:c>
      <x:c r="H1740" s="32" t="n">
        <x:v>1503241.9073805907</x:v>
      </x:c>
      <x:c r="I1740" s="50" t="b">
        <x:v>0</x:v>
      </x:c>
      <x:c r="J1740" s="50" t="b">
        <x:v>0</x:v>
      </x:c>
      <x:c r="K1740" s="31"/>
      <x:c r="L1740" s="31"/>
    </x:row>
    <x:row r="1741">
      <x:c r="A1741" s="31"/>
      <x:c r="B1741" s="31"/>
      <x:c r="C1741" s="31"/>
      <x:c r="D1741" s="31" t="n">
        <x:v>1737</x:v>
      </x:c>
      <x:c r="E1741" s="42" t="n">
        <x:v>-0.008262720136960404</x:v>
      </x:c>
      <x:c r="F1741" s="42" t="n">
        <x:v>0.001663513186718125</x:v>
      </x:c>
      <x:c r="G1741" s="43" t="n">
        <x:v>1.051277229579332</x:v>
      </x:c>
      <x:c r="H1741" s="32" t="n">
        <x:v>573920.6562619505</x:v>
      </x:c>
      <x:c r="I1741" s="50" t="b">
        <x:v>1</x:v>
      </x:c>
      <x:c r="J1741" s="50" t="b">
        <x:v>0</x:v>
      </x:c>
      <x:c r="K1741" s="31"/>
      <x:c r="L1741" s="31"/>
    </x:row>
    <x:row r="1742">
      <x:c r="A1742" s="31"/>
      <x:c r="B1742" s="31"/>
      <x:c r="C1742" s="31"/>
      <x:c r="D1742" s="31" t="n">
        <x:v>1738</x:v>
      </x:c>
      <x:c r="E1742" s="42" t="n">
        <x:v>0.009501582971282752</x:v>
      </x:c>
      <x:c r="F1742" s="42" t="n">
        <x:v>0.0012984168001450962</x:v>
      </x:c>
      <x:c r="G1742" s="43" t="n">
        <x:v>1.015657912714227</x:v>
      </x:c>
      <x:c r="H1742" s="32" t="n">
        <x:v>850592.1303263558</x:v>
      </x:c>
      <x:c r="I1742" s="50" t="b">
        <x:v>1</x:v>
      </x:c>
      <x:c r="J1742" s="50" t="b">
        <x:v>0</x:v>
      </x:c>
      <x:c r="K1742" s="31"/>
      <x:c r="L1742" s="31"/>
    </x:row>
    <x:row r="1743">
      <x:c r="A1743" s="31"/>
      <x:c r="B1743" s="31"/>
      <x:c r="C1743" s="31"/>
      <x:c r="D1743" s="31" t="n">
        <x:v>1739</x:v>
      </x:c>
      <x:c r="E1743" s="42" t="n">
        <x:v>-0.0008792401716129184</x:v>
      </x:c>
      <x:c r="F1743" s="42" t="n">
        <x:v>-0.002288587627623108</x:v>
      </x:c>
      <x:c r="G1743" s="43" t="n">
        <x:v>0.9805808433708403</x:v>
      </x:c>
      <x:c r="H1743" s="32" t="n">
        <x:v>1054445.6182486818</x:v>
      </x:c>
      <x:c r="I1743" s="50" t="b">
        <x:v>0</x:v>
      </x:c>
      <x:c r="J1743" s="50" t="b">
        <x:v>0</x:v>
      </x:c>
      <x:c r="K1743" s="31"/>
      <x:c r="L1743" s="31"/>
    </x:row>
    <x:row r="1744">
      <x:c r="A1744" s="31"/>
      <x:c r="B1744" s="31"/>
      <x:c r="C1744" s="31"/>
      <x:c r="D1744" s="31" t="n">
        <x:v>1740</x:v>
      </x:c>
      <x:c r="E1744" s="42" t="n">
        <x:v>-0.01729563928196042</x:v>
      </x:c>
      <x:c r="F1744" s="42" t="n">
        <x:v>-0.011147548490676961</x:v>
      </x:c>
      <x:c r="G1744" s="43" t="n">
        <x:v>1.0867022985347554</x:v>
      </x:c>
      <x:c r="H1744" s="32" t="n">
        <x:v>359462.92283879966</x:v>
      </x:c>
      <x:c r="I1744" s="50" t="b">
        <x:v>1</x:v>
      </x:c>
      <x:c r="J1744" s="50" t="b">
        <x:v>0</x:v>
      </x:c>
      <x:c r="K1744" s="31"/>
      <x:c r="L1744" s="31"/>
    </x:row>
    <x:row r="1745">
      <x:c r="A1745" s="31"/>
      <x:c r="B1745" s="31"/>
      <x:c r="C1745" s="31"/>
      <x:c r="D1745" s="31" t="n">
        <x:v>1741</x:v>
      </x:c>
      <x:c r="E1745" s="42" t="n">
        <x:v>0.009710715895148662</x:v>
      </x:c>
      <x:c r="F1745" s="42" t="n">
        <x:v>0.006885384060541876</x:v>
      </x:c>
      <x:c r="G1745" s="43" t="n">
        <x:v>0.9381567377380339</x:v>
      </x:c>
      <x:c r="H1745" s="32" t="n">
        <x:v>1327810.1588818769</x:v>
      </x:c>
      <x:c r="I1745" s="50" t="b">
        <x:v>0</x:v>
      </x:c>
      <x:c r="J1745" s="50" t="b">
        <x:v>0</x:v>
      </x:c>
      <x:c r="K1745" s="31"/>
      <x:c r="L1745" s="31"/>
    </x:row>
    <x:row r="1746">
      <x:c r="A1746" s="31"/>
      <x:c r="B1746" s="31"/>
      <x:c r="C1746" s="31"/>
      <x:c r="D1746" s="31" t="n">
        <x:v>1742</x:v>
      </x:c>
      <x:c r="E1746" s="42" t="n">
        <x:v>-0.004040764098569367</x:v>
      </x:c>
      <x:c r="F1746" s="42" t="n">
        <x:v>0.005223168712918477</x:v>
      </x:c>
      <x:c r="G1746" s="43" t="n">
        <x:v>0.9789489303770883</x:v>
      </x:c>
      <x:c r="H1746" s="32" t="n">
        <x:v>1035100.1093140747</x:v>
      </x:c>
      <x:c r="I1746" s="50" t="b">
        <x:v>0</x:v>
      </x:c>
      <x:c r="J1746" s="50" t="b">
        <x:v>0</x:v>
      </x:c>
      <x:c r="K1746" s="31"/>
      <x:c r="L1746" s="31"/>
    </x:row>
    <x:row r="1747">
      <x:c r="A1747" s="31"/>
      <x:c r="B1747" s="31"/>
      <x:c r="C1747" s="31"/>
      <x:c r="D1747" s="31" t="n">
        <x:v>1743</x:v>
      </x:c>
      <x:c r="E1747" s="42" t="n">
        <x:v>0.005182074009983205</x:v>
      </x:c>
      <x:c r="F1747" s="42" t="n">
        <x:v>0.0110553953125044</x:v>
      </x:c>
      <x:c r="G1747" s="43" t="n">
        <x:v>1.0028138054112499</x:v>
      </x:c>
      <x:c r="H1747" s="32" t="n">
        <x:v>892979.0933556476</x:v>
      </x:c>
      <x:c r="I1747" s="50" t="b">
        <x:v>1</x:v>
      </x:c>
      <x:c r="J1747" s="50" t="b">
        <x:v>0</x:v>
      </x:c>
      <x:c r="K1747" s="31"/>
      <x:c r="L1747" s="31"/>
    </x:row>
    <x:row r="1748">
      <x:c r="A1748" s="31"/>
      <x:c r="B1748" s="31"/>
      <x:c r="C1748" s="31"/>
      <x:c r="D1748" s="31" t="n">
        <x:v>1744</x:v>
      </x:c>
      <x:c r="E1748" s="42" t="n">
        <x:v>-0.008681004434958613</x:v>
      </x:c>
      <x:c r="F1748" s="42" t="n">
        <x:v>-0.004456376139752167</x:v>
      </x:c>
      <x:c r="G1748" s="43" t="n">
        <x:v>1.0561780907985874</x:v>
      </x:c>
      <x:c r="H1748" s="32" t="n">
        <x:v>558667.2605706822</x:v>
      </x:c>
      <x:c r="I1748" s="50" t="b">
        <x:v>1</x:v>
      </x:c>
      <x:c r="J1748" s="50" t="b">
        <x:v>0</x:v>
      </x:c>
      <x:c r="K1748" s="31"/>
      <x:c r="L1748" s="31"/>
    </x:row>
    <x:row r="1749">
      <x:c r="A1749" s="31"/>
      <x:c r="B1749" s="31"/>
      <x:c r="C1749" s="31"/>
      <x:c r="D1749" s="31" t="n">
        <x:v>1745</x:v>
      </x:c>
      <x:c r="E1749" s="42" t="n">
        <x:v>0.001118859348795957</x:v>
      </x:c>
      <x:c r="F1749" s="42" t="n">
        <x:v>0.0003190338617762727</x:v>
      </x:c>
      <x:c r="G1749" s="43" t="n">
        <x:v>1.0112298138529472</x:v>
      </x:c>
      <x:c r="H1749" s="32" t="n">
        <x:v>858106.3313019623</x:v>
      </x:c>
      <x:c r="I1749" s="50" t="b">
        <x:v>1</x:v>
      </x:c>
      <x:c r="J1749" s="50" t="b">
        <x:v>0</x:v>
      </x:c>
      <x:c r="K1749" s="31"/>
      <x:c r="L1749" s="31"/>
    </x:row>
    <x:row r="1750">
      <x:c r="A1750" s="31"/>
      <x:c r="B1750" s="31"/>
      <x:c r="C1750" s="31"/>
      <x:c r="D1750" s="31" t="n">
        <x:v>1746</x:v>
      </x:c>
      <x:c r="E1750" s="42" t="n">
        <x:v>0.004324867554674683</x:v>
      </x:c>
      <x:c r="F1750" s="42" t="n">
        <x:v>0.007675178703846842</x:v>
      </x:c>
      <x:c r="G1750" s="43" t="n">
        <x:v>0.9478638353709649</x:v>
      </x:c>
      <x:c r="H1750" s="32" t="n">
        <x:v>1248973.1749329816</x:v>
      </x:c>
      <x:c r="I1750" s="50" t="b">
        <x:v>0</x:v>
      </x:c>
      <x:c r="J1750" s="50" t="b">
        <x:v>0</x:v>
      </x:c>
      <x:c r="K1750" s="31"/>
      <x:c r="L1750" s="31"/>
    </x:row>
    <x:row r="1751">
      <x:c r="A1751" s="31"/>
      <x:c r="B1751" s="31"/>
      <x:c r="C1751" s="31"/>
      <x:c r="D1751" s="31" t="n">
        <x:v>1747</x:v>
      </x:c>
      <x:c r="E1751" s="42" t="n">
        <x:v>-0.0007019166156867591</x:v>
      </x:c>
      <x:c r="F1751" s="42" t="n">
        <x:v>0.006707300393616607</x:v>
      </x:c>
      <x:c r="G1751" s="43" t="n">
        <x:v>0.9778342942144769</x:v>
      </x:c>
      <x:c r="H1751" s="32" t="n">
        <x:v>1047341.4809113835</x:v>
      </x:c>
      <x:c r="I1751" s="50" t="b">
        <x:v>0</x:v>
      </x:c>
      <x:c r="J1751" s="50" t="b">
        <x:v>0</x:v>
      </x:c>
      <x:c r="K1751" s="31"/>
      <x:c r="L1751" s="31"/>
    </x:row>
    <x:row r="1752">
      <x:c r="A1752" s="31"/>
      <x:c r="B1752" s="31"/>
      <x:c r="C1752" s="31"/>
      <x:c r="D1752" s="31" t="n">
        <x:v>1748</x:v>
      </x:c>
      <x:c r="E1752" s="42" t="n">
        <x:v>-0.01486888887318275</x:v>
      </x:c>
      <x:c r="F1752" s="42" t="n">
        <x:v>0.0075472090226433326</x:v>
      </x:c>
      <x:c r="G1752" s="43" t="n">
        <x:v>0.9859578084726988</x:v>
      </x:c>
      <x:c r="H1752" s="32" t="n">
        <x:v>953979.426472185</x:v>
      </x:c>
      <x:c r="I1752" s="50" t="b">
        <x:v>1</x:v>
      </x:c>
      <x:c r="J1752" s="50" t="b">
        <x:v>0</x:v>
      </x:c>
      <x:c r="K1752" s="31"/>
      <x:c r="L1752" s="31"/>
    </x:row>
    <x:row r="1753">
      <x:c r="A1753" s="31"/>
      <x:c r="B1753" s="31"/>
      <x:c r="C1753" s="31"/>
      <x:c r="D1753" s="31" t="n">
        <x:v>1749</x:v>
      </x:c>
      <x:c r="E1753" s="42" t="n">
        <x:v>-0.003987938341456999</x:v>
      </x:c>
      <x:c r="F1753" s="42" t="n">
        <x:v>-0.000932410970581467</x:v>
      </x:c>
      <x:c r="G1753" s="43" t="n">
        <x:v>1.0462110183794504</x:v>
      </x:c>
      <x:c r="H1753" s="32" t="n">
        <x:v>625219.4477343212</x:v>
      </x:c>
      <x:c r="I1753" s="50" t="b">
        <x:v>1</x:v>
      </x:c>
      <x:c r="J1753" s="50" t="b">
        <x:v>0</x:v>
      </x:c>
      <x:c r="K1753" s="31"/>
      <x:c r="L1753" s="31"/>
    </x:row>
    <x:row r="1754">
      <x:c r="A1754" s="31"/>
      <x:c r="B1754" s="31"/>
      <x:c r="C1754" s="31"/>
      <x:c r="D1754" s="31" t="n">
        <x:v>1750</x:v>
      </x:c>
      <x:c r="E1754" s="42" t="n">
        <x:v>-0.017950939028691916</x:v>
      </x:c>
      <x:c r="F1754" s="42" t="n">
        <x:v>-0.000808482632446146</x:v>
      </x:c>
      <x:c r="G1754" s="43" t="n">
        <x:v>1.0505791512449574</x:v>
      </x:c>
      <x:c r="H1754" s="32" t="n">
        <x:v>558267.4312044063</x:v>
      </x:c>
      <x:c r="I1754" s="50" t="b">
        <x:v>1</x:v>
      </x:c>
      <x:c r="J1754" s="50" t="b">
        <x:v>0</x:v>
      </x:c>
      <x:c r="K1754" s="31"/>
      <x:c r="L1754" s="31"/>
    </x:row>
    <x:row r="1755">
      <x:c r="A1755" s="31"/>
      <x:c r="B1755" s="31"/>
      <x:c r="C1755" s="31"/>
      <x:c r="D1755" s="31" t="n">
        <x:v>1751</x:v>
      </x:c>
      <x:c r="E1755" s="42" t="n">
        <x:v>-0.01283698787571999</x:v>
      </x:c>
      <x:c r="F1755" s="42" t="n">
        <x:v>-0.0008287381266298313</x:v>
      </x:c>
      <x:c r="G1755" s="43" t="n">
        <x:v>1.021820512436322</x:v>
      </x:c>
      <x:c r="H1755" s="32" t="n">
        <x:v>755196.3333352474</x:v>
      </x:c>
      <x:c r="I1755" s="50" t="b">
        <x:v>1</x:v>
      </x:c>
      <x:c r="J1755" s="50" t="b">
        <x:v>0</x:v>
      </x:c>
      <x:c r="K1755" s="31"/>
      <x:c r="L1755" s="31"/>
    </x:row>
    <x:row r="1756">
      <x:c r="A1756" s="31"/>
      <x:c r="B1756" s="31"/>
      <x:c r="C1756" s="31"/>
      <x:c r="D1756" s="31" t="n">
        <x:v>1752</x:v>
      </x:c>
      <x:c r="E1756" s="42" t="n">
        <x:v>0.020596011959824388</x:v>
      </x:c>
      <x:c r="F1756" s="42" t="n">
        <x:v>-0.000022018055302638216</x:v>
      </x:c>
      <x:c r="G1756" s="43" t="n">
        <x:v>1.0244923941125663</x:v>
      </x:c>
      <x:c r="H1756" s="32" t="n">
        <x:v>829043.9653174647</x:v>
      </x:c>
      <x:c r="I1756" s="50" t="b">
        <x:v>1</x:v>
      </x:c>
      <x:c r="J1756" s="50" t="b">
        <x:v>0</x:v>
      </x:c>
      <x:c r="K1756" s="31"/>
      <x:c r="L1756" s="31"/>
    </x:row>
    <x:row r="1757">
      <x:c r="A1757" s="31"/>
      <x:c r="B1757" s="31"/>
      <x:c r="C1757" s="31"/>
      <x:c r="D1757" s="31" t="n">
        <x:v>1753</x:v>
      </x:c>
      <x:c r="E1757" s="42" t="n">
        <x:v>-0.014727948724664444</x:v>
      </x:c>
      <x:c r="F1757" s="42" t="n">
        <x:v>0.007458018477265759</x:v>
      </x:c>
      <x:c r="G1757" s="43" t="n">
        <x:v>1.0666972746439292</x:v>
      </x:c>
      <x:c r="H1757" s="32" t="n">
        <x:v>441867.2081830767</x:v>
      </x:c>
      <x:c r="I1757" s="50" t="b">
        <x:v>1</x:v>
      </x:c>
      <x:c r="J1757" s="50" t="b">
        <x:v>0</x:v>
      </x:c>
      <x:c r="K1757" s="31"/>
      <x:c r="L1757" s="31"/>
    </x:row>
    <x:row r="1758">
      <x:c r="A1758" s="31"/>
      <x:c r="B1758" s="31"/>
      <x:c r="C1758" s="31"/>
      <x:c r="D1758" s="31" t="n">
        <x:v>1754</x:v>
      </x:c>
      <x:c r="E1758" s="42" t="n">
        <x:v>-0.01155975412790648</x:v>
      </x:c>
      <x:c r="F1758" s="42" t="n">
        <x:v>-0.001609959230946307</x:v>
      </x:c>
      <x:c r="G1758" s="43" t="n">
        <x:v>1.0023761668956226</x:v>
      </x:c>
      <x:c r="H1758" s="32" t="n">
        <x:v>884411.4532673014</x:v>
      </x:c>
      <x:c r="I1758" s="50" t="b">
        <x:v>1</x:v>
      </x:c>
      <x:c r="J1758" s="50" t="b">
        <x:v>0</x:v>
      </x:c>
      <x:c r="K1758" s="31"/>
      <x:c r="L1758" s="31"/>
    </x:row>
    <x:row r="1759">
      <x:c r="A1759" s="31"/>
      <x:c r="B1759" s="31"/>
      <x:c r="C1759" s="31"/>
      <x:c r="D1759" s="31" t="n">
        <x:v>1755</x:v>
      </x:c>
      <x:c r="E1759" s="42" t="n">
        <x:v>-0.009080804577597438</x:v>
      </x:c>
      <x:c r="F1759" s="42" t="n">
        <x:v>-0.00771345974641362</x:v>
      </x:c>
      <x:c r="G1759" s="43" t="n">
        <x:v>0.9544716193975515</x:v>
      </x:c>
      <x:c r="H1759" s="32" t="n">
        <x:v>1212528.6972445531</x:v>
      </x:c>
      <x:c r="I1759" s="50" t="b">
        <x:v>0</x:v>
      </x:c>
      <x:c r="J1759" s="50" t="b">
        <x:v>0</x:v>
      </x:c>
      <x:c r="K1759" s="31"/>
      <x:c r="L1759" s="31"/>
    </x:row>
    <x:row r="1760">
      <x:c r="A1760" s="31"/>
      <x:c r="B1760" s="31"/>
      <x:c r="C1760" s="31"/>
      <x:c r="D1760" s="31" t="n">
        <x:v>1756</x:v>
      </x:c>
      <x:c r="E1760" s="42" t="n">
        <x:v>-0.00891785670433727</x:v>
      </x:c>
      <x:c r="F1760" s="42" t="n">
        <x:v>0.010126679748738782</x:v>
      </x:c>
      <x:c r="G1760" s="43" t="n">
        <x:v>1.0374907473915136</x:v>
      </x:c>
      <x:c r="H1760" s="32" t="n">
        <x:v>636093.5832537932</x:v>
      </x:c>
      <x:c r="I1760" s="50" t="b">
        <x:v>1</x:v>
      </x:c>
      <x:c r="J1760" s="50" t="b">
        <x:v>0</x:v>
      </x:c>
      <x:c r="K1760" s="31"/>
      <x:c r="L1760" s="31"/>
    </x:row>
    <x:row r="1761">
      <x:c r="A1761" s="31"/>
      <x:c r="B1761" s="31"/>
      <x:c r="C1761" s="31"/>
      <x:c r="D1761" s="31" t="n">
        <x:v>1757</x:v>
      </x:c>
      <x:c r="E1761" s="42" t="n">
        <x:v>-0.026218840328296345</x:v>
      </x:c>
      <x:c r="F1761" s="42" t="n">
        <x:v>0.0008344280388559003</x:v>
      </x:c>
      <x:c r="G1761" s="43" t="n">
        <x:v>0.925587075401235</x:v>
      </x:c>
      <x:c r="H1761" s="32" t="n">
        <x:v>1324468.6709524493</x:v>
      </x:c>
      <x:c r="I1761" s="50" t="b">
        <x:v>0</x:v>
      </x:c>
      <x:c r="J1761" s="50" t="b">
        <x:v>0</x:v>
      </x:c>
      <x:c r="K1761" s="31"/>
      <x:c r="L1761" s="31"/>
    </x:row>
    <x:row r="1762">
      <x:c r="A1762" s="31"/>
      <x:c r="B1762" s="31"/>
      <x:c r="C1762" s="31"/>
      <x:c r="D1762" s="31" t="n">
        <x:v>1758</x:v>
      </x:c>
      <x:c r="E1762" s="42" t="n">
        <x:v>0.01927077692183543</x:v>
      </x:c>
      <x:c r="F1762" s="42" t="n">
        <x:v>0.01518984060513712</x:v>
      </x:c>
      <x:c r="G1762" s="43" t="n">
        <x:v>0.883722503578875</x:v>
      </x:c>
      <x:c r="H1762" s="32" t="n">
        <x:v>1677001.1005755232</x:v>
      </x:c>
      <x:c r="I1762" s="50" t="b">
        <x:v>0</x:v>
      </x:c>
      <x:c r="J1762" s="50" t="b">
        <x:v>0</x:v>
      </x:c>
      <x:c r="K1762" s="31"/>
      <x:c r="L1762" s="31"/>
    </x:row>
    <x:row r="1763">
      <x:c r="A1763" s="31"/>
      <x:c r="B1763" s="31"/>
      <x:c r="C1763" s="31"/>
      <x:c r="D1763" s="31" t="n">
        <x:v>1759</x:v>
      </x:c>
      <x:c r="E1763" s="42" t="n">
        <x:v>0.014849711514092475</x:v>
      </x:c>
      <x:c r="F1763" s="42" t="n">
        <x:v>0.0013293441806958449</x:v>
      </x:c>
      <x:c r="G1763" s="43" t="n">
        <x:v>0.9961185728700391</x:v>
      </x:c>
      <x:c r="H1763" s="32" t="n">
        <x:v>989481.3239519703</x:v>
      </x:c>
      <x:c r="I1763" s="50" t="b">
        <x:v>1</x:v>
      </x:c>
      <x:c r="J1763" s="50" t="b">
        <x:v>0</x:v>
      </x:c>
      <x:c r="K1763" s="31"/>
      <x:c r="L1763" s="31"/>
    </x:row>
    <x:row r="1764">
      <x:c r="A1764" s="31"/>
      <x:c r="B1764" s="31"/>
      <x:c r="C1764" s="31"/>
      <x:c r="D1764" s="31" t="n">
        <x:v>1760</x:v>
      </x:c>
      <x:c r="E1764" s="42" t="n">
        <x:v>0.0006354608183273577</x:v>
      </x:c>
      <x:c r="F1764" s="42" t="n">
        <x:v>0.00027412295849824113</x:v>
      </x:c>
      <x:c r="G1764" s="43" t="n">
        <x:v>1.0132528549482047</x:v>
      </x:c>
      <x:c r="H1764" s="32" t="n">
        <x:v>844038.0475418052</x:v>
      </x:c>
      <x:c r="I1764" s="50" t="b">
        <x:v>1</x:v>
      </x:c>
      <x:c r="J1764" s="50" t="b">
        <x:v>0</x:v>
      </x:c>
      <x:c r="K1764" s="31"/>
      <x:c r="L1764" s="31"/>
    </x:row>
    <x:row r="1765">
      <x:c r="A1765" s="31"/>
      <x:c r="B1765" s="31"/>
      <x:c r="C1765" s="31"/>
      <x:c r="D1765" s="31" t="n">
        <x:v>1761</x:v>
      </x:c>
      <x:c r="E1765" s="42" t="n">
        <x:v>-0.008772037367826977</x:v>
      </x:c>
      <x:c r="F1765" s="42" t="n">
        <x:v>-0.003805828110453471</x:v>
      </x:c>
      <x:c r="G1765" s="43" t="n">
        <x:v>0.9291084440855538</x:v>
      </x:c>
      <x:c r="H1765" s="32" t="n">
        <x:v>1363585.3044948727</x:v>
      </x:c>
      <x:c r="I1765" s="50" t="b">
        <x:v>0</x:v>
      </x:c>
      <x:c r="J1765" s="50" t="b">
        <x:v>0</x:v>
      </x:c>
      <x:c r="K1765" s="31"/>
      <x:c r="L1765" s="31"/>
    </x:row>
    <x:row r="1766">
      <x:c r="A1766" s="31"/>
      <x:c r="B1766" s="31"/>
      <x:c r="C1766" s="31"/>
      <x:c r="D1766" s="31" t="n">
        <x:v>1762</x:v>
      </x:c>
      <x:c r="E1766" s="42" t="n">
        <x:v>-0.015099210237684048</x:v>
      </x:c>
      <x:c r="F1766" s="42" t="n">
        <x:v>-0.0032203463761979263</x:v>
      </x:c>
      <x:c r="G1766" s="43" t="n">
        <x:v>1.0342963721662537</x:v>
      </x:c>
      <x:c r="H1766" s="32" t="n">
        <x:v>676325.9367771647</x:v>
      </x:c>
      <x:c r="I1766" s="50" t="b">
        <x:v>1</x:v>
      </x:c>
      <x:c r="J1766" s="50" t="b">
        <x:v>0</x:v>
      </x:c>
      <x:c r="K1766" s="31"/>
      <x:c r="L1766" s="31"/>
    </x:row>
    <x:row r="1767">
      <x:c r="A1767" s="31"/>
      <x:c r="B1767" s="31"/>
      <x:c r="C1767" s="31"/>
      <x:c r="D1767" s="31" t="n">
        <x:v>1763</x:v>
      </x:c>
      <x:c r="E1767" s="42" t="n">
        <x:v>-0.016889809844438424</x:v>
      </x:c>
      <x:c r="F1767" s="42" t="n">
        <x:v>-0.0057945916807312335</x:v>
      </x:c>
      <x:c r="G1767" s="43" t="n">
        <x:v>1.096018356345039</x:v>
      </x:c>
      <x:c r="H1767" s="32" t="n">
        <x:v>286528.9191451629</x:v>
      </x:c>
      <x:c r="I1767" s="50" t="b">
        <x:v>1</x:v>
      </x:c>
      <x:c r="J1767" s="50" t="b">
        <x:v>0</x:v>
      </x:c>
      <x:c r="K1767" s="31"/>
      <x:c r="L1767" s="31"/>
    </x:row>
    <x:row r="1768">
      <x:c r="A1768" s="31"/>
      <x:c r="B1768" s="31"/>
      <x:c r="C1768" s="31"/>
      <x:c r="D1768" s="31" t="n">
        <x:v>1764</x:v>
      </x:c>
      <x:c r="E1768" s="42" t="n">
        <x:v>0.01055724903618995</x:v>
      </x:c>
      <x:c r="F1768" s="42" t="n">
        <x:v>-0.006050072536309463</x:v>
      </x:c>
      <x:c r="G1768" s="43" t="n">
        <x:v>1.0411256967182194</x:v>
      </x:c>
      <x:c r="H1768" s="32" t="n">
        <x:v>712246.817740144</x:v>
      </x:c>
      <x:c r="I1768" s="50" t="b">
        <x:v>1</x:v>
      </x:c>
      <x:c r="J1768" s="50" t="b">
        <x:v>0</x:v>
      </x:c>
      <x:c r="K1768" s="31"/>
      <x:c r="L1768" s="31"/>
    </x:row>
    <x:row r="1769">
      <x:c r="A1769" s="31"/>
      <x:c r="B1769" s="31"/>
      <x:c r="C1769" s="31"/>
      <x:c r="D1769" s="31" t="n">
        <x:v>1765</x:v>
      </x:c>
      <x:c r="E1769" s="42" t="n">
        <x:v>-0.009793324506407885</x:v>
      </x:c>
      <x:c r="F1769" s="42" t="n">
        <x:v>0.007391638180721924</x:v>
      </x:c>
      <x:c r="G1769" s="43" t="n">
        <x:v>0.9800057669608304</x:v>
      </x:c>
      <x:c r="H1769" s="32" t="n">
        <x:v>1006340.0862864153</x:v>
      </x:c>
      <x:c r="I1769" s="50" t="b">
        <x:v>0</x:v>
      </x:c>
      <x:c r="J1769" s="50" t="b">
        <x:v>0</x:v>
      </x:c>
      <x:c r="K1769" s="31"/>
      <x:c r="L1769" s="31"/>
    </x:row>
    <x:row r="1770">
      <x:c r="A1770" s="31"/>
      <x:c r="B1770" s="31"/>
      <x:c r="C1770" s="31"/>
      <x:c r="D1770" s="31" t="n">
        <x:v>1766</x:v>
      </x:c>
      <x:c r="E1770" s="42" t="n">
        <x:v>0.005375364007504172</x:v>
      </x:c>
      <x:c r="F1770" s="42" t="n">
        <x:v>-0.005150592601198962</x:v>
      </x:c>
      <x:c r="G1770" s="43" t="n">
        <x:v>1.0152381298331488</x:v>
      </x:c>
      <x:c r="H1770" s="32" t="n">
        <x:v>859723.5875941308</x:v>
      </x:c>
      <x:c r="I1770" s="50" t="b">
        <x:v>1</x:v>
      </x:c>
      <x:c r="J1770" s="50" t="b">
        <x:v>0</x:v>
      </x:c>
      <x:c r="K1770" s="31"/>
      <x:c r="L1770" s="31"/>
    </x:row>
    <x:row r="1771">
      <x:c r="A1771" s="31"/>
      <x:c r="B1771" s="31"/>
      <x:c r="C1771" s="31"/>
      <x:c r="D1771" s="31" t="n">
        <x:v>1767</x:v>
      </x:c>
      <x:c r="E1771" s="42" t="n">
        <x:v>0.0023435393230618984</x:v>
      </x:c>
      <x:c r="F1771" s="42" t="n">
        <x:v>0.0009529322998322137</x:v>
      </x:c>
      <x:c r="G1771" s="43" t="n">
        <x:v>1.019616171152934</x:v>
      </x:c>
      <x:c r="H1771" s="32" t="n">
        <x:v>806491.4764914713</x:v>
      </x:c>
      <x:c r="I1771" s="50" t="b">
        <x:v>1</x:v>
      </x:c>
      <x:c r="J1771" s="50" t="b">
        <x:v>0</x:v>
      </x:c>
      <x:c r="K1771" s="31"/>
      <x:c r="L1771" s="31"/>
    </x:row>
    <x:row r="1772">
      <x:c r="A1772" s="31"/>
      <x:c r="B1772" s="31"/>
      <x:c r="C1772" s="31"/>
      <x:c r="D1772" s="31" t="n">
        <x:v>1768</x:v>
      </x:c>
      <x:c r="E1772" s="42" t="n">
        <x:v>-0.0094763411174742</x:v>
      </x:c>
      <x:c r="F1772" s="42" t="n">
        <x:v>0.015307170427463572</x:v>
      </x:c>
      <x:c r="G1772" s="43" t="n">
        <x:v>0.9903447806251007</x:v>
      </x:c>
      <x:c r="H1772" s="32" t="n">
        <x:v>919529.2979566033</x:v>
      </x:c>
      <x:c r="I1772" s="50" t="b">
        <x:v>1</x:v>
      </x:c>
      <x:c r="J1772" s="50" t="b">
        <x:v>0</x:v>
      </x:c>
      <x:c r="K1772" s="31"/>
      <x:c r="L1772" s="31"/>
    </x:row>
    <x:row r="1773">
      <x:c r="A1773" s="31"/>
      <x:c r="B1773" s="31"/>
      <x:c r="C1773" s="31"/>
      <x:c r="D1773" s="31" t="n">
        <x:v>1769</x:v>
      </x:c>
      <x:c r="E1773" s="42" t="n">
        <x:v>-0.012108393292323254</x:v>
      </x:c>
      <x:c r="F1773" s="42" t="n">
        <x:v>0.01161760262107849</x:v>
      </x:c>
      <x:c r="G1773" s="43" t="n">
        <x:v>1.015137967902837</x:v>
      </x:c>
      <x:c r="H1773" s="32" t="n">
        <x:v>765018.617703272</x:v>
      </x:c>
      <x:c r="I1773" s="50" t="b">
        <x:v>1</x:v>
      </x:c>
      <x:c r="J1773" s="50" t="b">
        <x:v>0</x:v>
      </x:c>
      <x:c r="K1773" s="31"/>
      <x:c r="L1773" s="31"/>
    </x:row>
    <x:row r="1774">
      <x:c r="A1774" s="31"/>
      <x:c r="B1774" s="31"/>
      <x:c r="C1774" s="31"/>
      <x:c r="D1774" s="31" t="n">
        <x:v>1770</x:v>
      </x:c>
      <x:c r="E1774" s="42" t="n">
        <x:v>0.007438691259875952</x:v>
      </x:c>
      <x:c r="F1774" s="42" t="n">
        <x:v>-0.003352022886062729</x:v>
      </x:c>
      <x:c r="G1774" s="43" t="n">
        <x:v>0.9186351094815838</x:v>
      </x:c>
      <x:c r="H1774" s="32" t="n">
        <x:v>1473958.1423104482</x:v>
      </x:c>
      <x:c r="I1774" s="50" t="b">
        <x:v>0</x:v>
      </x:c>
      <x:c r="J1774" s="50" t="b">
        <x:v>0</x:v>
      </x:c>
      <x:c r="K1774" s="31"/>
      <x:c r="L1774" s="31"/>
    </x:row>
    <x:row r="1775">
      <x:c r="A1775" s="31"/>
      <x:c r="B1775" s="31"/>
      <x:c r="C1775" s="31"/>
      <x:c r="D1775" s="31" t="n">
        <x:v>1771</x:v>
      </x:c>
      <x:c r="E1775" s="42" t="n">
        <x:v>-0.008586757335254543</x:v>
      </x:c>
      <x:c r="F1775" s="42" t="n">
        <x:v>-0.002981093959809069</x:v>
      </x:c>
      <x:c r="G1775" s="43" t="n">
        <x:v>1.0328931755189734</x:v>
      </x:c>
      <x:c r="H1775" s="32" t="n">
        <x:v>702698.8218780425</x:v>
      </x:c>
      <x:c r="I1775" s="50" t="b">
        <x:v>1</x:v>
      </x:c>
      <x:c r="J1775" s="50" t="b">
        <x:v>0</x:v>
      </x:c>
      <x:c r="K1775" s="31"/>
      <x:c r="L1775" s="31"/>
    </x:row>
    <x:row r="1776">
      <x:c r="A1776" s="31"/>
      <x:c r="B1776" s="31"/>
      <x:c r="C1776" s="31"/>
      <x:c r="D1776" s="31" t="n">
        <x:v>1772</x:v>
      </x:c>
      <x:c r="E1776" s="42" t="n">
        <x:v>-0.0069786814872582</x:v>
      </x:c>
      <x:c r="F1776" s="42" t="n">
        <x:v>-0.000583573151257723</x:v>
      </x:c>
      <x:c r="G1776" s="43" t="n">
        <x:v>0.9392638123142828</x:v>
      </x:c>
      <x:c r="H1776" s="32" t="n">
        <x:v>1295114.1516626093</x:v>
      </x:c>
      <x:c r="I1776" s="50" t="b">
        <x:v>0</x:v>
      </x:c>
      <x:c r="J1776" s="50" t="b">
        <x:v>0</x:v>
      </x:c>
      <x:c r="K1776" s="31"/>
      <x:c r="L1776" s="31"/>
    </x:row>
    <x:row r="1777">
      <x:c r="A1777" s="31"/>
      <x:c r="B1777" s="31"/>
      <x:c r="C1777" s="31"/>
      <x:c r="D1777" s="31" t="n">
        <x:v>1773</x:v>
      </x:c>
      <x:c r="E1777" s="42" t="n">
        <x:v>0.007827469542057219</x:v>
      </x:c>
      <x:c r="F1777" s="42" t="n">
        <x:v>-0.0040101909021354265</x:v>
      </x:c>
      <x:c r="G1777" s="43" t="n">
        <x:v>0.9522434610924708</x:v>
      </x:c>
      <x:c r="H1777" s="32" t="n">
        <x:v>1263435.5054176976</x:v>
      </x:c>
      <x:c r="I1777" s="50" t="b">
        <x:v>0</x:v>
      </x:c>
      <x:c r="J1777" s="50" t="b">
        <x:v>0</x:v>
      </x:c>
      <x:c r="K1777" s="31"/>
      <x:c r="L1777" s="31"/>
    </x:row>
    <x:row r="1778">
      <x:c r="A1778" s="31"/>
      <x:c r="B1778" s="31"/>
      <x:c r="C1778" s="31"/>
      <x:c r="D1778" s="31" t="n">
        <x:v>1774</x:v>
      </x:c>
      <x:c r="E1778" s="42" t="n">
        <x:v>0.0292842159193218</x:v>
      </x:c>
      <x:c r="F1778" s="42" t="n">
        <x:v>-0.001924285243462263</x:v>
      </x:c>
      <x:c r="G1778" s="43" t="n">
        <x:v>0.9561717401049621</x:v>
      </x:c>
      <x:c r="H1778" s="32" t="n">
        <x:v>1292407.3160902383</x:v>
      </x:c>
      <x:c r="I1778" s="50" t="b">
        <x:v>0</x:v>
      </x:c>
      <x:c r="J1778" s="50" t="b">
        <x:v>0</x:v>
      </x:c>
      <x:c r="K1778" s="31"/>
      <x:c r="L1778" s="31"/>
    </x:row>
    <x:row r="1779">
      <x:c r="A1779" s="31"/>
      <x:c r="B1779" s="31"/>
      <x:c r="C1779" s="31"/>
      <x:c r="D1779" s="31" t="n">
        <x:v>1775</x:v>
      </x:c>
      <x:c r="E1779" s="42" t="n">
        <x:v>0.005601332611375768</x:v>
      </x:c>
      <x:c r="F1779" s="42" t="n">
        <x:v>-0.0013131579003545812</x:v>
      </x:c>
      <x:c r="G1779" s="43" t="n">
        <x:v>1.0143168790825976</x:v>
      </x:c>
      <x:c r="H1779" s="32" t="n">
        <x:v>855521.586382223</x:v>
      </x:c>
      <x:c r="I1779" s="50" t="b">
        <x:v>1</x:v>
      </x:c>
      <x:c r="J1779" s="50" t="b">
        <x:v>0</x:v>
      </x:c>
      <x:c r="K1779" s="31"/>
      <x:c r="L1779" s="31"/>
    </x:row>
    <x:row r="1780">
      <x:c r="A1780" s="31"/>
      <x:c r="B1780" s="31"/>
      <x:c r="C1780" s="31"/>
      <x:c r="D1780" s="31" t="n">
        <x:v>1776</x:v>
      </x:c>
      <x:c r="E1780" s="42" t="n">
        <x:v>0.0027867341682806463</x:v>
      </x:c>
      <x:c r="F1780" s="42" t="n">
        <x:v>-0.0014397582000342099</x:v>
      </x:c>
      <x:c r="G1780" s="43" t="n">
        <x:v>1.004090753836648</x:v>
      </x:c>
      <x:c r="H1780" s="32" t="n">
        <x:v>912982.6217118525</x:v>
      </x:c>
      <x:c r="I1780" s="50" t="b">
        <x:v>1</x:v>
      </x:c>
      <x:c r="J1780" s="50" t="b">
        <x:v>0</x:v>
      </x:c>
      <x:c r="K1780" s="31"/>
      <x:c r="L1780" s="31"/>
    </x:row>
    <x:row r="1781">
      <x:c r="A1781" s="31"/>
      <x:c r="B1781" s="31"/>
      <x:c r="C1781" s="31"/>
      <x:c r="D1781" s="31" t="n">
        <x:v>1777</x:v>
      </x:c>
      <x:c r="E1781" s="42" t="n">
        <x:v>0.00007424325593516985</x:v>
      </x:c>
      <x:c r="F1781" s="42" t="n">
        <x:v>-0.0034002225686897004</x:v>
      </x:c>
      <x:c r="G1781" s="43" t="n">
        <x:v>1.0287117796814533</x:v>
      </x:c>
      <x:c r="H1781" s="32" t="n">
        <x:v>754528.3877315847</x:v>
      </x:c>
      <x:c r="I1781" s="50" t="b">
        <x:v>1</x:v>
      </x:c>
      <x:c r="J1781" s="50" t="b">
        <x:v>0</x:v>
      </x:c>
      <x:c r="K1781" s="31"/>
      <x:c r="L1781" s="31"/>
    </x:row>
    <x:row r="1782">
      <x:c r="A1782" s="31"/>
      <x:c r="B1782" s="31"/>
      <x:c r="C1782" s="31"/>
      <x:c r="D1782" s="31" t="n">
        <x:v>1778</x:v>
      </x:c>
      <x:c r="E1782" s="42" t="n">
        <x:v>0.0007307026975249069</x:v>
      </x:c>
      <x:c r="F1782" s="42" t="n">
        <x:v>-0.00645334941529649</x:v>
      </x:c>
      <x:c r="G1782" s="43" t="n">
        <x:v>0.9364941188802781</x:v>
      </x:c>
      <x:c r="H1782" s="32" t="n">
        <x:v>1350501.5606539603</x:v>
      </x:c>
      <x:c r="I1782" s="50" t="b">
        <x:v>0</x:v>
      </x:c>
      <x:c r="J1782" s="50" t="b">
        <x:v>0</x:v>
      </x:c>
      <x:c r="K1782" s="31"/>
      <x:c r="L1782" s="31"/>
    </x:row>
    <x:row r="1783">
      <x:c r="A1783" s="31"/>
      <x:c r="B1783" s="31"/>
      <x:c r="C1783" s="31"/>
      <x:c r="D1783" s="31" t="n">
        <x:v>1779</x:v>
      </x:c>
      <x:c r="E1783" s="42" t="n">
        <x:v>0.008741796040252332</x:v>
      </x:c>
      <x:c r="F1783" s="42" t="n">
        <x:v>0.002093917457087866</x:v>
      </x:c>
      <x:c r="G1783" s="43" t="n">
        <x:v>1.0560395352412746</x:v>
      </x:c>
      <x:c r="H1783" s="32" t="n">
        <x:v>589811.0503882915</x:v>
      </x:c>
      <x:c r="I1783" s="50" t="b">
        <x:v>1</x:v>
      </x:c>
      <x:c r="J1783" s="50" t="b">
        <x:v>0</x:v>
      </x:c>
      <x:c r="K1783" s="31"/>
      <x:c r="L1783" s="31"/>
    </x:row>
    <x:row r="1784">
      <x:c r="A1784" s="31"/>
      <x:c r="B1784" s="31"/>
      <x:c r="C1784" s="31"/>
      <x:c r="D1784" s="31" t="n">
        <x:v>1780</x:v>
      </x:c>
      <x:c r="E1784" s="42" t="n">
        <x:v>0.0008287985523560015</x:v>
      </x:c>
      <x:c r="F1784" s="42" t="n">
        <x:v>0.003439288708499264</x:v>
      </x:c>
      <x:c r="G1784" s="43" t="n">
        <x:v>0.9445911069119677</x:v>
      </x:c>
      <x:c r="H1784" s="32" t="n">
        <x:v>1271816.626620339</x:v>
      </x:c>
      <x:c r="I1784" s="50" t="b">
        <x:v>0</x:v>
      </x:c>
      <x:c r="J1784" s="50" t="b">
        <x:v>0</x:v>
      </x:c>
      <x:c r="K1784" s="31"/>
      <x:c r="L1784" s="31"/>
    </x:row>
    <x:row r="1785">
      <x:c r="A1785" s="31"/>
      <x:c r="B1785" s="31"/>
      <x:c r="C1785" s="31"/>
      <x:c r="D1785" s="31" t="n">
        <x:v>1781</x:v>
      </x:c>
      <x:c r="E1785" s="42" t="n">
        <x:v>0.0004387875253516431</x:v>
      </x:c>
      <x:c r="F1785" s="42" t="n">
        <x:v>-0.012779433774278844</x:v>
      </x:c>
      <x:c r="G1785" s="43" t="n">
        <x:v>0.9959301139856861</x:v>
      </x:c>
      <x:c r="H1785" s="32" t="n">
        <x:v>989837.1411570993</x:v>
      </x:c>
      <x:c r="I1785" s="50" t="b">
        <x:v>1</x:v>
      </x:c>
      <x:c r="J1785" s="50" t="b">
        <x:v>0</x:v>
      </x:c>
      <x:c r="K1785" s="31"/>
      <x:c r="L1785" s="31"/>
    </x:row>
    <x:row r="1786">
      <x:c r="A1786" s="31"/>
      <x:c r="B1786" s="31"/>
      <x:c r="C1786" s="31"/>
      <x:c r="D1786" s="31" t="n">
        <x:v>1782</x:v>
      </x:c>
      <x:c r="E1786" s="42" t="n">
        <x:v>-0.02119487078532453</x:v>
      </x:c>
      <x:c r="F1786" s="42" t="n">
        <x:v>-0.016001102294574916</x:v>
      </x:c>
      <x:c r="G1786" s="43" t="n">
        <x:v>0.9666609470216353</x:v>
      </x:c>
      <x:c r="H1786" s="32" t="n">
        <x:v>1124466.8989284171</x:v>
      </x:c>
      <x:c r="I1786" s="50" t="b">
        <x:v>0</x:v>
      </x:c>
      <x:c r="J1786" s="50" t="b">
        <x:v>0</x:v>
      </x:c>
      <x:c r="K1786" s="31"/>
      <x:c r="L1786" s="31"/>
    </x:row>
    <x:row r="1787">
      <x:c r="A1787" s="31"/>
      <x:c r="B1787" s="31"/>
      <x:c r="C1787" s="31"/>
      <x:c r="D1787" s="31" t="n">
        <x:v>1783</x:v>
      </x:c>
      <x:c r="E1787" s="42" t="n">
        <x:v>0.004518420969129803</x:v>
      </x:c>
      <x:c r="F1787" s="42" t="n">
        <x:v>0.00401427299186894</x:v>
      </x:c>
      <x:c r="G1787" s="43" t="n">
        <x:v>1.040060239970326</x:v>
      </x:c>
      <x:c r="H1787" s="32" t="n">
        <x:v>674189.6820252347</x:v>
      </x:c>
      <x:c r="I1787" s="50" t="b">
        <x:v>1</x:v>
      </x:c>
      <x:c r="J1787" s="50" t="b">
        <x:v>0</x:v>
      </x:c>
      <x:c r="K1787" s="31"/>
      <x:c r="L1787" s="31"/>
    </x:row>
    <x:row r="1788">
      <x:c r="A1788" s="31"/>
      <x:c r="B1788" s="31"/>
      <x:c r="C1788" s="31"/>
      <x:c r="D1788" s="31" t="n">
        <x:v>1784</x:v>
      </x:c>
      <x:c r="E1788" s="42" t="n">
        <x:v>-0.013933995844370606</x:v>
      </x:c>
      <x:c r="F1788" s="42" t="n">
        <x:v>0.0011550211818843463</x:v>
      </x:c>
      <x:c r="G1788" s="43" t="n">
        <x:v>0.892404449859022</x:v>
      </x:c>
      <x:c r="H1788" s="32" t="n">
        <x:v>1568504.6028370643</x:v>
      </x:c>
      <x:c r="I1788" s="50" t="b">
        <x:v>0</x:v>
      </x:c>
      <x:c r="J1788" s="50" t="b">
        <x:v>0</x:v>
      </x:c>
      <x:c r="K1788" s="31"/>
      <x:c r="L1788" s="31"/>
    </x:row>
    <x:row r="1789">
      <x:c r="A1789" s="31"/>
      <x:c r="B1789" s="31"/>
      <x:c r="C1789" s="31"/>
      <x:c r="D1789" s="31" t="n">
        <x:v>1785</x:v>
      </x:c>
      <x:c r="E1789" s="42" t="n">
        <x:v>-0.01656303981672466</x:v>
      </x:c>
      <x:c r="F1789" s="42" t="n">
        <x:v>-0.0015546151308490977</x:v>
      </x:c>
      <x:c r="G1789" s="43" t="n">
        <x:v>0.9892467453384168</x:v>
      </x:c>
      <x:c r="H1789" s="32" t="n">
        <x:v>953711.770637053</x:v>
      </x:c>
      <x:c r="I1789" s="50" t="b">
        <x:v>1</x:v>
      </x:c>
      <x:c r="J1789" s="50" t="b">
        <x:v>0</x:v>
      </x:c>
      <x:c r="K1789" s="31"/>
      <x:c r="L1789" s="31"/>
    </x:row>
    <x:row r="1790">
      <x:c r="A1790" s="31"/>
      <x:c r="B1790" s="31"/>
      <x:c r="C1790" s="31"/>
      <x:c r="D1790" s="31" t="n">
        <x:v>1786</x:v>
      </x:c>
      <x:c r="E1790" s="42" t="n">
        <x:v>0.000074653339669449</x:v>
      </x:c>
      <x:c r="F1790" s="42" t="n">
        <x:v>0.002042998356360524</x:v>
      </x:c>
      <x:c r="G1790" s="43" t="n">
        <x:v>0.9738320464727208</x:v>
      </x:c>
      <x:c r="H1790" s="32" t="n">
        <x:v>1087903.3763730507</x:v>
      </x:c>
      <x:c r="I1790" s="50" t="b">
        <x:v>0</x:v>
      </x:c>
      <x:c r="J1790" s="50" t="b">
        <x:v>0</x:v>
      </x:c>
      <x:c r="K1790" s="31"/>
      <x:c r="L1790" s="31"/>
    </x:row>
    <x:row r="1791">
      <x:c r="A1791" s="31"/>
      <x:c r="B1791" s="31"/>
      <x:c r="C1791" s="31"/>
      <x:c r="D1791" s="31" t="n">
        <x:v>1787</x:v>
      </x:c>
      <x:c r="E1791" s="42" t="n">
        <x:v>0.002141851870414176</x:v>
      </x:c>
      <x:c r="F1791" s="42" t="n">
        <x:v>0.002045348762518916</x:v>
      </x:c>
      <x:c r="G1791" s="43" t="n">
        <x:v>1.0429941519619814</x:v>
      </x:c>
      <x:c r="H1791" s="32" t="n">
        <x:v>654422.5744683156</x:v>
      </x:c>
      <x:c r="I1791" s="50" t="b">
        <x:v>1</x:v>
      </x:c>
      <x:c r="J1791" s="50" t="b">
        <x:v>0</x:v>
      </x:c>
      <x:c r="K1791" s="31"/>
      <x:c r="L1791" s="31"/>
    </x:row>
    <x:row r="1792">
      <x:c r="A1792" s="31"/>
      <x:c r="B1792" s="31"/>
      <x:c r="C1792" s="31"/>
      <x:c r="D1792" s="31" t="n">
        <x:v>1788</x:v>
      </x:c>
      <x:c r="E1792" s="42" t="n">
        <x:v>-0.00974325366088809</x:v>
      </x:c>
      <x:c r="F1792" s="42" t="n">
        <x:v>0.0032972112354718807</x:v>
      </x:c>
      <x:c r="G1792" s="43" t="n">
        <x:v>1.0104384555698842</x:v>
      </x:c>
      <x:c r="H1792" s="32" t="n">
        <x:v>824607.2617911</x:v>
      </x:c>
      <x:c r="I1792" s="50" t="b">
        <x:v>1</x:v>
      </x:c>
      <x:c r="J1792" s="50" t="b">
        <x:v>0</x:v>
      </x:c>
      <x:c r="K1792" s="31"/>
      <x:c r="L1792" s="31"/>
    </x:row>
    <x:row r="1793">
      <x:c r="A1793" s="31"/>
      <x:c r="B1793" s="31"/>
      <x:c r="C1793" s="31"/>
      <x:c r="D1793" s="31" t="n">
        <x:v>1789</x:v>
      </x:c>
      <x:c r="E1793" s="42" t="n">
        <x:v>0.008973115789513713</x:v>
      </x:c>
      <x:c r="F1793" s="42" t="n">
        <x:v>-0.0014048140095450814</x:v>
      </x:c>
      <x:c r="G1793" s="43" t="n">
        <x:v>1.0503185877992423</x:v>
      </x:c>
      <x:c r="H1793" s="32" t="n">
        <x:v>636525.7986241517</x:v>
      </x:c>
      <x:c r="I1793" s="50" t="b">
        <x:v>1</x:v>
      </x:c>
      <x:c r="J1793" s="50" t="b">
        <x:v>0</x:v>
      </x:c>
      <x:c r="K1793" s="31"/>
      <x:c r="L1793" s="31"/>
    </x:row>
    <x:row r="1794">
      <x:c r="A1794" s="31"/>
      <x:c r="B1794" s="31"/>
      <x:c r="C1794" s="31"/>
      <x:c r="D1794" s="31" t="n">
        <x:v>1790</x:v>
      </x:c>
      <x:c r="E1794" s="42" t="n">
        <x:v>-0.00618063082348339</x:v>
      </x:c>
      <x:c r="F1794" s="42" t="n">
        <x:v>0.0033436798180787046</x:v>
      </x:c>
      <x:c r="G1794" s="43" t="n">
        <x:v>0.9261239798149848</x:v>
      </x:c>
      <x:c r="H1794" s="32" t="n">
        <x:v>1369851.1900562423</x:v>
      </x:c>
      <x:c r="I1794" s="50" t="b">
        <x:v>0</x:v>
      </x:c>
      <x:c r="J1794" s="50" t="b">
        <x:v>0</x:v>
      </x:c>
      <x:c r="K1794" s="31"/>
      <x:c r="L1794" s="31"/>
    </x:row>
    <x:row r="1795">
      <x:c r="A1795" s="31"/>
      <x:c r="B1795" s="31"/>
      <x:c r="C1795" s="31"/>
      <x:c r="D1795" s="31" t="n">
        <x:v>1791</x:v>
      </x:c>
      <x:c r="E1795" s="42" t="n">
        <x:v>-0.008438243236919264</x:v>
      </x:c>
      <x:c r="F1795" s="42" t="n">
        <x:v>0.0038228177489854254</x:v>
      </x:c>
      <x:c r="G1795" s="43" t="n">
        <x:v>0.9976279238318269</x:v>
      </x:c>
      <x:c r="H1795" s="32" t="n">
        <x:v>908132.6991724742</x:v>
      </x:c>
      <x:c r="I1795" s="50" t="b">
        <x:v>1</x:v>
      </x:c>
      <x:c r="J1795" s="50" t="b">
        <x:v>0</x:v>
      </x:c>
      <x:c r="K1795" s="31"/>
      <x:c r="L1795" s="31"/>
    </x:row>
    <x:row r="1796">
      <x:c r="A1796" s="31"/>
      <x:c r="B1796" s="31"/>
      <x:c r="C1796" s="31"/>
      <x:c r="D1796" s="31" t="n">
        <x:v>1792</x:v>
      </x:c>
      <x:c r="E1796" s="42" t="n">
        <x:v>0.005426481906127379</x:v>
      </x:c>
      <x:c r="F1796" s="42" t="n">
        <x:v>-0.0025127169742339963</x:v>
      </x:c>
      <x:c r="G1796" s="43" t="n">
        <x:v>0.9361694863328741</x:v>
      </x:c>
      <x:c r="H1796" s="32" t="n">
        <x:v>1354665.175010282</x:v>
      </x:c>
      <x:c r="I1796" s="50" t="b">
        <x:v>0</x:v>
      </x:c>
      <x:c r="J1796" s="50" t="b">
        <x:v>0</x:v>
      </x:c>
      <x:c r="K1796" s="31"/>
      <x:c r="L1796" s="31"/>
    </x:row>
    <x:row r="1797">
      <x:c r="A1797" s="31"/>
      <x:c r="B1797" s="31"/>
      <x:c r="C1797" s="31"/>
      <x:c r="D1797" s="31" t="n">
        <x:v>1793</x:v>
      </x:c>
      <x:c r="E1797" s="42" t="n">
        <x:v>-0.005784726615345116</x:v>
      </x:c>
      <x:c r="F1797" s="42" t="n">
        <x:v>0.0012842548851405267</x:v>
      </x:c>
      <x:c r="G1797" s="43" t="n">
        <x:v>1.0111383650128996</x:v>
      </x:c>
      <x:c r="H1797" s="32" t="n">
        <x:v>836784.0975305275</x:v>
      </x:c>
      <x:c r="I1797" s="50" t="b">
        <x:v>1</x:v>
      </x:c>
      <x:c r="J1797" s="50" t="b">
        <x:v>0</x:v>
      </x:c>
      <x:c r="K1797" s="31"/>
      <x:c r="L1797" s="31"/>
    </x:row>
    <x:row r="1798">
      <x:c r="A1798" s="31"/>
      <x:c r="B1798" s="31"/>
      <x:c r="C1798" s="31"/>
      <x:c r="D1798" s="31" t="n">
        <x:v>1794</x:v>
      </x:c>
      <x:c r="E1798" s="42" t="n">
        <x:v>0.0019215905934481805</x:v>
      </x:c>
      <x:c r="F1798" s="42" t="n">
        <x:v>-0.0030154490765683458</x:v>
      </x:c>
      <x:c r="G1798" s="43" t="n">
        <x:v>0.9636300539980784</x:v>
      </x:c>
      <x:c r="H1798" s="32" t="n">
        <x:v>1171914.5452712425</x:v>
      </x:c>
      <x:c r="I1798" s="50" t="b">
        <x:v>0</x:v>
      </x:c>
      <x:c r="J1798" s="50" t="b">
        <x:v>0</x:v>
      </x:c>
      <x:c r="K1798" s="31"/>
      <x:c r="L1798" s="31"/>
    </x:row>
    <x:row r="1799">
      <x:c r="A1799" s="31"/>
      <x:c r="B1799" s="31"/>
      <x:c r="C1799" s="31"/>
      <x:c r="D1799" s="31" t="n">
        <x:v>1795</x:v>
      </x:c>
      <x:c r="E1799" s="42" t="n">
        <x:v>0.0036291282945208636</x:v>
      </x:c>
      <x:c r="F1799" s="42" t="n">
        <x:v>0.0014318192062163914</x:v>
      </x:c>
      <x:c r="G1799" s="43" t="n">
        <x:v>0.9856776499348715</x:v>
      </x:c>
      <x:c r="H1799" s="32" t="n">
        <x:v>1024270.595533238</x:v>
      </x:c>
      <x:c r="I1799" s="50" t="b">
        <x:v>0</x:v>
      </x:c>
      <x:c r="J1799" s="50" t="b">
        <x:v>0</x:v>
      </x:c>
      <x:c r="K1799" s="31"/>
      <x:c r="L1799" s="31"/>
    </x:row>
    <x:row r="1800">
      <x:c r="A1800" s="31"/>
      <x:c r="B1800" s="31"/>
      <x:c r="C1800" s="31"/>
      <x:c r="D1800" s="31" t="n">
        <x:v>1796</x:v>
      </x:c>
      <x:c r="E1800" s="42" t="n">
        <x:v>-0.0053300231800199405</x:v>
      </x:c>
      <x:c r="F1800" s="42" t="n">
        <x:v>-0.017725081467983763</x:v>
      </x:c>
      <x:c r="G1800" s="43" t="n">
        <x:v>1.0056097706460236</x:v>
      </x:c>
      <x:c r="H1800" s="32" t="n">
        <x:v>926073.173465943</x:v>
      </x:c>
      <x:c r="I1800" s="50" t="b">
        <x:v>1</x:v>
      </x:c>
      <x:c r="J1800" s="50" t="b">
        <x:v>0</x:v>
      </x:c>
      <x:c r="K1800" s="31"/>
      <x:c r="L1800" s="31"/>
    </x:row>
    <x:row r="1801">
      <x:c r="A1801" s="31"/>
      <x:c r="B1801" s="31"/>
      <x:c r="C1801" s="31"/>
      <x:c r="D1801" s="31" t="n">
        <x:v>1797</x:v>
      </x:c>
      <x:c r="E1801" s="42" t="n">
        <x:v>-0.006745678749793083</x:v>
      </x:c>
      <x:c r="F1801" s="42" t="n">
        <x:v>0.001774594969257821</x:v>
      </x:c>
      <x:c r="G1801" s="43" t="n">
        <x:v>0.9831942998742287</x:v>
      </x:c>
      <x:c r="H1801" s="32" t="n">
        <x:v>1010208.9978836491</x:v>
      </x:c>
      <x:c r="I1801" s="50" t="b">
        <x:v>0</x:v>
      </x:c>
      <x:c r="J1801" s="50" t="b">
        <x:v>0</x:v>
      </x:c>
      <x:c r="K1801" s="31"/>
      <x:c r="L1801" s="31"/>
    </x:row>
    <x:row r="1802">
      <x:c r="A1802" s="31"/>
      <x:c r="B1802" s="31"/>
      <x:c r="C1802" s="31"/>
      <x:c r="D1802" s="31" t="n">
        <x:v>1798</x:v>
      </x:c>
      <x:c r="E1802" s="42" t="n">
        <x:v>-0.021431493872910184</x:v>
      </x:c>
      <x:c r="F1802" s="42" t="n">
        <x:v>0.004795115706946978</x:v>
      </x:c>
      <x:c r="G1802" s="43" t="n">
        <x:v>1.0781930311725618</x:v>
      </x:c>
      <x:c r="H1802" s="32" t="n">
        <x:v>357613.7949788533</x:v>
      </x:c>
      <x:c r="I1802" s="50" t="b">
        <x:v>1</x:v>
      </x:c>
      <x:c r="J1802" s="50" t="b">
        <x:v>0</x:v>
      </x:c>
      <x:c r="K1802" s="31"/>
      <x:c r="L1802" s="31"/>
    </x:row>
    <x:row r="1803">
      <x:c r="A1803" s="31"/>
      <x:c r="B1803" s="31"/>
      <x:c r="C1803" s="31"/>
      <x:c r="D1803" s="31" t="n">
        <x:v>1799</x:v>
      </x:c>
      <x:c r="E1803" s="42" t="n">
        <x:v>-0.014787664014025582</x:v>
      </x:c>
      <x:c r="F1803" s="42" t="n">
        <x:v>0.010983010125794434</x:v>
      </x:c>
      <x:c r="G1803" s="43" t="n">
        <x:v>1.0306899469518251</x:v>
      </x:c>
      <x:c r="H1803" s="32" t="n">
        <x:v>660561.1292214352</x:v>
      </x:c>
      <x:c r="I1803" s="50" t="b">
        <x:v>1</x:v>
      </x:c>
      <x:c r="J1803" s="50" t="b">
        <x:v>0</x:v>
      </x:c>
      <x:c r="K1803" s="31"/>
      <x:c r="L1803" s="31"/>
    </x:row>
    <x:row r="1804">
      <x:c r="A1804" s="31"/>
      <x:c r="B1804" s="31"/>
      <x:c r="C1804" s="31"/>
      <x:c r="D1804" s="31" t="n">
        <x:v>1800</x:v>
      </x:c>
      <x:c r="E1804" s="42" t="n">
        <x:v>0.020270092500172844</x:v>
      </x:c>
      <x:c r="F1804" s="42" t="n">
        <x:v>-0.008660018158163894</x:v>
      </x:c>
      <x:c r="G1804" s="43" t="n">
        <x:v>1.013702149919253</x:v>
      </x:c>
      <x:c r="H1804" s="32" t="n">
        <x:v>920706.5186220706</x:v>
      </x:c>
      <x:c r="I1804" s="50" t="b">
        <x:v>1</x:v>
      </x:c>
      <x:c r="J1804" s="50" t="b">
        <x:v>0</x:v>
      </x:c>
      <x:c r="K1804" s="31"/>
      <x:c r="L1804" s="31"/>
    </x:row>
    <x:row r="1805">
      <x:c r="A1805" s="31"/>
      <x:c r="B1805" s="31"/>
      <x:c r="C1805" s="31"/>
      <x:c r="D1805" s="31" t="n">
        <x:v>1801</x:v>
      </x:c>
      <x:c r="E1805" s="42" t="n">
        <x:v>0.004718423740890743</x:v>
      </x:c>
      <x:c r="F1805" s="42" t="n">
        <x:v>-0.0029039106427430753</x:v>
      </x:c>
      <x:c r="G1805" s="43" t="n">
        <x:v>1.0248300383303537</x:v>
      </x:c>
      <x:c r="H1805" s="32" t="n">
        <x:v>790725.8785479321</x:v>
      </x:c>
      <x:c r="I1805" s="50" t="b">
        <x:v>1</x:v>
      </x:c>
      <x:c r="J1805" s="50" t="b">
        <x:v>0</x:v>
      </x:c>
      <x:c r="K1805" s="31"/>
      <x:c r="L1805" s="31"/>
    </x:row>
    <x:row r="1806">
      <x:c r="A1806" s="31"/>
      <x:c r="B1806" s="31"/>
      <x:c r="C1806" s="31"/>
      <x:c r="D1806" s="31" t="n">
        <x:v>1802</x:v>
      </x:c>
      <x:c r="E1806" s="42" t="n">
        <x:v>-0.01727496689353308</x:v>
      </x:c>
      <x:c r="F1806" s="42" t="n">
        <x:v>0.0026595410942033167</x:v>
      </x:c>
      <x:c r="G1806" s="43" t="n">
        <x:v>1.0404954682008098</x:v>
      </x:c>
      <x:c r="H1806" s="32" t="n">
        <x:v>614534.2225917676</x:v>
      </x:c>
      <x:c r="I1806" s="50" t="b">
        <x:v>1</x:v>
      </x:c>
      <x:c r="J1806" s="50" t="b">
        <x:v>0</x:v>
      </x:c>
      <x:c r="K1806" s="31"/>
      <x:c r="L1806" s="31"/>
    </x:row>
    <x:row r="1807">
      <x:c r="A1807" s="31"/>
      <x:c r="B1807" s="31"/>
      <x:c r="C1807" s="31"/>
      <x:c r="D1807" s="31" t="n">
        <x:v>1803</x:v>
      </x:c>
      <x:c r="E1807" s="42" t="n">
        <x:v>-0.00992043518616907</x:v>
      </x:c>
      <x:c r="F1807" s="42" t="n">
        <x:v>0.0007613882733799231</x:v>
      </x:c>
      <x:c r="G1807" s="43" t="n">
        <x:v>0.9894150464155265</x:v>
      </x:c>
      <x:c r="H1807" s="32" t="n">
        <x:v>964686.1300202066</x:v>
      </x:c>
      <x:c r="I1807" s="50" t="b">
        <x:v>1</x:v>
      </x:c>
      <x:c r="J1807" s="50" t="b">
        <x:v>0</x:v>
      </x:c>
      <x:c r="K1807" s="31"/>
      <x:c r="L1807" s="31"/>
    </x:row>
    <x:row r="1808">
      <x:c r="A1808" s="31"/>
      <x:c r="B1808" s="31"/>
      <x:c r="C1808" s="31"/>
      <x:c r="D1808" s="31" t="n">
        <x:v>1804</x:v>
      </x:c>
      <x:c r="E1808" s="42" t="n">
        <x:v>-0.013142450149309974</x:v>
      </x:c>
      <x:c r="F1808" s="42" t="n">
        <x:v>0.010757680901098798</x:v>
      </x:c>
      <x:c r="G1808" s="43" t="n">
        <x:v>1.1080348553989163</x:v>
      </x:c>
      <x:c r="H1808" s="32" t="n">
        <x:v>174572.88086793106</x:v>
      </x:c>
      <x:c r="I1808" s="50" t="b">
        <x:v>1</x:v>
      </x:c>
      <x:c r="J1808" s="50" t="b">
        <x:v>0</x:v>
      </x:c>
      <x:c r="K1808" s="31"/>
      <x:c r="L1808" s="31"/>
    </x:row>
    <x:row r="1809">
      <x:c r="A1809" s="31"/>
      <x:c r="B1809" s="31"/>
      <x:c r="C1809" s="31"/>
      <x:c r="D1809" s="31" t="n">
        <x:v>1805</x:v>
      </x:c>
      <x:c r="E1809" s="42" t="n">
        <x:v>-0.012850337530943376</x:v>
      </x:c>
      <x:c r="F1809" s="42" t="n">
        <x:v>0.002158185820137889</x:v>
      </x:c>
      <x:c r="G1809" s="43" t="n">
        <x:v>1.0817249857656028</x:v>
      </x:c>
      <x:c r="H1809" s="32" t="n">
        <x:v>366409.1735639754</x:v>
      </x:c>
      <x:c r="I1809" s="50" t="b">
        <x:v>1</x:v>
      </x:c>
      <x:c r="J1809" s="50" t="b">
        <x:v>0</x:v>
      </x:c>
      <x:c r="K1809" s="31"/>
      <x:c r="L1809" s="31"/>
    </x:row>
    <x:row r="1810">
      <x:c r="A1810" s="31"/>
      <x:c r="B1810" s="31"/>
      <x:c r="C1810" s="31"/>
      <x:c r="D1810" s="31" t="n">
        <x:v>1806</x:v>
      </x:c>
      <x:c r="E1810" s="42" t="n">
        <x:v>-0.011158537755362248</x:v>
      </x:c>
      <x:c r="F1810" s="42" t="n">
        <x:v>0.004838320911140665</x:v>
      </x:c>
      <x:c r="G1810" s="43" t="n">
        <x:v>1.1048742930179078</x:v>
      </x:c>
      <x:c r="H1810" s="32" t="n">
        <x:v>216643.62425489025</x:v>
      </x:c>
      <x:c r="I1810" s="50" t="b">
        <x:v>1</x:v>
      </x:c>
      <x:c r="J1810" s="50" t="b">
        <x:v>0</x:v>
      </x:c>
      <x:c r="K1810" s="31"/>
      <x:c r="L1810" s="31"/>
    </x:row>
    <x:row r="1811">
      <x:c r="A1811" s="31"/>
      <x:c r="B1811" s="31"/>
      <x:c r="C1811" s="31"/>
      <x:c r="D1811" s="31" t="n">
        <x:v>1807</x:v>
      </x:c>
      <x:c r="E1811" s="42" t="n">
        <x:v>-0.01799620054115986</x:v>
      </x:c>
      <x:c r="F1811" s="42" t="n">
        <x:v>-0.0037346125566422926</x:v>
      </x:c>
      <x:c r="G1811" s="43" t="n">
        <x:v>1.005581650986937</x:v>
      </x:c>
      <x:c r="H1811" s="32" t="n">
        <x:v>852052.38743642</x:v>
      </x:c>
      <x:c r="I1811" s="50" t="b">
        <x:v>1</x:v>
      </x:c>
      <x:c r="J1811" s="50" t="b">
        <x:v>0</x:v>
      </x:c>
      <x:c r="K1811" s="31"/>
      <x:c r="L1811" s="31"/>
    </x:row>
    <x:row r="1812">
      <x:c r="A1812" s="31"/>
      <x:c r="B1812" s="31"/>
      <x:c r="C1812" s="31"/>
      <x:c r="D1812" s="31" t="n">
        <x:v>1808</x:v>
      </x:c>
      <x:c r="E1812" s="42" t="n">
        <x:v>0.011910330120976666</x:v>
      </x:c>
      <x:c r="F1812" s="42" t="n">
        <x:v>-0.004478919341745844</x:v>
      </x:c>
      <x:c r="G1812" s="43" t="n">
        <x:v>0.9892741321668063</x:v>
      </x:c>
      <x:c r="H1812" s="32" t="n">
        <x:v>1040933.9668449444</x:v>
      </x:c>
      <x:c r="I1812" s="50" t="b">
        <x:v>0</x:v>
      </x:c>
      <x:c r="J1812" s="50" t="b">
        <x:v>0</x:v>
      </x:c>
      <x:c r="K1812" s="31"/>
      <x:c r="L1812" s="31"/>
    </x:row>
    <x:row r="1813">
      <x:c r="A1813" s="31"/>
      <x:c r="B1813" s="31"/>
      <x:c r="C1813" s="31"/>
      <x:c r="D1813" s="31" t="n">
        <x:v>1809</x:v>
      </x:c>
      <x:c r="E1813" s="42" t="n">
        <x:v>-0.011318636686134472</x:v>
      </x:c>
      <x:c r="F1813" s="42" t="n">
        <x:v>-0.003777147277474035</x:v>
      </x:c>
      <x:c r="G1813" s="43" t="n">
        <x:v>1.0028557102775104</x:v>
      </x:c>
      <x:c r="H1813" s="32" t="n">
        <x:v>888069.5848760456</x:v>
      </x:c>
      <x:c r="I1813" s="50" t="b">
        <x:v>1</x:v>
      </x:c>
      <x:c r="J1813" s="50" t="b">
        <x:v>0</x:v>
      </x:c>
      <x:c r="K1813" s="31"/>
      <x:c r="L1813" s="31"/>
    </x:row>
    <x:row r="1814">
      <x:c r="A1814" s="31"/>
      <x:c r="B1814" s="31"/>
      <x:c r="C1814" s="31"/>
      <x:c r="D1814" s="31" t="n">
        <x:v>1810</x:v>
      </x:c>
      <x:c r="E1814" s="42" t="n">
        <x:v>-0.023787952787093853</x:v>
      </x:c>
      <x:c r="F1814" s="42" t="n">
        <x:v>-0.00410001043357668</x:v>
      </x:c>
      <x:c r="G1814" s="43" t="n">
        <x:v>1.0191982711379302</x:v>
      </x:c>
      <x:c r="H1814" s="32" t="n">
        <x:v>750472.8281308671</x:v>
      </x:c>
      <x:c r="I1814" s="50" t="b">
        <x:v>1</x:v>
      </x:c>
      <x:c r="J1814" s="50" t="b">
        <x:v>0</x:v>
      </x:c>
      <x:c r="K1814" s="31"/>
      <x:c r="L1814" s="31"/>
    </x:row>
    <x:row r="1815">
      <x:c r="A1815" s="31"/>
      <x:c r="B1815" s="31"/>
      <x:c r="C1815" s="31"/>
      <x:c r="D1815" s="31" t="n">
        <x:v>1811</x:v>
      </x:c>
      <x:c r="E1815" s="42" t="n">
        <x:v>-0.021536302413422827</x:v>
      </x:c>
      <x:c r="F1815" s="42" t="n">
        <x:v>0.0018612361972383566</x:v>
      </x:c>
      <x:c r="G1815" s="43" t="n">
        <x:v>0.9695675359826127</x:v>
      </x:c>
      <x:c r="H1815" s="32" t="n">
        <x:v>1055337.402857308</x:v>
      </x:c>
      <x:c r="I1815" s="50" t="b">
        <x:v>0</x:v>
      </x:c>
      <x:c r="J1815" s="50" t="b">
        <x:v>0</x:v>
      </x:c>
      <x:c r="K1815" s="31"/>
      <x:c r="L1815" s="31"/>
    </x:row>
    <x:row r="1816">
      <x:c r="A1816" s="31"/>
      <x:c r="B1816" s="31"/>
      <x:c r="C1816" s="31"/>
      <x:c r="D1816" s="31" t="n">
        <x:v>1812</x:v>
      </x:c>
      <x:c r="E1816" s="42" t="n">
        <x:v>0.0025337780691765403</x:v>
      </x:c>
      <x:c r="F1816" s="42" t="n">
        <x:v>0.004646643961518368</x:v>
      </x:c>
      <x:c r="G1816" s="43" t="n">
        <x:v>1.0044663387714337</x:v>
      </x:c>
      <x:c r="H1816" s="32" t="n">
        <x:v>892951.6471370761</x:v>
      </x:c>
      <x:c r="I1816" s="50" t="b">
        <x:v>1</x:v>
      </x:c>
      <x:c r="J1816" s="50" t="b">
        <x:v>0</x:v>
      </x:c>
      <x:c r="K1816" s="31"/>
      <x:c r="L1816" s="31"/>
    </x:row>
    <x:row r="1817">
      <x:c r="A1817" s="31"/>
      <x:c r="B1817" s="31"/>
      <x:c r="C1817" s="31"/>
      <x:c r="D1817" s="31" t="n">
        <x:v>1813</x:v>
      </x:c>
      <x:c r="E1817" s="42" t="n">
        <x:v>-0.004083566937467028</x:v>
      </x:c>
      <x:c r="F1817" s="42" t="n">
        <x:v>-0.006294986022933187</x:v>
      </x:c>
      <x:c r="G1817" s="43" t="n">
        <x:v>0.9296172273140108</x:v>
      </x:c>
      <x:c r="H1817" s="32" t="n">
        <x:v>1380333.258253477</x:v>
      </x:c>
      <x:c r="I1817" s="50" t="b">
        <x:v>0</x:v>
      </x:c>
      <x:c r="J1817" s="50" t="b">
        <x:v>0</x:v>
      </x:c>
      <x:c r="K1817" s="31"/>
      <x:c r="L1817" s="31"/>
    </x:row>
    <x:row r="1818">
      <x:c r="A1818" s="31"/>
      <x:c r="B1818" s="31"/>
      <x:c r="C1818" s="31"/>
      <x:c r="D1818" s="31" t="n">
        <x:v>1814</x:v>
      </x:c>
      <x:c r="E1818" s="42" t="n">
        <x:v>-0.010262881507079881</x:v>
      </x:c>
      <x:c r="F1818" s="42" t="n">
        <x:v>0.007500830010893668</x:v>
      </x:c>
      <x:c r="G1818" s="43" t="n">
        <x:v>0.9142762221894569</x:v>
      </x:c>
      <x:c r="H1818" s="32" t="n">
        <x:v>1422158.2869208283</x:v>
      </x:c>
      <x:c r="I1818" s="50" t="b">
        <x:v>0</x:v>
      </x:c>
      <x:c r="J1818" s="50" t="b">
        <x:v>0</x:v>
      </x:c>
      <x:c r="K1818" s="31"/>
      <x:c r="L1818" s="31"/>
    </x:row>
    <x:row r="1819">
      <x:c r="A1819" s="31"/>
      <x:c r="B1819" s="31"/>
      <x:c r="C1819" s="31"/>
      <x:c r="D1819" s="31" t="n">
        <x:v>1815</x:v>
      </x:c>
      <x:c r="E1819" s="42" t="n">
        <x:v>-0.006450089965140956</x:v>
      </x:c>
      <x:c r="F1819" s="42" t="n">
        <x:v>-0.003985591763009465</x:v>
      </x:c>
      <x:c r="G1819" s="43" t="n">
        <x:v>1.1270066716322058</x:v>
      </x:c>
      <x:c r="H1819" s="32" t="n">
        <x:v>113754.9705887778</x:v>
      </x:c>
      <x:c r="I1819" s="50" t="b">
        <x:v>1</x:v>
      </x:c>
      <x:c r="J1819" s="50" t="b">
        <x:v>0</x:v>
      </x:c>
      <x:c r="K1819" s="31"/>
      <x:c r="L1819" s="31"/>
    </x:row>
    <x:row r="1820">
      <x:c r="A1820" s="31"/>
      <x:c r="B1820" s="31"/>
      <x:c r="C1820" s="31"/>
      <x:c r="D1820" s="31" t="n">
        <x:v>1816</x:v>
      </x:c>
      <x:c r="E1820" s="42" t="n">
        <x:v>0.005717439033093218</x:v>
      </x:c>
      <x:c r="F1820" s="42" t="n">
        <x:v>0.013171671326707678</x:v>
      </x:c>
      <x:c r="G1820" s="43" t="n">
        <x:v>0.9400695006503917</x:v>
      </x:c>
      <x:c r="H1820" s="32" t="n">
        <x:v>1287049.3651039666</x:v>
      </x:c>
      <x:c r="I1820" s="50" t="b">
        <x:v>0</x:v>
      </x:c>
      <x:c r="J1820" s="50" t="b">
        <x:v>0</x:v>
      </x:c>
      <x:c r="K1820" s="31"/>
      <x:c r="L1820" s="31"/>
    </x:row>
    <x:row r="1821">
      <x:c r="A1821" s="31"/>
      <x:c r="B1821" s="31"/>
      <x:c r="C1821" s="31"/>
      <x:c r="D1821" s="31" t="n">
        <x:v>1817</x:v>
      </x:c>
      <x:c r="E1821" s="42" t="n">
        <x:v>0.016729424940748194</x:v>
      </x:c>
      <x:c r="F1821" s="42" t="n">
        <x:v>-0.0014530656274077665</x:v>
      </x:c>
      <x:c r="G1821" s="43" t="n">
        <x:v>1.0535897051797276</x:v>
      </x:c>
      <x:c r="H1821" s="32" t="n">
        <x:v>637476.0544589473</x:v>
      </x:c>
      <x:c r="I1821" s="50" t="b">
        <x:v>1</x:v>
      </x:c>
      <x:c r="J1821" s="50" t="b">
        <x:v>0</x:v>
      </x:c>
      <x:c r="K1821" s="31"/>
      <x:c r="L1821" s="31"/>
    </x:row>
    <x:row r="1822">
      <x:c r="A1822" s="31"/>
      <x:c r="B1822" s="31"/>
      <x:c r="C1822" s="31"/>
      <x:c r="D1822" s="31" t="n">
        <x:v>1818</x:v>
      </x:c>
      <x:c r="E1822" s="42" t="n">
        <x:v>-0.02064361420770651</x:v>
      </x:c>
      <x:c r="F1822" s="42" t="n">
        <x:v>-0.004562279509860726</x:v>
      </x:c>
      <x:c r="G1822" s="43" t="n">
        <x:v>1.0374166283276491</x:v>
      </x:c>
      <x:c r="H1822" s="32" t="n">
        <x:v>644812.4295716003</x:v>
      </x:c>
      <x:c r="I1822" s="50" t="b">
        <x:v>1</x:v>
      </x:c>
      <x:c r="J1822" s="50" t="b">
        <x:v>0</x:v>
      </x:c>
      <x:c r="K1822" s="31"/>
      <x:c r="L1822" s="31"/>
    </x:row>
    <x:row r="1823">
      <x:c r="A1823" s="31"/>
      <x:c r="B1823" s="31"/>
      <x:c r="C1823" s="31"/>
      <x:c r="D1823" s="31" t="n">
        <x:v>1819</x:v>
      </x:c>
      <x:c r="E1823" s="42" t="n">
        <x:v>-0.019599215959938306</x:v>
      </x:c>
      <x:c r="F1823" s="42" t="n">
        <x:v>-0.001646984363670804</x:v>
      </x:c>
      <x:c r="G1823" s="43" t="n">
        <x:v>1.026794148297767</x:v>
      </x:c>
      <x:c r="H1823" s="32" t="n">
        <x:v>707065.0179165358</x:v>
      </x:c>
      <x:c r="I1823" s="50" t="b">
        <x:v>1</x:v>
      </x:c>
      <x:c r="J1823" s="50" t="b">
        <x:v>0</x:v>
      </x:c>
      <x:c r="K1823" s="31"/>
      <x:c r="L1823" s="31"/>
    </x:row>
    <x:row r="1824">
      <x:c r="A1824" s="31"/>
      <x:c r="B1824" s="31"/>
      <x:c r="C1824" s="31"/>
      <x:c r="D1824" s="31" t="n">
        <x:v>1820</x:v>
      </x:c>
      <x:c r="E1824" s="42" t="n">
        <x:v>-0.014271564586663333</x:v>
      </x:c>
      <x:c r="F1824" s="42" t="n">
        <x:v>0.00086944609216624</x:v>
      </x:c>
      <x:c r="G1824" s="43" t="n">
        <x:v>0.9811818063972604</x:v>
      </x:c>
      <x:c r="H1824" s="32" t="n">
        <x:v>1004560.7886825117</x:v>
      </x:c>
      <x:c r="I1824" s="50" t="b">
        <x:v>0</x:v>
      </x:c>
      <x:c r="J1824" s="50" t="b">
        <x:v>0</x:v>
      </x:c>
      <x:c r="K1824" s="31"/>
      <x:c r="L1824" s="31"/>
    </x:row>
    <x:row r="1825">
      <x:c r="A1825" s="31"/>
      <x:c r="B1825" s="31"/>
      <x:c r="C1825" s="31"/>
      <x:c r="D1825" s="31" t="n">
        <x:v>1821</x:v>
      </x:c>
      <x:c r="E1825" s="42" t="n">
        <x:v>0.006887882749815735</x:v>
      </x:c>
      <x:c r="F1825" s="42" t="n">
        <x:v>0.004713956278200921</x:v>
      </x:c>
      <x:c r="G1825" s="43" t="n">
        <x:v>1.0046357786004105</x:v>
      </x:c>
      <x:c r="H1825" s="32" t="n">
        <x:v>903807.9657885523</x:v>
      </x:c>
      <x:c r="I1825" s="50" t="b">
        <x:v>1</x:v>
      </x:c>
      <x:c r="J1825" s="50" t="b">
        <x:v>0</x:v>
      </x:c>
      <x:c r="K1825" s="31"/>
      <x:c r="L1825" s="31"/>
    </x:row>
    <x:row r="1826">
      <x:c r="A1826" s="31"/>
      <x:c r="B1826" s="31"/>
      <x:c r="C1826" s="31"/>
      <x:c r="D1826" s="31" t="n">
        <x:v>1822</x:v>
      </x:c>
      <x:c r="E1826" s="42" t="n">
        <x:v>0.008246268195101901</x:v>
      </x:c>
      <x:c r="F1826" s="42" t="n">
        <x:v>-0.007350545634869961</x:v>
      </x:c>
      <x:c r="G1826" s="43" t="n">
        <x:v>0.9951338109374068</x:v>
      </x:c>
      <x:c r="H1826" s="32" t="n">
        <x:v>1001515.0945110784</x:v>
      </x:c>
      <x:c r="I1826" s="50" t="b">
        <x:v>0</x:v>
      </x:c>
      <x:c r="J1826" s="50" t="b">
        <x:v>0</x:v>
      </x:c>
      <x:c r="K1826" s="31"/>
      <x:c r="L1826" s="31"/>
    </x:row>
    <x:row r="1827">
      <x:c r="A1827" s="31"/>
      <x:c r="B1827" s="31"/>
      <x:c r="C1827" s="31"/>
      <x:c r="D1827" s="31" t="n">
        <x:v>1823</x:v>
      </x:c>
      <x:c r="E1827" s="42" t="n">
        <x:v>-0.001616198063435055</x:v>
      </x:c>
      <x:c r="F1827" s="42" t="n">
        <x:v>-0.0008941802195029192</x:v>
      </x:c>
      <x:c r="G1827" s="43" t="n">
        <x:v>0.9620447678516</x:v>
      </x:c>
      <x:c r="H1827" s="32" t="n">
        <x:v>1166230.1230154817</x:v>
      </x:c>
      <x:c r="I1827" s="50" t="b">
        <x:v>0</x:v>
      </x:c>
      <x:c r="J1827" s="50" t="b">
        <x:v>0</x:v>
      </x:c>
      <x:c r="K1827" s="31"/>
      <x:c r="L1827" s="31"/>
    </x:row>
    <x:row r="1828">
      <x:c r="A1828" s="31"/>
      <x:c r="B1828" s="31"/>
      <x:c r="C1828" s="31"/>
      <x:c r="D1828" s="31" t="n">
        <x:v>1824</x:v>
      </x:c>
      <x:c r="E1828" s="42" t="n">
        <x:v>-0.014430848114073355</x:v>
      </x:c>
      <x:c r="F1828" s="42" t="n">
        <x:v>0.00110200190672355</x:v>
      </x:c>
      <x:c r="G1828" s="43" t="n">
        <x:v>0.9988177337796716</x:v>
      </x:c>
      <x:c r="H1828" s="32" t="n">
        <x:v>891469.4660441425</x:v>
      </x:c>
      <x:c r="I1828" s="50" t="b">
        <x:v>1</x:v>
      </x:c>
      <x:c r="J1828" s="50" t="b">
        <x:v>0</x:v>
      </x:c>
      <x:c r="K1828" s="31"/>
      <x:c r="L1828" s="31"/>
    </x:row>
    <x:row r="1829">
      <x:c r="A1829" s="31"/>
      <x:c r="B1829" s="31"/>
      <x:c r="C1829" s="31"/>
      <x:c r="D1829" s="31" t="n">
        <x:v>1825</x:v>
      </x:c>
      <x:c r="E1829" s="42" t="n">
        <x:v>-0.010830207631353327</x:v>
      </x:c>
      <x:c r="F1829" s="42" t="n">
        <x:v>-0.004485986683117254</x:v>
      </x:c>
      <x:c r="G1829" s="43" t="n">
        <x:v>1.030179210443178</x:v>
      </x:c>
      <x:c r="H1829" s="32" t="n">
        <x:v>717878.6308417197</x:v>
      </x:c>
      <x:c r="I1829" s="50" t="b">
        <x:v>1</x:v>
      </x:c>
      <x:c r="J1829" s="50" t="b">
        <x:v>0</x:v>
      </x:c>
      <x:c r="K1829" s="31"/>
      <x:c r="L1829" s="31"/>
    </x:row>
    <x:row r="1830">
      <x:c r="A1830" s="31"/>
      <x:c r="B1830" s="31"/>
      <x:c r="C1830" s="31"/>
      <x:c r="D1830" s="31" t="n">
        <x:v>1826</x:v>
      </x:c>
      <x:c r="E1830" s="42" t="n">
        <x:v>-0.004622851120231972</x:v>
      </x:c>
      <x:c r="F1830" s="42" t="n">
        <x:v>-0.0006347583715020552</x:v>
      </x:c>
      <x:c r="G1830" s="43" t="n">
        <x:v>0.9270132713838539</x:v>
      </x:c>
      <x:c r="H1830" s="32" t="n">
        <x:v>1379613.7439947217</x:v>
      </x:c>
      <x:c r="I1830" s="50" t="b">
        <x:v>0</x:v>
      </x:c>
      <x:c r="J1830" s="50" t="b">
        <x:v>0</x:v>
      </x:c>
      <x:c r="K1830" s="31"/>
      <x:c r="L1830" s="31"/>
    </x:row>
    <x:row r="1831">
      <x:c r="A1831" s="31"/>
      <x:c r="B1831" s="31"/>
      <x:c r="C1831" s="31"/>
      <x:c r="D1831" s="31" t="n">
        <x:v>1827</x:v>
      </x:c>
      <x:c r="E1831" s="42" t="n">
        <x:v>-0.007184273204509113</x:v>
      </x:c>
      <x:c r="F1831" s="42" t="n">
        <x:v>-0.0007279141802664286</x:v>
      </x:c>
      <x:c r="G1831" s="43" t="n">
        <x:v>1.0440466091788136</x:v>
      </x:c>
      <x:c r="H1831" s="32" t="n">
        <x:v>629498.688763448</x:v>
      </x:c>
      <x:c r="I1831" s="50" t="b">
        <x:v>1</x:v>
      </x:c>
      <x:c r="J1831" s="50" t="b">
        <x:v>0</x:v>
      </x:c>
      <x:c r="K1831" s="31"/>
      <x:c r="L1831" s="31"/>
    </x:row>
    <x:row r="1832">
      <x:c r="A1832" s="31"/>
      <x:c r="B1832" s="31"/>
      <x:c r="C1832" s="31"/>
      <x:c r="D1832" s="31" t="n">
        <x:v>1828</x:v>
      </x:c>
      <x:c r="E1832" s="42" t="n">
        <x:v>0.0031592663312702968</x:v>
      </x:c>
      <x:c r="F1832" s="42" t="n">
        <x:v>-0.004219752835383072</x:v>
      </x:c>
      <x:c r="G1832" s="43" t="n">
        <x:v>0.9703313978285557</x:v>
      </x:c>
      <x:c r="H1832" s="32" t="n">
        <x:v>1136153.569923805</x:v>
      </x:c>
      <x:c r="I1832" s="50" t="b">
        <x:v>0</x:v>
      </x:c>
      <x:c r="J1832" s="50" t="b">
        <x:v>0</x:v>
      </x:c>
      <x:c r="K1832" s="31"/>
      <x:c r="L1832" s="31"/>
    </x:row>
    <x:row r="1833">
      <x:c r="A1833" s="31"/>
      <x:c r="B1833" s="31"/>
      <x:c r="C1833" s="31"/>
      <x:c r="D1833" s="31" t="n">
        <x:v>1829</x:v>
      </x:c>
      <x:c r="E1833" s="42" t="n">
        <x:v>0.010887102869254048</x:v>
      </x:c>
      <x:c r="F1833" s="42" t="n">
        <x:v>-0.006197087777385814</x:v>
      </x:c>
      <x:c r="G1833" s="43" t="n">
        <x:v>1.001621536503924</x:v>
      </x:c>
      <x:c r="H1833" s="32" t="n">
        <x:v>964453.5887105804</x:v>
      </x:c>
      <x:c r="I1833" s="50" t="b">
        <x:v>1</x:v>
      </x:c>
      <x:c r="J1833" s="50" t="b">
        <x:v>0</x:v>
      </x:c>
      <x:c r="K1833" s="31"/>
      <x:c r="L1833" s="31"/>
    </x:row>
    <x:row r="1834">
      <x:c r="A1834" s="31"/>
      <x:c r="B1834" s="31"/>
      <x:c r="C1834" s="31"/>
      <x:c r="D1834" s="31" t="n">
        <x:v>1830</x:v>
      </x:c>
      <x:c r="E1834" s="42" t="n">
        <x:v>-0.006219944769944716</x:v>
      </x:c>
      <x:c r="F1834" s="42" t="n">
        <x:v>-0.008526734283631515</x:v>
      </x:c>
      <x:c r="G1834" s="43" t="n">
        <x:v>1.024285982896804</x:v>
      </x:c>
      <x:c r="H1834" s="32" t="n">
        <x:v>779385.0788948259</x:v>
      </x:c>
      <x:c r="I1834" s="50" t="b">
        <x:v>1</x:v>
      </x:c>
      <x:c r="J1834" s="50" t="b">
        <x:v>0</x:v>
      </x:c>
      <x:c r="K1834" s="31"/>
      <x:c r="L1834" s="31"/>
    </x:row>
    <x:row r="1835">
      <x:c r="A1835" s="31"/>
      <x:c r="B1835" s="31"/>
      <x:c r="C1835" s="31"/>
      <x:c r="D1835" s="31" t="n">
        <x:v>1831</x:v>
      </x:c>
      <x:c r="E1835" s="42" t="n">
        <x:v>-0.012936283444442094</x:v>
      </x:c>
      <x:c r="F1835" s="42" t="n">
        <x:v>-0.006917773380448965</x:v>
      </x:c>
      <x:c r="G1835" s="43" t="n">
        <x:v>1.1148905800076685</x:v>
      </x:c>
      <x:c r="H1835" s="32" t="n">
        <x:v>180808.06256880192</x:v>
      </x:c>
      <x:c r="I1835" s="50" t="b">
        <x:v>1</x:v>
      </x:c>
      <x:c r="J1835" s="50" t="b">
        <x:v>0</x:v>
      </x:c>
      <x:c r="K1835" s="31"/>
      <x:c r="L1835" s="31"/>
    </x:row>
    <x:row r="1836">
      <x:c r="A1836" s="31"/>
      <x:c r="B1836" s="31"/>
      <x:c r="C1836" s="31"/>
      <x:c r="D1836" s="31" t="n">
        <x:v>1832</x:v>
      </x:c>
      <x:c r="E1836" s="42" t="n">
        <x:v>-0.01951239570415289</x:v>
      </x:c>
      <x:c r="F1836" s="42" t="n">
        <x:v>0.005251820732839271</x:v>
      </x:c>
      <x:c r="G1836" s="43" t="n">
        <x:v>0.9522412315965034</x:v>
      </x:c>
      <x:c r="H1836" s="32" t="n">
        <x:v>1161567.5286674793</x:v>
      </x:c>
      <x:c r="I1836" s="50" t="b">
        <x:v>0</x:v>
      </x:c>
      <x:c r="J1836" s="50" t="b">
        <x:v>0</x:v>
      </x:c>
      <x:c r="K1836" s="31"/>
      <x:c r="L1836" s="31"/>
    </x:row>
    <x:row r="1837">
      <x:c r="A1837" s="31"/>
      <x:c r="B1837" s="31"/>
      <x:c r="C1837" s="31"/>
      <x:c r="D1837" s="31" t="n">
        <x:v>1833</x:v>
      </x:c>
      <x:c r="E1837" s="42" t="n">
        <x:v>-0.012515515020386296</x:v>
      </x:c>
      <x:c r="F1837" s="42" t="n">
        <x:v>-0.005085893388303886</x:v>
      </x:c>
      <x:c r="G1837" s="43" t="n">
        <x:v>1.0308119896126862</x:v>
      </x:c>
      <x:c r="H1837" s="32" t="n">
        <x:v>710838.7981002617</x:v>
      </x:c>
      <x:c r="I1837" s="50" t="b">
        <x:v>1</x:v>
      </x:c>
      <x:c r="J1837" s="50" t="b">
        <x:v>0</x:v>
      </x:c>
      <x:c r="K1837" s="31"/>
      <x:c r="L1837" s="31"/>
    </x:row>
    <x:row r="1838">
      <x:c r="A1838" s="31"/>
      <x:c r="B1838" s="31"/>
      <x:c r="C1838" s="31"/>
      <x:c r="D1838" s="31" t="n">
        <x:v>1834</x:v>
      </x:c>
      <x:c r="E1838" s="42" t="n">
        <x:v>-0.0035291990440218784</x:v>
      </x:c>
      <x:c r="F1838" s="42" t="n">
        <x:v>-0.0035716608816843817</x:v>
      </x:c>
      <x:c r="G1838" s="43" t="n">
        <x:v>1.0028083403570165</x:v>
      </x:c>
      <x:c r="H1838" s="32" t="n">
        <x:v>909480.5138225278</x:v>
      </x:c>
      <x:c r="I1838" s="50" t="b">
        <x:v>1</x:v>
      </x:c>
      <x:c r="J1838" s="50" t="b">
        <x:v>0</x:v>
      </x:c>
      <x:c r="K1838" s="31"/>
      <x:c r="L1838" s="31"/>
    </x:row>
    <x:row r="1839">
      <x:c r="A1839" s="31"/>
      <x:c r="B1839" s="31"/>
      <x:c r="C1839" s="31"/>
      <x:c r="D1839" s="31" t="n">
        <x:v>1835</x:v>
      </x:c>
      <x:c r="E1839" s="42" t="n">
        <x:v>-0.01804589868931528</x:v>
      </x:c>
      <x:c r="F1839" s="42" t="n">
        <x:v>-0.0013270150254372762</x:v>
      </x:c>
      <x:c r="G1839" s="43" t="n">
        <x:v>1.0011418952800966</x:v>
      </x:c>
      <x:c r="H1839" s="32" t="n">
        <x:v>873408.0435435307</x:v>
      </x:c>
      <x:c r="I1839" s="50" t="b">
        <x:v>1</x:v>
      </x:c>
      <x:c r="J1839" s="50" t="b">
        <x:v>0</x:v>
      </x:c>
      <x:c r="K1839" s="31"/>
      <x:c r="L1839" s="31"/>
    </x:row>
    <x:row r="1840">
      <x:c r="A1840" s="31"/>
      <x:c r="B1840" s="31"/>
      <x:c r="C1840" s="31"/>
      <x:c r="D1840" s="31" t="n">
        <x:v>1836</x:v>
      </x:c>
      <x:c r="E1840" s="42" t="n">
        <x:v>0.014703483957698417</x:v>
      </x:c>
      <x:c r="F1840" s="42" t="n">
        <x:v>0.005016275825318549</x:v>
      </x:c>
      <x:c r="G1840" s="43" t="n">
        <x:v>0.9970483430662552</x:v>
      </x:c>
      <x:c r="H1840" s="32" t="n">
        <x:v>972906.9411131064</x:v>
      </x:c>
      <x:c r="I1840" s="50" t="b">
        <x:v>1</x:v>
      </x:c>
      <x:c r="J1840" s="50" t="b">
        <x:v>0</x:v>
      </x:c>
      <x:c r="K1840" s="31"/>
      <x:c r="L1840" s="31"/>
    </x:row>
    <x:row r="1841">
      <x:c r="A1841" s="31"/>
      <x:c r="B1841" s="31"/>
      <x:c r="C1841" s="31"/>
      <x:c r="D1841" s="31" t="n">
        <x:v>1837</x:v>
      </x:c>
      <x:c r="E1841" s="42" t="n">
        <x:v>-0.01243366833518695</x:v>
      </x:c>
      <x:c r="F1841" s="42" t="n">
        <x:v>0.0031859407879537786</x:v>
      </x:c>
      <x:c r="G1841" s="43" t="n">
        <x:v>1.009254298818496</x:v>
      </x:c>
      <x:c r="H1841" s="32" t="n">
        <x:v>824948.3906905069</x:v>
      </x:c>
      <x:c r="I1841" s="50" t="b">
        <x:v>1</x:v>
      </x:c>
      <x:c r="J1841" s="50" t="b">
        <x:v>0</x:v>
      </x:c>
      <x:c r="K1841" s="31"/>
      <x:c r="L1841" s="31"/>
    </x:row>
    <x:row r="1842">
      <x:c r="A1842" s="31"/>
      <x:c r="B1842" s="31"/>
      <x:c r="C1842" s="31"/>
      <x:c r="D1842" s="31" t="n">
        <x:v>1838</x:v>
      </x:c>
      <x:c r="E1842" s="42" t="n">
        <x:v>-0.006985683916070524</x:v>
      </x:c>
      <x:c r="F1842" s="42" t="n">
        <x:v>-0.001044031524209821</x:v>
      </x:c>
      <x:c r="G1842" s="43" t="n">
        <x:v>0.8914837757165608</x:v>
      </x:c>
      <x:c r="H1842" s="32" t="n">
        <x:v>1599813.427912817</x:v>
      </x:c>
      <x:c r="I1842" s="50" t="b">
        <x:v>0</x:v>
      </x:c>
      <x:c r="J1842" s="50" t="b">
        <x:v>0</x:v>
      </x:c>
      <x:c r="K1842" s="31"/>
      <x:c r="L1842" s="31"/>
    </x:row>
    <x:row r="1843">
      <x:c r="A1843" s="31"/>
      <x:c r="B1843" s="31"/>
      <x:c r="C1843" s="31"/>
      <x:c r="D1843" s="31" t="n">
        <x:v>1839</x:v>
      </x:c>
      <x:c r="E1843" s="42" t="n">
        <x:v>-0.010520970061585134</x:v>
      </x:c>
      <x:c r="F1843" s="42" t="n">
        <x:v>0.008983691163162397</x:v>
      </x:c>
      <x:c r="G1843" s="43" t="n">
        <x:v>1.094904795092098</x:v>
      </x:c>
      <x:c r="H1843" s="32" t="n">
        <x:v>270192.95059011073</x:v>
      </x:c>
      <x:c r="I1843" s="50" t="b">
        <x:v>1</x:v>
      </x:c>
      <x:c r="J1843" s="50" t="b">
        <x:v>0</x:v>
      </x:c>
      <x:c r="K1843" s="31"/>
      <x:c r="L1843" s="31"/>
    </x:row>
    <x:row r="1844">
      <x:c r="A1844" s="31"/>
      <x:c r="B1844" s="31"/>
      <x:c r="C1844" s="31"/>
      <x:c r="D1844" s="31" t="n">
        <x:v>1840</x:v>
      </x:c>
      <x:c r="E1844" s="42" t="n">
        <x:v>-0.026443283417730192</x:v>
      </x:c>
      <x:c r="F1844" s="42" t="n">
        <x:v>0.000657689593941454</x:v>
      </x:c>
      <x:c r="G1844" s="43" t="n">
        <x:v>0.9866601816359636</x:v>
      </x:c>
      <x:c r="H1844" s="32" t="n">
        <x:v>936478.4057132623</x:v>
      </x:c>
      <x:c r="I1844" s="50" t="b">
        <x:v>1</x:v>
      </x:c>
      <x:c r="J1844" s="50" t="b">
        <x:v>0</x:v>
      </x:c>
      <x:c r="K1844" s="31"/>
      <x:c r="L1844" s="31"/>
    </x:row>
    <x:row r="1845">
      <x:c r="A1845" s="31"/>
      <x:c r="B1845" s="31"/>
      <x:c r="C1845" s="31"/>
      <x:c r="D1845" s="31" t="n">
        <x:v>1841</x:v>
      </x:c>
      <x:c r="E1845" s="42" t="n">
        <x:v>0.018686813973776015</x:v>
      </x:c>
      <x:c r="F1845" s="42" t="n">
        <x:v>-0.0064557451073099514</x:v>
      </x:c>
      <x:c r="G1845" s="43" t="n">
        <x:v>0.9796812532478759</x:v>
      </x:c>
      <x:c r="H1845" s="32" t="n">
        <x:v>1126220.5732818036</x:v>
      </x:c>
      <x:c r="I1845" s="50" t="b">
        <x:v>0</x:v>
      </x:c>
      <x:c r="J1845" s="50" t="b">
        <x:v>0</x:v>
      </x:c>
      <x:c r="K1845" s="31"/>
      <x:c r="L1845" s="31"/>
    </x:row>
    <x:row r="1846">
      <x:c r="A1846" s="31"/>
      <x:c r="B1846" s="31"/>
      <x:c r="C1846" s="31"/>
      <x:c r="D1846" s="31" t="n">
        <x:v>1842</x:v>
      </x:c>
      <x:c r="E1846" s="42" t="n">
        <x:v>0.00981229758928089</x:v>
      </x:c>
      <x:c r="F1846" s="42" t="n">
        <x:v>0.0020847865416322364</x:v>
      </x:c>
      <x:c r="G1846" s="43" t="n">
        <x:v>0.9695997357215439</x:v>
      </x:c>
      <x:c r="H1846" s="32" t="n">
        <x:v>1141770.1773628131</x:v>
      </x:c>
      <x:c r="I1846" s="50" t="b">
        <x:v>0</x:v>
      </x:c>
      <x:c r="J1846" s="50" t="b">
        <x:v>0</x:v>
      </x:c>
      <x:c r="K1846" s="31"/>
      <x:c r="L1846" s="31"/>
    </x:row>
    <x:row r="1847">
      <x:c r="A1847" s="31"/>
      <x:c r="B1847" s="31"/>
      <x:c r="C1847" s="31"/>
      <x:c r="D1847" s="31" t="n">
        <x:v>1843</x:v>
      </x:c>
      <x:c r="E1847" s="42" t="n">
        <x:v>-0.014409371371671966</x:v>
      </x:c>
      <x:c r="F1847" s="42" t="n">
        <x:v>-0.003116751091437166</x:v>
      </x:c>
      <x:c r="G1847" s="43" t="n">
        <x:v>0.9713473078675324</x:v>
      </x:c>
      <x:c r="H1847" s="32" t="n">
        <x:v>1077728.8993974673</x:v>
      </x:c>
      <x:c r="I1847" s="50" t="b">
        <x:v>0</x:v>
      </x:c>
      <x:c r="J1847" s="50" t="b">
        <x:v>0</x:v>
      </x:c>
      <x:c r="K1847" s="31"/>
      <x:c r="L1847" s="31"/>
    </x:row>
    <x:row r="1848">
      <x:c r="A1848" s="31"/>
      <x:c r="B1848" s="31"/>
      <x:c r="C1848" s="31"/>
      <x:c r="D1848" s="31" t="n">
        <x:v>1844</x:v>
      </x:c>
      <x:c r="E1848" s="42" t="n">
        <x:v>0.005917488394960254</x:v>
      </x:c>
      <x:c r="F1848" s="42" t="n">
        <x:v>0.00183191437828064</x:v>
      </x:c>
      <x:c r="G1848" s="43" t="n">
        <x:v>0.934974813928104</x:v>
      </x:c>
      <x:c r="H1848" s="32" t="n">
        <x:v>1351525.540652758</x:v>
      </x:c>
      <x:c r="I1848" s="50" t="b">
        <x:v>0</x:v>
      </x:c>
      <x:c r="J1848" s="50" t="b">
        <x:v>0</x:v>
      </x:c>
      <x:c r="K1848" s="31"/>
      <x:c r="L1848" s="31"/>
    </x:row>
    <x:row r="1849">
      <x:c r="A1849" s="31"/>
      <x:c r="B1849" s="31"/>
      <x:c r="C1849" s="31"/>
      <x:c r="D1849" s="31" t="n">
        <x:v>1845</x:v>
      </x:c>
      <x:c r="E1849" s="42" t="n">
        <x:v>-0.00806989207065101</x:v>
      </x:c>
      <x:c r="F1849" s="42" t="n">
        <x:v>-0.00016175585039765334</x:v>
      </x:c>
      <x:c r="G1849" s="43" t="n">
        <x:v>1.0091429588752237</x:v>
      </x:c>
      <x:c r="H1849" s="32" t="n">
        <x:v>847120.5339447598</x:v>
      </x:c>
      <x:c r="I1849" s="50" t="b">
        <x:v>1</x:v>
      </x:c>
      <x:c r="J1849" s="50" t="b">
        <x:v>0</x:v>
      </x:c>
      <x:c r="K1849" s="31"/>
      <x:c r="L1849" s="31"/>
    </x:row>
    <x:row r="1850">
      <x:c r="A1850" s="31"/>
      <x:c r="B1850" s="31"/>
      <x:c r="C1850" s="31"/>
      <x:c r="D1850" s="31" t="n">
        <x:v>1846</x:v>
      </x:c>
      <x:c r="E1850" s="42" t="n">
        <x:v>-0.0022308568882056326</x:v>
      </x:c>
      <x:c r="F1850" s="42" t="n">
        <x:v>0.005331758751808056</x:v>
      </x:c>
      <x:c r="G1850" s="43" t="n">
        <x:v>1.051132820761278</x:v>
      </x:c>
      <x:c r="H1850" s="32" t="n">
        <x:v>581416.9367462769</x:v>
      </x:c>
      <x:c r="I1850" s="50" t="b">
        <x:v>1</x:v>
      </x:c>
      <x:c r="J1850" s="50" t="b">
        <x:v>0</x:v>
      </x:c>
      <x:c r="K1850" s="31"/>
      <x:c r="L1850" s="31"/>
    </x:row>
    <x:row r="1851">
      <x:c r="A1851" s="31"/>
      <x:c r="B1851" s="31"/>
      <x:c r="C1851" s="31"/>
      <x:c r="D1851" s="31" t="n">
        <x:v>1847</x:v>
      </x:c>
      <x:c r="E1851" s="42" t="n">
        <x:v>-0.011748239718727897</x:v>
      </x:c>
      <x:c r="F1851" s="42" t="n">
        <x:v>-0.001265994263363046</x:v>
      </x:c>
      <x:c r="G1851" s="43" t="n">
        <x:v>0.9759531401607258</x:v>
      </x:c>
      <x:c r="H1851" s="32" t="n">
        <x:v>1050734.2986421578</x:v>
      </x:c>
      <x:c r="I1851" s="50" t="b">
        <x:v>0</x:v>
      </x:c>
      <x:c r="J1851" s="50" t="b">
        <x:v>0</x:v>
      </x:c>
      <x:c r="K1851" s="31"/>
      <x:c r="L1851" s="31"/>
    </x:row>
    <x:row r="1852">
      <x:c r="A1852" s="31"/>
      <x:c r="B1852" s="31"/>
      <x:c r="C1852" s="31"/>
      <x:c r="D1852" s="31" t="n">
        <x:v>1848</x:v>
      </x:c>
      <x:c r="E1852" s="42" t="n">
        <x:v>0.01723085897727921</x:v>
      </x:c>
      <x:c r="F1852" s="42" t="n">
        <x:v>-0.0054955326505692365</x:v>
      </x:c>
      <x:c r="G1852" s="43" t="n">
        <x:v>0.9904454346886432</x:v>
      </x:c>
      <x:c r="H1852" s="32" t="n">
        <x:v>1051134.941969382</x:v>
      </x:c>
      <x:c r="I1852" s="50" t="b">
        <x:v>0</x:v>
      </x:c>
      <x:c r="J1852" s="50" t="b">
        <x:v>0</x:v>
      </x:c>
      <x:c r="K1852" s="31"/>
      <x:c r="L1852" s="31"/>
    </x:row>
    <x:row r="1853">
      <x:c r="A1853" s="31"/>
      <x:c r="B1853" s="31"/>
      <x:c r="C1853" s="31"/>
      <x:c r="D1853" s="31" t="n">
        <x:v>1849</x:v>
      </x:c>
      <x:c r="E1853" s="42" t="n">
        <x:v>-0.0013244563325656598</x:v>
      </x:c>
      <x:c r="F1853" s="42" t="n">
        <x:v>0.001979227830214026</x:v>
      </x:c>
      <x:c r="G1853" s="43" t="n">
        <x:v>1.0140710539129092</x:v>
      </x:c>
      <x:c r="H1853" s="32" t="n">
        <x:v>828640.2346040478</x:v>
      </x:c>
      <x:c r="I1853" s="50" t="b">
        <x:v>1</x:v>
      </x:c>
      <x:c r="J1853" s="50" t="b">
        <x:v>0</x:v>
      </x:c>
      <x:c r="K1853" s="31"/>
      <x:c r="L1853" s="31"/>
    </x:row>
    <x:row r="1854">
      <x:c r="A1854" s="31"/>
      <x:c r="B1854" s="31"/>
      <x:c r="C1854" s="31"/>
      <x:c r="D1854" s="31" t="n">
        <x:v>1850</x:v>
      </x:c>
      <x:c r="E1854" s="42" t="n">
        <x:v>-0.012232274410224644</x:v>
      </x:c>
      <x:c r="F1854" s="42" t="n">
        <x:v>-0.008740963155268369</x:v>
      </x:c>
      <x:c r="G1854" s="43" t="n">
        <x:v>1.0453564525658967</x:v>
      </x:c>
      <x:c r="H1854" s="32" t="n">
        <x:v>629433.53177716</x:v>
      </x:c>
      <x:c r="I1854" s="50" t="b">
        <x:v>1</x:v>
      </x:c>
      <x:c r="J1854" s="50" t="b">
        <x:v>0</x:v>
      </x:c>
      <x:c r="K1854" s="31"/>
      <x:c r="L1854" s="31"/>
    </x:row>
    <x:row r="1855">
      <x:c r="A1855" s="31"/>
      <x:c r="B1855" s="31"/>
      <x:c r="C1855" s="31"/>
      <x:c r="D1855" s="31" t="n">
        <x:v>1851</x:v>
      </x:c>
      <x:c r="E1855" s="42" t="n">
        <x:v>-0.017101098030991867</x:v>
      </x:c>
      <x:c r="F1855" s="42" t="n">
        <x:v>-0.001450188110983792</x:v>
      </x:c>
      <x:c r="G1855" s="43" t="n">
        <x:v>0.9643374542755474</x:v>
      </x:c>
      <x:c r="H1855" s="32" t="n">
        <x:v>1110115.0384648677</x:v>
      </x:c>
      <x:c r="I1855" s="50" t="b">
        <x:v>0</x:v>
      </x:c>
      <x:c r="J1855" s="50" t="b">
        <x:v>0</x:v>
      </x:c>
      <x:c r="K1855" s="31"/>
      <x:c r="L1855" s="31"/>
    </x:row>
    <x:row r="1856">
      <x:c r="A1856" s="31"/>
      <x:c r="B1856" s="31"/>
      <x:c r="C1856" s="31"/>
      <x:c r="D1856" s="31" t="n">
        <x:v>1852</x:v>
      </x:c>
      <x:c r="E1856" s="42" t="n">
        <x:v>-0.009408252818896307</x:v>
      </x:c>
      <x:c r="F1856" s="42" t="n">
        <x:v>0.004774106374342522</x:v>
      </x:c>
      <x:c r="G1856" s="43" t="n">
        <x:v>0.9791110382437989</x:v>
      </x:c>
      <x:c r="H1856" s="32" t="n">
        <x:v>1020380.0606939157</x:v>
      </x:c>
      <x:c r="I1856" s="50" t="b">
        <x:v>0</x:v>
      </x:c>
      <x:c r="J1856" s="50" t="b">
        <x:v>0</x:v>
      </x:c>
      <x:c r="K1856" s="31"/>
      <x:c r="L1856" s="31"/>
    </x:row>
    <x:row r="1857">
      <x:c r="A1857" s="31"/>
      <x:c r="B1857" s="31"/>
      <x:c r="C1857" s="31"/>
      <x:c r="D1857" s="31" t="n">
        <x:v>1853</x:v>
      </x:c>
      <x:c r="E1857" s="42" t="n">
        <x:v>0.004030763351884061</x:v>
      </x:c>
      <x:c r="F1857" s="42" t="n">
        <x:v>0.0004110180360850038</x:v>
      </x:c>
      <x:c r="G1857" s="43" t="n">
        <x:v>0.994120594770654</x:v>
      </x:c>
      <x:c r="H1857" s="32" t="n">
        <x:v>974611.2990614744</x:v>
      </x:c>
      <x:c r="I1857" s="50" t="b">
        <x:v>1</x:v>
      </x:c>
      <x:c r="J1857" s="50" t="b">
        <x:v>0</x:v>
      </x:c>
      <x:c r="K1857" s="31"/>
      <x:c r="L1857" s="31"/>
    </x:row>
    <x:row r="1858">
      <x:c r="A1858" s="31"/>
      <x:c r="B1858" s="31"/>
      <x:c r="C1858" s="31"/>
      <x:c r="D1858" s="31" t="n">
        <x:v>1854</x:v>
      </x:c>
      <x:c r="E1858" s="42" t="n">
        <x:v>0.03138431296896763</x:v>
      </x:c>
      <x:c r="F1858" s="42" t="n">
        <x:v>0.0018100301889010658</x:v>
      </x:c>
      <x:c r="G1858" s="43" t="n">
        <x:v>0.9675213020222259</x:v>
      </x:c>
      <x:c r="H1858" s="32" t="n">
        <x:v>1215780.6767396843</x:v>
      </x:c>
      <x:c r="I1858" s="50" t="b">
        <x:v>0</x:v>
      </x:c>
      <x:c r="J1858" s="50" t="b">
        <x:v>0</x:v>
      </x:c>
      <x:c r="K1858" s="31"/>
      <x:c r="L1858" s="31"/>
    </x:row>
    <x:row r="1859">
      <x:c r="A1859" s="31"/>
      <x:c r="B1859" s="31"/>
      <x:c r="C1859" s="31"/>
      <x:c r="D1859" s="31" t="n">
        <x:v>1855</x:v>
      </x:c>
      <x:c r="E1859" s="42" t="n">
        <x:v>0.01472046126739308</x:v>
      </x:c>
      <x:c r="F1859" s="42" t="n">
        <x:v>0.0022317626846243607</x:v>
      </x:c>
      <x:c r="G1859" s="43" t="n">
        <x:v>0.9928360933970802</x:v>
      </x:c>
      <x:c r="H1859" s="32" t="n">
        <x:v>1007455.7205150097</x:v>
      </x:c>
      <x:c r="I1859" s="50" t="b">
        <x:v>0</x:v>
      </x:c>
      <x:c r="J1859" s="50" t="b">
        <x:v>0</x:v>
      </x:c>
      <x:c r="K1859" s="31"/>
      <x:c r="L1859" s="31"/>
    </x:row>
    <x:row r="1860">
      <x:c r="A1860" s="31"/>
      <x:c r="B1860" s="31"/>
      <x:c r="C1860" s="31"/>
      <x:c r="D1860" s="31" t="n">
        <x:v>1856</x:v>
      </x:c>
      <x:c r="E1860" s="42" t="n">
        <x:v>-0.028734300561296746</x:v>
      </x:c>
      <x:c r="F1860" s="42" t="n">
        <x:v>0.01032818641594921</x:v>
      </x:c>
      <x:c r="G1860" s="43" t="n">
        <x:v>0.9439605272360327</x:v>
      </x:c>
      <x:c r="H1860" s="32" t="n">
        <x:v>1174356.3129979398</x:v>
      </x:c>
      <x:c r="I1860" s="50" t="b">
        <x:v>0</x:v>
      </x:c>
      <x:c r="J1860" s="50" t="b">
        <x:v>0</x:v>
      </x:c>
      <x:c r="K1860" s="31"/>
      <x:c r="L1860" s="31"/>
    </x:row>
    <x:row r="1861">
      <x:c r="A1861" s="31"/>
      <x:c r="B1861" s="31"/>
      <x:c r="C1861" s="31"/>
      <x:c r="D1861" s="31" t="n">
        <x:v>1857</x:v>
      </x:c>
      <x:c r="E1861" s="42" t="n">
        <x:v>-0.0090886790003722</x:v>
      </x:c>
      <x:c r="F1861" s="42" t="n">
        <x:v>-0.003916580704141646</x:v>
      </x:c>
      <x:c r="G1861" s="43" t="n">
        <x:v>1.0535743433104658</x:v>
      </x:c>
      <x:c r="H1861" s="32" t="n">
        <x:v>572565.5974185825</x:v>
      </x:c>
      <x:c r="I1861" s="50" t="b">
        <x:v>1</x:v>
      </x:c>
      <x:c r="J1861" s="50" t="b">
        <x:v>0</x:v>
      </x:c>
      <x:c r="K1861" s="31"/>
      <x:c r="L1861" s="31"/>
    </x:row>
    <x:row r="1862">
      <x:c r="A1862" s="31"/>
      <x:c r="B1862" s="31"/>
      <x:c r="C1862" s="31"/>
      <x:c r="D1862" s="31" t="n">
        <x:v>1858</x:v>
      </x:c>
      <x:c r="E1862" s="42" t="n">
        <x:v>-0.008213321629619918</x:v>
      </x:c>
      <x:c r="F1862" s="42" t="n">
        <x:v>0.001488874664407348</x:v>
      </x:c>
      <x:c r="G1862" s="43" t="n">
        <x:v>1.0664742732715151</x:v>
      </x:c>
      <x:c r="H1862" s="32" t="n">
        <x:v>478032.27787554765</x:v>
      </x:c>
      <x:c r="I1862" s="50" t="b">
        <x:v>1</x:v>
      </x:c>
      <x:c r="J1862" s="50" t="b">
        <x:v>0</x:v>
      </x:c>
      <x:c r="K1862" s="31"/>
      <x:c r="L1862" s="31"/>
    </x:row>
    <x:row r="1863">
      <x:c r="A1863" s="31"/>
      <x:c r="B1863" s="31"/>
      <x:c r="C1863" s="31"/>
      <x:c r="D1863" s="31" t="n">
        <x:v>1859</x:v>
      </x:c>
      <x:c r="E1863" s="42" t="n">
        <x:v>0.003969030867738459</x:v>
      </x:c>
      <x:c r="F1863" s="42" t="n">
        <x:v>-0.009715022390613764</x:v>
      </x:c>
      <x:c r="G1863" s="43" t="n">
        <x:v>1.067580859373189</x:v>
      </x:c>
      <x:c r="H1863" s="32" t="n">
        <x:v>536100.8164308467</x:v>
      </x:c>
      <x:c r="I1863" s="50" t="b">
        <x:v>1</x:v>
      </x:c>
      <x:c r="J1863" s="50" t="b">
        <x:v>0</x:v>
      </x:c>
      <x:c r="K1863" s="31"/>
      <x:c r="L1863" s="31"/>
    </x:row>
    <x:row r="1864">
      <x:c r="A1864" s="31"/>
      <x:c r="B1864" s="31"/>
      <x:c r="C1864" s="31"/>
      <x:c r="D1864" s="31" t="n">
        <x:v>1860</x:v>
      </x:c>
      <x:c r="E1864" s="42" t="n">
        <x:v>-0.008270448191213519</x:v>
      </x:c>
      <x:c r="F1864" s="42" t="n">
        <x:v>-0.0035971643442784477</x:v>
      </x:c>
      <x:c r="G1864" s="43" t="n">
        <x:v>0.9901568780493998</x:v>
      </x:c>
      <x:c r="H1864" s="32" t="n">
        <x:v>976699.8769578927</x:v>
      </x:c>
      <x:c r="I1864" s="50" t="b">
        <x:v>1</x:v>
      </x:c>
      <x:c r="J1864" s="50" t="b">
        <x:v>0</x:v>
      </x:c>
      <x:c r="K1864" s="31"/>
      <x:c r="L1864" s="31"/>
    </x:row>
    <x:row r="1865">
      <x:c r="A1865" s="31"/>
      <x:c r="B1865" s="31"/>
      <x:c r="C1865" s="31"/>
      <x:c r="D1865" s="31" t="n">
        <x:v>1861</x:v>
      </x:c>
      <x:c r="E1865" s="42" t="n">
        <x:v>-0.002050203926130729</x:v>
      </x:c>
      <x:c r="F1865" s="42" t="n">
        <x:v>0.010767418333416282</x:v>
      </x:c>
      <x:c r="G1865" s="43" t="n">
        <x:v>0.9011761935333611</x:v>
      </x:c>
      <x:c r="H1865" s="32" t="n">
        <x:v>1519120.295787972</x:v>
      </x:c>
      <x:c r="I1865" s="50" t="b">
        <x:v>0</x:v>
      </x:c>
      <x:c r="J1865" s="50" t="b">
        <x:v>0</x:v>
      </x:c>
      <x:c r="K1865" s="31"/>
      <x:c r="L1865" s="31"/>
    </x:row>
    <x:row r="1866">
      <x:c r="A1866" s="31"/>
      <x:c r="B1866" s="31"/>
      <x:c r="C1866" s="31"/>
      <x:c r="D1866" s="31" t="n">
        <x:v>1862</x:v>
      </x:c>
      <x:c r="E1866" s="42" t="n">
        <x:v>-0.008329082510690707</x:v>
      </x:c>
      <x:c r="F1866" s="42" t="n">
        <x:v>0.011502121229727139</x:v>
      </x:c>
      <x:c r="G1866" s="43" t="n">
        <x:v>0.9862904096602874</x:v>
      </x:c>
      <x:c r="H1866" s="32" t="n">
        <x:v>959062.2835525979</x:v>
      </x:c>
      <x:c r="I1866" s="50" t="b">
        <x:v>1</x:v>
      </x:c>
      <x:c r="J1866" s="50" t="b">
        <x:v>0</x:v>
      </x:c>
      <x:c r="K1866" s="31"/>
      <x:c r="L1866" s="31"/>
    </x:row>
    <x:row r="1867">
      <x:c r="A1867" s="31"/>
      <x:c r="B1867" s="31"/>
      <x:c r="C1867" s="31"/>
      <x:c r="D1867" s="31" t="n">
        <x:v>1863</x:v>
      </x:c>
      <x:c r="E1867" s="42" t="n">
        <x:v>0.009838835451860081</x:v>
      </x:c>
      <x:c r="F1867" s="42" t="n">
        <x:v>0.0002556426304991057</x:v>
      </x:c>
      <x:c r="G1867" s="43" t="n">
        <x:v>1.0649443955019704</x:v>
      </x:c>
      <x:c r="H1867" s="32" t="n">
        <x:v>541429.3933044337</x:v>
      </x:c>
      <x:c r="I1867" s="50" t="b">
        <x:v>1</x:v>
      </x:c>
      <x:c r="J1867" s="50" t="b">
        <x:v>0</x:v>
      </x:c>
      <x:c r="K1867" s="31"/>
      <x:c r="L1867" s="31"/>
    </x:row>
    <x:row r="1868">
      <x:c r="A1868" s="31"/>
      <x:c r="B1868" s="31"/>
      <x:c r="C1868" s="31"/>
      <x:c r="D1868" s="31" t="n">
        <x:v>1864</x:v>
      </x:c>
      <x:c r="E1868" s="42" t="n">
        <x:v>-0.01283981684353062</x:v>
      </x:c>
      <x:c r="F1868" s="42" t="n">
        <x:v>-0.013126120738109863</x:v>
      </x:c>
      <x:c r="G1868" s="43" t="n">
        <x:v>0.989740970919524</x:v>
      </x:c>
      <x:c r="H1868" s="32" t="n">
        <x:v>993146.3042043154</x:v>
      </x:c>
      <x:c r="I1868" s="50" t="b">
        <x:v>1</x:v>
      </x:c>
      <x:c r="J1868" s="50" t="b">
        <x:v>0</x:v>
      </x:c>
      <x:c r="K1868" s="31"/>
      <x:c r="L1868" s="31"/>
    </x:row>
    <x:row r="1869">
      <x:c r="A1869" s="31"/>
      <x:c r="B1869" s="31"/>
      <x:c r="C1869" s="31"/>
      <x:c r="D1869" s="31" t="n">
        <x:v>1865</x:v>
      </x:c>
      <x:c r="E1869" s="42" t="n">
        <x:v>-0.010334428925588592</x:v>
      </x:c>
      <x:c r="F1869" s="42" t="n">
        <x:v>0.00527352439354077</x:v>
      </x:c>
      <x:c r="G1869" s="43" t="n">
        <x:v>0.9539885665565853</x:v>
      </x:c>
      <x:c r="H1869" s="32" t="n">
        <x:v>1175957.3755080341</x:v>
      </x:c>
      <x:c r="I1869" s="50" t="b">
        <x:v>0</x:v>
      </x:c>
      <x:c r="J1869" s="50" t="b">
        <x:v>0</x:v>
      </x:c>
      <x:c r="K1869" s="31"/>
      <x:c r="L1869" s="31"/>
    </x:row>
    <x:row r="1870">
      <x:c r="A1870" s="31"/>
      <x:c r="B1870" s="31"/>
      <x:c r="C1870" s="31"/>
      <x:c r="D1870" s="31" t="n">
        <x:v>1866</x:v>
      </x:c>
      <x:c r="E1870" s="42" t="n">
        <x:v>0.0034352245195475263</x:v>
      </x:c>
      <x:c r="F1870" s="42" t="n">
        <x:v>0.00033558887635263716</x:v>
      </x:c>
      <x:c r="G1870" s="43" t="n">
        <x:v>0.9598495157271014</x:v>
      </x:c>
      <x:c r="H1870" s="32" t="n">
        <x:v>1190809.185939631</x:v>
      </x:c>
      <x:c r="I1870" s="50" t="b">
        <x:v>0</x:v>
      </x:c>
      <x:c r="J1870" s="50" t="b">
        <x:v>0</x:v>
      </x:c>
      <x:c r="K1870" s="31"/>
      <x:c r="L1870" s="31"/>
    </x:row>
    <x:row r="1871">
      <x:c r="A1871" s="31"/>
      <x:c r="B1871" s="31"/>
      <x:c r="C1871" s="31"/>
      <x:c r="D1871" s="31" t="n">
        <x:v>1867</x:v>
      </x:c>
      <x:c r="E1871" s="42" t="n">
        <x:v>0.008522183284062583</x:v>
      </x:c>
      <x:c r="F1871" s="42" t="n">
        <x:v>0.005044569327752791</x:v>
      </x:c>
      <x:c r="G1871" s="43" t="n">
        <x:v>0.9623470850217931</x:v>
      </x:c>
      <x:c r="H1871" s="32" t="n">
        <x:v>1175999.9630815862</x:v>
      </x:c>
      <x:c r="I1871" s="50" t="b">
        <x:v>0</x:v>
      </x:c>
      <x:c r="J1871" s="50" t="b">
        <x:v>0</x:v>
      </x:c>
      <x:c r="K1871" s="31"/>
      <x:c r="L1871" s="31"/>
    </x:row>
    <x:row r="1872">
      <x:c r="A1872" s="31"/>
      <x:c r="B1872" s="31"/>
      <x:c r="C1872" s="31"/>
      <x:c r="D1872" s="31" t="n">
        <x:v>1868</x:v>
      </x:c>
      <x:c r="E1872" s="42" t="n">
        <x:v>0.007654211025228344</x:v>
      </x:c>
      <x:c r="F1872" s="42" t="n">
        <x:v>-0.0018634596107036142</x:v>
      </x:c>
      <x:c r="G1872" s="43" t="n">
        <x:v>0.9300521585169854</x:v>
      </x:c>
      <x:c r="H1872" s="32" t="n">
        <x:v>1397908.2502275365</x:v>
      </x:c>
      <x:c r="I1872" s="50" t="b">
        <x:v>0</x:v>
      </x:c>
      <x:c r="J1872" s="50" t="b">
        <x:v>0</x:v>
      </x:c>
      <x:c r="K1872" s="31"/>
      <x:c r="L1872" s="31"/>
    </x:row>
    <x:row r="1873">
      <x:c r="A1873" s="31"/>
      <x:c r="B1873" s="31"/>
      <x:c r="C1873" s="31"/>
      <x:c r="D1873" s="31" t="n">
        <x:v>1869</x:v>
      </x:c>
      <x:c r="E1873" s="42" t="n">
        <x:v>-0.00021303910710197057</x:v>
      </x:c>
      <x:c r="F1873" s="42" t="n">
        <x:v>-0.01444772262624224</x:v>
      </x:c>
      <x:c r="G1873" s="43" t="n">
        <x:v>0.9781664541520583</x:v>
      </x:c>
      <x:c r="H1873" s="32" t="n">
        <x:v>1105478.3069496995</x:v>
      </x:c>
      <x:c r="I1873" s="50" t="b">
        <x:v>0</x:v>
      </x:c>
      <x:c r="J1873" s="50" t="b">
        <x:v>0</x:v>
      </x:c>
      <x:c r="K1873" s="31"/>
      <x:c r="L1873" s="31"/>
    </x:row>
    <x:row r="1874">
      <x:c r="A1874" s="31"/>
      <x:c r="B1874" s="31"/>
      <x:c r="C1874" s="31"/>
      <x:c r="D1874" s="31" t="n">
        <x:v>1870</x:v>
      </x:c>
      <x:c r="E1874" s="42" t="n">
        <x:v>-0.008437931208980273</x:v>
      </x:c>
      <x:c r="F1874" s="42" t="n">
        <x:v>-0.0034822164607650804</x:v>
      </x:c>
      <x:c r="G1874" s="43" t="n">
        <x:v>0.9840343442224393</x:v>
      </x:c>
      <x:c r="H1874" s="32" t="n">
        <x:v>1014796.1502377446</x:v>
      </x:c>
      <x:c r="I1874" s="50" t="b">
        <x:v>0</x:v>
      </x:c>
      <x:c r="J1874" s="50" t="b">
        <x:v>0</x:v>
      </x:c>
      <x:c r="K1874" s="31"/>
      <x:c r="L1874" s="31"/>
    </x:row>
    <x:row r="1875">
      <x:c r="A1875" s="31"/>
      <x:c r="B1875" s="31"/>
      <x:c r="C1875" s="31"/>
      <x:c r="D1875" s="31" t="n">
        <x:v>1871</x:v>
      </x:c>
      <x:c r="E1875" s="42" t="n">
        <x:v>-0.011400518211752725</x:v>
      </x:c>
      <x:c r="F1875" s="42" t="n">
        <x:v>-0.0022077679914375937</x:v>
      </x:c>
      <x:c r="G1875" s="43" t="n">
        <x:v>1.0118478418320063</x:v>
      </x:c>
      <x:c r="H1875" s="32" t="n">
        <x:v>826366.8599496756</x:v>
      </x:c>
      <x:c r="I1875" s="50" t="b">
        <x:v>1</x:v>
      </x:c>
      <x:c r="J1875" s="50" t="b">
        <x:v>0</x:v>
      </x:c>
      <x:c r="K1875" s="31"/>
      <x:c r="L1875" s="31"/>
    </x:row>
    <x:row r="1876">
      <x:c r="A1876" s="31"/>
      <x:c r="B1876" s="31"/>
      <x:c r="C1876" s="31"/>
      <x:c r="D1876" s="31" t="n">
        <x:v>1872</x:v>
      </x:c>
      <x:c r="E1876" s="42" t="n">
        <x:v>-0.003332708441241144</x:v>
      </x:c>
      <x:c r="F1876" s="42" t="n">
        <x:v>-0.00869149224420065</x:v>
      </x:c>
      <x:c r="G1876" s="43" t="n">
        <x:v>0.9955095348573465</x:v>
      </x:c>
      <x:c r="H1876" s="32" t="n">
        <x:v>970631.1980011882</x:v>
      </x:c>
      <x:c r="I1876" s="50" t="b">
        <x:v>1</x:v>
      </x:c>
      <x:c r="J1876" s="50" t="b">
        <x:v>0</x:v>
      </x:c>
      <x:c r="K1876" s="31"/>
      <x:c r="L1876" s="31"/>
    </x:row>
    <x:row r="1877">
      <x:c r="A1877" s="31"/>
      <x:c r="B1877" s="31"/>
      <x:c r="C1877" s="31"/>
      <x:c r="D1877" s="31" t="n">
        <x:v>1873</x:v>
      </x:c>
      <x:c r="E1877" s="42" t="n">
        <x:v>-0.0025361997715723722</x:v>
      </x:c>
      <x:c r="F1877" s="42" t="n">
        <x:v>-0.0064053721283941325</x:v>
      </x:c>
      <x:c r="G1877" s="43" t="n">
        <x:v>0.9873776631048425</x:v>
      </x:c>
      <x:c r="H1877" s="32" t="n">
        <x:v>1018127.9763731939</x:v>
      </x:c>
      <x:c r="I1877" s="50" t="b">
        <x:v>0</x:v>
      </x:c>
      <x:c r="J1877" s="50" t="b">
        <x:v>0</x:v>
      </x:c>
      <x:c r="K1877" s="31"/>
      <x:c r="L1877" s="31"/>
    </x:row>
    <x:row r="1878">
      <x:c r="A1878" s="31"/>
      <x:c r="B1878" s="31"/>
      <x:c r="C1878" s="31"/>
      <x:c r="D1878" s="31" t="n">
        <x:v>1874</x:v>
      </x:c>
      <x:c r="E1878" s="42" t="n">
        <x:v>-0.012553323443712149</x:v>
      </x:c>
      <x:c r="F1878" s="42" t="n">
        <x:v>-0.00015619640643341578</x:v>
      </x:c>
      <x:c r="G1878" s="43" t="n">
        <x:v>1.0071387702981769</x:v>
      </x:c>
      <x:c r="H1878" s="32" t="n">
        <x:v>847353.3453887275</x:v>
      </x:c>
      <x:c r="I1878" s="50" t="b">
        <x:v>1</x:v>
      </x:c>
      <x:c r="J1878" s="50" t="b">
        <x:v>0</x:v>
      </x:c>
      <x:c r="K1878" s="31"/>
      <x:c r="L1878" s="31"/>
    </x:row>
    <x:row r="1879">
      <x:c r="A1879" s="31"/>
      <x:c r="B1879" s="31"/>
      <x:c r="C1879" s="31"/>
      <x:c r="D1879" s="31" t="n">
        <x:v>1875</x:v>
      </x:c>
      <x:c r="E1879" s="42" t="n">
        <x:v>0.003756638000973214</x:v>
      </x:c>
      <x:c r="F1879" s="42" t="n">
        <x:v>-0.0012827048579822356</x:v>
      </x:c>
      <x:c r="G1879" s="43" t="n">
        <x:v>0.9758128039504799</x:v>
      </x:c>
      <x:c r="H1879" s="32" t="n">
        <x:v>1094830.2180971107</x:v>
      </x:c>
      <x:c r="I1879" s="50" t="b">
        <x:v>0</x:v>
      </x:c>
      <x:c r="J1879" s="50" t="b">
        <x:v>0</x:v>
      </x:c>
      <x:c r="K1879" s="31"/>
      <x:c r="L1879" s="31"/>
    </x:row>
    <x:row r="1880">
      <x:c r="A1880" s="31"/>
      <x:c r="B1880" s="31"/>
      <x:c r="C1880" s="31"/>
      <x:c r="D1880" s="31" t="n">
        <x:v>1876</x:v>
      </x:c>
      <x:c r="E1880" s="42" t="n">
        <x:v>-0.024404884065634878</x:v>
      </x:c>
      <x:c r="F1880" s="42" t="n">
        <x:v>0.0038825175284953606</x:v>
      </x:c>
      <x:c r="G1880" s="43" t="n">
        <x:v>0.8901325467044473</x:v>
      </x:c>
      <x:c r="H1880" s="32" t="n">
        <x:v>1546194.8008905067</x:v>
      </x:c>
      <x:c r="I1880" s="50" t="b">
        <x:v>0</x:v>
      </x:c>
      <x:c r="J1880" s="50" t="b">
        <x:v>0</x:v>
      </x:c>
      <x:c r="K1880" s="31"/>
      <x:c r="L1880" s="31"/>
    </x:row>
    <x:row r="1881">
      <x:c r="A1881" s="31"/>
      <x:c r="B1881" s="31"/>
      <x:c r="C1881" s="31"/>
      <x:c r="D1881" s="31" t="n">
        <x:v>1877</x:v>
      </x:c>
      <x:c r="E1881" s="42" t="n">
        <x:v>-0.0024914150797236178</x:v>
      </x:c>
      <x:c r="F1881" s="42" t="n">
        <x:v>-0.0008237308585467725</x:v>
      </x:c>
      <x:c r="G1881" s="43" t="n">
        <x:v>1.0490763289766378</x:v>
      </x:c>
      <x:c r="H1881" s="32" t="n">
        <x:v>610885.7883182075</x:v>
      </x:c>
      <x:c r="I1881" s="50" t="b">
        <x:v>1</x:v>
      </x:c>
      <x:c r="J1881" s="50" t="b">
        <x:v>0</x:v>
      </x:c>
      <x:c r="K1881" s="31"/>
      <x:c r="L1881" s="31"/>
    </x:row>
    <x:row r="1882">
      <x:c r="A1882" s="31"/>
      <x:c r="B1882" s="31"/>
      <x:c r="C1882" s="31"/>
      <x:c r="D1882" s="31" t="n">
        <x:v>1878</x:v>
      </x:c>
      <x:c r="E1882" s="42" t="n">
        <x:v>0.028965203803962638</x:v>
      </x:c>
      <x:c r="F1882" s="42" t="n">
        <x:v>0.0025676385271249636</x:v>
      </x:c>
      <x:c r="G1882" s="43" t="n">
        <x:v>1.0037853424506036</x:v>
      </x:c>
      <x:c r="H1882" s="32" t="n">
        <x:v>976635.873206798</x:v>
      </x:c>
      <x:c r="I1882" s="50" t="b">
        <x:v>1</x:v>
      </x:c>
      <x:c r="J1882" s="50" t="b">
        <x:v>0</x:v>
      </x:c>
      <x:c r="K1882" s="31"/>
      <x:c r="L1882" s="31"/>
    </x:row>
    <x:row r="1883">
      <x:c r="A1883" s="31"/>
      <x:c r="B1883" s="31"/>
      <x:c r="C1883" s="31"/>
      <x:c r="D1883" s="31" t="n">
        <x:v>1879</x:v>
      </x:c>
      <x:c r="E1883" s="42" t="n">
        <x:v>0.006899956587068351</x:v>
      </x:c>
      <x:c r="F1883" s="42" t="n">
        <x:v>-0.0105528731973503</x:v>
      </x:c>
      <x:c r="G1883" s="43" t="n">
        <x:v>1.011052016970364</x:v>
      </x:c>
      <x:c r="H1883" s="32" t="n">
        <x:v>905589.4740252286</x:v>
      </x:c>
      <x:c r="I1883" s="50" t="b">
        <x:v>1</x:v>
      </x:c>
      <x:c r="J1883" s="50" t="b">
        <x:v>0</x:v>
      </x:c>
      <x:c r="K1883" s="31"/>
      <x:c r="L1883" s="31"/>
    </x:row>
    <x:row r="1884">
      <x:c r="A1884" s="31"/>
      <x:c r="B1884" s="31"/>
      <x:c r="C1884" s="31"/>
      <x:c r="D1884" s="31" t="n">
        <x:v>1880</x:v>
      </x:c>
      <x:c r="E1884" s="42" t="n">
        <x:v>0.007753015891415975</x:v>
      </x:c>
      <x:c r="F1884" s="42" t="n">
        <x:v>-0.003918619903751473</x:v>
      </x:c>
      <x:c r="G1884" s="43" t="n">
        <x:v>1.0091041758046913</x:v>
      </x:c>
      <x:c r="H1884" s="32" t="n">
        <x:v>901867.563326819</x:v>
      </x:c>
      <x:c r="I1884" s="50" t="b">
        <x:v>1</x:v>
      </x:c>
      <x:c r="J1884" s="50" t="b">
        <x:v>0</x:v>
      </x:c>
      <x:c r="K1884" s="31"/>
      <x:c r="L1884" s="31"/>
    </x:row>
    <x:row r="1885">
      <x:c r="A1885" s="31"/>
      <x:c r="B1885" s="31"/>
      <x:c r="C1885" s="31"/>
      <x:c r="D1885" s="31" t="n">
        <x:v>1881</x:v>
      </x:c>
      <x:c r="E1885" s="42" t="n">
        <x:v>-0.006110639193249658</x:v>
      </x:c>
      <x:c r="F1885" s="42" t="n">
        <x:v>0.0011387042636097678</x:v>
      </x:c>
      <x:c r="G1885" s="43" t="n">
        <x:v>0.9628294503465082</x:v>
      </x:c>
      <x:c r="H1885" s="32" t="n">
        <x:v>1143077.8779077912</x:v>
      </x:c>
      <x:c r="I1885" s="50" t="b">
        <x:v>0</x:v>
      </x:c>
      <x:c r="J1885" s="50" t="b">
        <x:v>0</x:v>
      </x:c>
      <x:c r="K1885" s="31"/>
      <x:c r="L1885" s="31"/>
    </x:row>
    <x:row r="1886">
      <x:c r="A1886" s="31"/>
      <x:c r="B1886" s="31"/>
      <x:c r="C1886" s="31"/>
      <x:c r="D1886" s="31" t="n">
        <x:v>1882</x:v>
      </x:c>
      <x:c r="E1886" s="42" t="n">
        <x:v>-0.017219183528717406</x:v>
      </x:c>
      <x:c r="F1886" s="42" t="n">
        <x:v>-0.0052077268298063775</x:v>
      </x:c>
      <x:c r="G1886" s="43" t="n">
        <x:v>0.9980634875410838</x:v>
      </x:c>
      <x:c r="H1886" s="32" t="n">
        <x:v>906061.3402057309</x:v>
      </x:c>
      <x:c r="I1886" s="50" t="b">
        <x:v>1</x:v>
      </x:c>
      <x:c r="J1886" s="50" t="b">
        <x:v>0</x:v>
      </x:c>
      <x:c r="K1886" s="31"/>
      <x:c r="L1886" s="31"/>
    </x:row>
    <x:row r="1887">
      <x:c r="A1887" s="31"/>
      <x:c r="B1887" s="31"/>
      <x:c r="C1887" s="31"/>
      <x:c r="D1887" s="31" t="n">
        <x:v>1883</x:v>
      </x:c>
      <x:c r="E1887" s="42" t="n">
        <x:v>-0.005581376545524126</x:v>
      </x:c>
      <x:c r="F1887" s="42" t="n">
        <x:v>0.005490167032177471</x:v>
      </x:c>
      <x:c r="G1887" s="43" t="n">
        <x:v>0.9442370153424796</x:v>
      </x:c>
      <x:c r="H1887" s="32" t="n">
        <x:v>1250513.8291147868</x:v>
      </x:c>
      <x:c r="I1887" s="50" t="b">
        <x:v>0</x:v>
      </x:c>
      <x:c r="J1887" s="50" t="b">
        <x:v>0</x:v>
      </x:c>
      <x:c r="K1887" s="31"/>
      <x:c r="L1887" s="31"/>
    </x:row>
    <x:row r="1888">
      <x:c r="A1888" s="31"/>
      <x:c r="B1888" s="31"/>
      <x:c r="C1888" s="31"/>
      <x:c r="D1888" s="31" t="n">
        <x:v>1884</x:v>
      </x:c>
      <x:c r="E1888" s="42" t="n">
        <x:v>-0.016743738640729176</x:v>
      </x:c>
      <x:c r="F1888" s="42" t="n">
        <x:v>0.0046913291076155226</x:v>
      </x:c>
      <x:c r="G1888" s="43" t="n">
        <x:v>1.078276636683382</x:v>
      </x:c>
      <x:c r="H1888" s="32" t="n">
        <x:v>370420.2036723249</x:v>
      </x:c>
      <x:c r="I1888" s="50" t="b">
        <x:v>1</x:v>
      </x:c>
      <x:c r="J1888" s="50" t="b">
        <x:v>0</x:v>
      </x:c>
      <x:c r="K1888" s="31"/>
      <x:c r="L1888" s="31"/>
    </x:row>
    <x:row r="1889">
      <x:c r="A1889" s="31"/>
      <x:c r="B1889" s="31"/>
      <x:c r="C1889" s="31"/>
      <x:c r="D1889" s="31" t="n">
        <x:v>1885</x:v>
      </x:c>
      <x:c r="E1889" s="42" t="n">
        <x:v>0.006317851000251026</x:v>
      </x:c>
      <x:c r="F1889" s="42" t="n">
        <x:v>0.0044064972584365834</x:v>
      </x:c>
      <x:c r="G1889" s="43" t="n">
        <x:v>1.004529064739978</x:v>
      </x:c>
      <x:c r="H1889" s="32" t="n">
        <x:v>903754.7973664172</x:v>
      </x:c>
      <x:c r="I1889" s="50" t="b">
        <x:v>1</x:v>
      </x:c>
      <x:c r="J1889" s="50" t="b">
        <x:v>0</x:v>
      </x:c>
      <x:c r="K1889" s="31"/>
      <x:c r="L1889" s="31"/>
    </x:row>
    <x:row r="1890">
      <x:c r="A1890" s="31"/>
      <x:c r="B1890" s="31"/>
      <x:c r="C1890" s="31"/>
      <x:c r="D1890" s="31" t="n">
        <x:v>1886</x:v>
      </x:c>
      <x:c r="E1890" s="42" t="n">
        <x:v>0.010458046392504645</x:v>
      </x:c>
      <x:c r="F1890" s="42" t="n">
        <x:v>-0.007882772850844804</x:v>
      </x:c>
      <x:c r="G1890" s="43" t="n">
        <x:v>0.9723069140791601</x:v>
      </x:c>
      <x:c r="H1890" s="32" t="n">
        <x:v>1154120.0561121195</x:v>
      </x:c>
      <x:c r="I1890" s="50" t="b">
        <x:v>0</x:v>
      </x:c>
      <x:c r="J1890" s="50" t="b">
        <x:v>0</x:v>
      </x:c>
      <x:c r="K1890" s="31"/>
      <x:c r="L1890" s="31"/>
    </x:row>
    <x:row r="1891">
      <x:c r="A1891" s="31"/>
      <x:c r="B1891" s="31"/>
      <x:c r="C1891" s="31"/>
      <x:c r="D1891" s="31" t="n">
        <x:v>1887</x:v>
      </x:c>
      <x:c r="E1891" s="42" t="n">
        <x:v>-0.011224290948709071</x:v>
      </x:c>
      <x:c r="F1891" s="42" t="n">
        <x:v>-0.003241232502071094</x:v>
      </x:c>
      <x:c r="G1891" s="43" t="n">
        <x:v>0.9825668740882693</x:v>
      </x:c>
      <x:c r="H1891" s="32" t="n">
        <x:v>1015688.9466041629</x:v>
      </x:c>
      <x:c r="I1891" s="50" t="b">
        <x:v>0</x:v>
      </x:c>
      <x:c r="J1891" s="50" t="b">
        <x:v>0</x:v>
      </x:c>
      <x:c r="K1891" s="31"/>
      <x:c r="L1891" s="31"/>
    </x:row>
    <x:row r="1892">
      <x:c r="A1892" s="31"/>
      <x:c r="B1892" s="31"/>
      <x:c r="C1892" s="31"/>
      <x:c r="D1892" s="31" t="n">
        <x:v>1888</x:v>
      </x:c>
      <x:c r="E1892" s="42" t="n">
        <x:v>0.007897399596679879</x:v>
      </x:c>
      <x:c r="F1892" s="42" t="n">
        <x:v>-0.00475625704555415</x:v>
      </x:c>
      <x:c r="G1892" s="43" t="n">
        <x:v>0.9512166700124397</x:v>
      </x:c>
      <x:c r="H1892" s="32" t="n">
        <x:v>1272227.6994834817</x:v>
      </x:c>
      <x:c r="I1892" s="50" t="b">
        <x:v>0</x:v>
      </x:c>
      <x:c r="J1892" s="50" t="b">
        <x:v>0</x:v>
      </x:c>
      <x:c r="K1892" s="31"/>
      <x:c r="L1892" s="31"/>
    </x:row>
    <x:row r="1893">
      <x:c r="A1893" s="31"/>
      <x:c r="B1893" s="31"/>
      <x:c r="C1893" s="31"/>
      <x:c r="D1893" s="31" t="n">
        <x:v>1889</x:v>
      </x:c>
      <x:c r="E1893" s="42" t="n">
        <x:v>0.0070064089166453035</x:v>
      </x:c>
      <x:c r="F1893" s="42" t="n">
        <x:v>-0.009663259554628522</x:v>
      </x:c>
      <x:c r="G1893" s="43" t="n">
        <x:v>0.9824458309920148</x:v>
      </x:c>
      <x:c r="H1893" s="32" t="n">
        <x:v>1085079.0678284003</x:v>
      </x:c>
      <x:c r="I1893" s="50" t="b">
        <x:v>0</x:v>
      </x:c>
      <x:c r="J1893" s="50" t="b">
        <x:v>0</x:v>
      </x:c>
      <x:c r="K1893" s="31"/>
      <x:c r="L1893" s="31"/>
    </x:row>
    <x:row r="1894">
      <x:c r="A1894" s="31"/>
      <x:c r="B1894" s="31"/>
      <x:c r="C1894" s="31"/>
      <x:c r="D1894" s="31" t="n">
        <x:v>1890</x:v>
      </x:c>
      <x:c r="E1894" s="42" t="n">
        <x:v>-0.014520474120798762</x:v>
      </x:c>
      <x:c r="F1894" s="42" t="n">
        <x:v>-0.012041123205993818</x:v>
      </x:c>
      <x:c r="G1894" s="43" t="n">
        <x:v>0.9289071615852497</x:v>
      </x:c>
      <x:c r="H1894" s="32" t="n">
        <x:v>1371785.8162469019</x:v>
      </x:c>
      <x:c r="I1894" s="50" t="b">
        <x:v>0</x:v>
      </x:c>
      <x:c r="J1894" s="50" t="b">
        <x:v>0</x:v>
      </x:c>
      <x:c r="K1894" s="31"/>
      <x:c r="L1894" s="31"/>
    </x:row>
    <x:row r="1895">
      <x:c r="A1895" s="31"/>
      <x:c r="B1895" s="31"/>
      <x:c r="C1895" s="31"/>
      <x:c r="D1895" s="31" t="n">
        <x:v>1891</x:v>
      </x:c>
      <x:c r="E1895" s="42" t="n">
        <x:v>0.006234231596229542</x:v>
      </x:c>
      <x:c r="F1895" s="42" t="n">
        <x:v>-0.0010953973043319356</x:v>
      </x:c>
      <x:c r="G1895" s="43" t="n">
        <x:v>0.9903968556629972</x:v>
      </x:c>
      <x:c r="H1895" s="32" t="n">
        <x:v>1008586.2228459279</x:v>
      </x:c>
      <x:c r="I1895" s="50" t="b">
        <x:v>0</x:v>
      </x:c>
      <x:c r="J1895" s="50" t="b">
        <x:v>0</x:v>
      </x:c>
      <x:c r="K1895" s="31"/>
      <x:c r="L1895" s="31"/>
    </x:row>
    <x:row r="1896">
      <x:c r="A1896" s="31"/>
      <x:c r="B1896" s="31"/>
      <x:c r="C1896" s="31"/>
      <x:c r="D1896" s="31" t="n">
        <x:v>1892</x:v>
      </x:c>
      <x:c r="E1896" s="42" t="n">
        <x:v>-0.013284798568026614</x:v>
      </x:c>
      <x:c r="F1896" s="42" t="n">
        <x:v>0.0016653127929874413</x:v>
      </x:c>
      <x:c r="G1896" s="43" t="n">
        <x:v>0.9290165830374684</x:v>
      </x:c>
      <x:c r="H1896" s="32" t="n">
        <x:v>1336378.2743967248</x:v>
      </x:c>
      <x:c r="I1896" s="50" t="b">
        <x:v>0</x:v>
      </x:c>
      <x:c r="J1896" s="50" t="b">
        <x:v>0</x:v>
      </x:c>
      <x:c r="K1896" s="31"/>
      <x:c r="L1896" s="31"/>
    </x:row>
    <x:row r="1897">
      <x:c r="A1897" s="31"/>
      <x:c r="B1897" s="31"/>
      <x:c r="C1897" s="31"/>
      <x:c r="D1897" s="31" t="n">
        <x:v>1893</x:v>
      </x:c>
      <x:c r="E1897" s="42" t="n">
        <x:v>-0.015405740371416062</x:v>
      </x:c>
      <x:c r="F1897" s="42" t="n">
        <x:v>0.0007349803025322014</x:v>
      </x:c>
      <x:c r="G1897" s="43" t="n">
        <x:v>1.009353215106973</x:v>
      </x:c>
      <x:c r="H1897" s="32" t="n">
        <x:v>822869.6766505338</x:v>
      </x:c>
      <x:c r="I1897" s="50" t="b">
        <x:v>1</x:v>
      </x:c>
      <x:c r="J1897" s="50" t="b">
        <x:v>0</x:v>
      </x:c>
      <x:c r="K1897" s="31"/>
      <x:c r="L1897" s="31"/>
    </x:row>
    <x:row r="1898">
      <x:c r="A1898" s="31"/>
      <x:c r="B1898" s="31"/>
      <x:c r="C1898" s="31"/>
      <x:c r="D1898" s="31" t="n">
        <x:v>1894</x:v>
      </x:c>
      <x:c r="E1898" s="42" t="n">
        <x:v>-0.018321144741864432</x:v>
      </x:c>
      <x:c r="F1898" s="42" t="n">
        <x:v>-0.006263494775262372</x:v>
      </x:c>
      <x:c r="G1898" s="43" t="n">
        <x:v>0.9833260433435171</x:v>
      </x:c>
      <x:c r="H1898" s="32" t="n">
        <x:v>999525.9683534293</x:v>
      </x:c>
      <x:c r="I1898" s="50" t="b">
        <x:v>1</x:v>
      </x:c>
      <x:c r="J1898" s="50" t="b">
        <x:v>0</x:v>
      </x:c>
      <x:c r="K1898" s="31"/>
      <x:c r="L1898" s="31"/>
    </x:row>
    <x:row r="1899">
      <x:c r="A1899" s="31"/>
      <x:c r="B1899" s="31"/>
      <x:c r="C1899" s="31"/>
      <x:c r="D1899" s="31" t="n">
        <x:v>1895</x:v>
      </x:c>
      <x:c r="E1899" s="42" t="n">
        <x:v>-0.011295203197674238</x:v>
      </x:c>
      <x:c r="F1899" s="42" t="n">
        <x:v>-0.007099067737822818</x:v>
      </x:c>
      <x:c r="G1899" s="43" t="n">
        <x:v>1.0026164866545337</x:v>
      </x:c>
      <x:c r="H1899" s="32" t="n">
        <x:v>898900.6911777102</x:v>
      </x:c>
      <x:c r="I1899" s="50" t="b">
        <x:v>1</x:v>
      </x:c>
      <x:c r="J1899" s="50" t="b">
        <x:v>0</x:v>
      </x:c>
      <x:c r="K1899" s="31"/>
      <x:c r="L1899" s="31"/>
    </x:row>
    <x:row r="1900">
      <x:c r="A1900" s="31"/>
      <x:c r="B1900" s="31"/>
      <x:c r="C1900" s="31"/>
      <x:c r="D1900" s="31" t="n">
        <x:v>1896</x:v>
      </x:c>
      <x:c r="E1900" s="42" t="n">
        <x:v>0.007968271515849874</x:v>
      </x:c>
      <x:c r="F1900" s="42" t="n">
        <x:v>-0.0019209855692527559</x:v>
      </x:c>
      <x:c r="G1900" s="43" t="n">
        <x:v>1.0257964160238855</x:v>
      </x:c>
      <x:c r="H1900" s="32" t="n">
        <x:v>790898.7253667278</x:v>
      </x:c>
      <x:c r="I1900" s="50" t="b">
        <x:v>1</x:v>
      </x:c>
      <x:c r="J1900" s="50" t="b">
        <x:v>0</x:v>
      </x:c>
      <x:c r="K1900" s="31"/>
      <x:c r="L1900" s="31"/>
    </x:row>
    <x:row r="1901">
      <x:c r="A1901" s="31"/>
      <x:c r="B1901" s="31"/>
      <x:c r="C1901" s="31"/>
      <x:c r="D1901" s="31" t="n">
        <x:v>1897</x:v>
      </x:c>
      <x:c r="E1901" s="42" t="n">
        <x:v>0.0040758029123133714</x:v>
      </x:c>
      <x:c r="F1901" s="42" t="n">
        <x:v>0.0015105092643108874</x:v>
      </x:c>
      <x:c r="G1901" s="43" t="n">
        <x:v>1.1077025197548358</x:v>
      </x:c>
      <x:c r="H1901" s="32" t="n">
        <x:v>250350.54386717</x:v>
      </x:c>
      <x:c r="I1901" s="50" t="b">
        <x:v>1</x:v>
      </x:c>
      <x:c r="J1901" s="50" t="b">
        <x:v>0</x:v>
      </x:c>
      <x:c r="K1901" s="31"/>
      <x:c r="L1901" s="31"/>
    </x:row>
    <x:row r="1902">
      <x:c r="A1902" s="31"/>
      <x:c r="B1902" s="31"/>
      <x:c r="C1902" s="31"/>
      <x:c r="D1902" s="31" t="n">
        <x:v>1898</x:v>
      </x:c>
      <x:c r="E1902" s="42" t="n">
        <x:v>0.011540198104623438</x:v>
      </x:c>
      <x:c r="F1902" s="42" t="n">
        <x:v>-0.0029873775767880134</x:v>
      </x:c>
      <x:c r="G1902" s="43" t="n">
        <x:v>0.9631126080033858</x:v>
      </x:c>
      <x:c r="H1902" s="32" t="n">
        <x:v>1201896.1633823772</x:v>
      </x:c>
      <x:c r="I1902" s="50" t="b">
        <x:v>0</x:v>
      </x:c>
      <x:c r="J1902" s="50" t="b">
        <x:v>0</x:v>
      </x:c>
      <x:c r="K1902" s="31"/>
      <x:c r="L1902" s="31"/>
    </x:row>
    <x:row r="1903">
      <x:c r="A1903" s="31"/>
      <x:c r="B1903" s="31"/>
      <x:c r="C1903" s="31"/>
      <x:c r="D1903" s="31" t="n">
        <x:v>1899</x:v>
      </x:c>
      <x:c r="E1903" s="42" t="n">
        <x:v>-0.006046070094333222</x:v>
      </x:c>
      <x:c r="F1903" s="42" t="n">
        <x:v>0.005764297138482197</x:v>
      </x:c>
      <x:c r="G1903" s="43" t="n">
        <x:v>1.0189599699231289</x:v>
      </x:c>
      <x:c r="H1903" s="32" t="n">
        <x:v>773913.6145820831</x:v>
      </x:c>
      <x:c r="I1903" s="50" t="b">
        <x:v>1</x:v>
      </x:c>
      <x:c r="J1903" s="50" t="b">
        <x:v>0</x:v>
      </x:c>
      <x:c r="K1903" s="31"/>
      <x:c r="L1903" s="31"/>
    </x:row>
    <x:row r="1904">
      <x:c r="A1904" s="31"/>
      <x:c r="B1904" s="31"/>
      <x:c r="C1904" s="31"/>
      <x:c r="D1904" s="31" t="n">
        <x:v>1900</x:v>
      </x:c>
      <x:c r="E1904" s="42" t="n">
        <x:v>-0.014764410312223739</x:v>
      </x:c>
      <x:c r="F1904" s="42" t="n">
        <x:v>0.0039057512862943704</x:v>
      </x:c>
      <x:c r="G1904" s="43" t="n">
        <x:v>1.0436134116986986</x:v>
      </x:c>
      <x:c r="H1904" s="32" t="n">
        <x:v>598252.4093641161</x:v>
      </x:c>
      <x:c r="I1904" s="50" t="b">
        <x:v>1</x:v>
      </x:c>
      <x:c r="J1904" s="50" t="b">
        <x:v>0</x:v>
      </x:c>
      <x:c r="K1904" s="31"/>
      <x:c r="L1904" s="31"/>
    </x:row>
    <x:row r="1905">
      <x:c r="A1905" s="31"/>
      <x:c r="B1905" s="31"/>
      <x:c r="C1905" s="31"/>
      <x:c r="D1905" s="31" t="n">
        <x:v>1901</x:v>
      </x:c>
      <x:c r="E1905" s="42" t="n">
        <x:v>-0.01686177812910168</x:v>
      </x:c>
      <x:c r="F1905" s="42" t="n">
        <x:v>0.017726502959294788</x:v>
      </x:c>
      <x:c r="G1905" s="43" t="n">
        <x:v>0.9382142950640525</x:v>
      </x:c>
      <x:c r="H1905" s="32" t="n">
        <x:v>1223303.0082036946</x:v>
      </x:c>
      <x:c r="I1905" s="50" t="b">
        <x:v>0</x:v>
      </x:c>
      <x:c r="J1905" s="50" t="b">
        <x:v>0</x:v>
      </x:c>
      <x:c r="K1905" s="31"/>
      <x:c r="L1905" s="31"/>
    </x:row>
    <x:row r="1906">
      <x:c r="A1906" s="31"/>
      <x:c r="B1906" s="31"/>
      <x:c r="C1906" s="31"/>
      <x:c r="D1906" s="31" t="n">
        <x:v>1902</x:v>
      </x:c>
      <x:c r="E1906" s="42" t="n">
        <x:v>-0.003461357761468786</x:v>
      </x:c>
      <x:c r="F1906" s="42" t="n">
        <x:v>-0.003758225941545861</x:v>
      </x:c>
      <x:c r="G1906" s="43" t="n">
        <x:v>1.0052263537220072</x:v>
      </x:c>
      <x:c r="H1906" s="32" t="n">
        <x:v>894832.5621422755</x:v>
      </x:c>
      <x:c r="I1906" s="50" t="b">
        <x:v>1</x:v>
      </x:c>
      <x:c r="J1906" s="50" t="b">
        <x:v>0</x:v>
      </x:c>
      <x:c r="K1906" s="31"/>
      <x:c r="L1906" s="31"/>
    </x:row>
    <x:row r="1907">
      <x:c r="A1907" s="31"/>
      <x:c r="B1907" s="31"/>
      <x:c r="C1907" s="31"/>
      <x:c r="D1907" s="31" t="n">
        <x:v>1903</x:v>
      </x:c>
      <x:c r="E1907" s="42" t="n">
        <x:v>0.006689045030915124</x:v>
      </x:c>
      <x:c r="F1907" s="42" t="n">
        <x:v>0.00417284555139453</x:v>
      </x:c>
      <x:c r="G1907" s="43" t="n">
        <x:v>1.0348430238046185</x:v>
      </x:c>
      <x:c r="H1907" s="32" t="n">
        <x:v>712923.2896149196</x:v>
      </x:c>
      <x:c r="I1907" s="50" t="b">
        <x:v>1</x:v>
      </x:c>
      <x:c r="J1907" s="50" t="b">
        <x:v>0</x:v>
      </x:c>
      <x:c r="K1907" s="31"/>
      <x:c r="L1907" s="31"/>
    </x:row>
    <x:row r="1908">
      <x:c r="A1908" s="31"/>
      <x:c r="B1908" s="31"/>
      <x:c r="C1908" s="31"/>
      <x:c r="D1908" s="31" t="n">
        <x:v>1904</x:v>
      </x:c>
      <x:c r="E1908" s="42" t="n">
        <x:v>0.003927313185265681</x:v>
      </x:c>
      <x:c r="F1908" s="42" t="n">
        <x:v>-0.00020690736935872995</x:v>
      </x:c>
      <x:c r="G1908" s="43" t="n">
        <x:v>1.0008033778372556</x:v>
      </x:c>
      <x:c r="H1908" s="32" t="n">
        <x:v>933602.946882565</x:v>
      </x:c>
      <x:c r="I1908" s="50" t="b">
        <x:v>1</x:v>
      </x:c>
      <x:c r="J1908" s="50" t="b">
        <x:v>0</x:v>
      </x:c>
      <x:c r="K1908" s="31"/>
      <x:c r="L1908" s="31"/>
    </x:row>
    <x:row r="1909">
      <x:c r="A1909" s="31"/>
      <x:c r="B1909" s="31"/>
      <x:c r="C1909" s="31"/>
      <x:c r="D1909" s="31" t="n">
        <x:v>1905</x:v>
      </x:c>
      <x:c r="E1909" s="42" t="n">
        <x:v>0.009431342289698134</x:v>
      </x:c>
      <x:c r="F1909" s="42" t="n">
        <x:v>-0.005144239324062965</x:v>
      </x:c>
      <x:c r="G1909" s="43" t="n">
        <x:v>0.9913353889955525</x:v>
      </x:c>
      <x:c r="H1909" s="32" t="n">
        <x:v>1022795.141481644</x:v>
      </x:c>
      <x:c r="I1909" s="50" t="b">
        <x:v>0</x:v>
      </x:c>
      <x:c r="J1909" s="50" t="b">
        <x:v>0</x:v>
      </x:c>
      <x:c r="K1909" s="31"/>
      <x:c r="L1909" s="31"/>
    </x:row>
    <x:row r="1910">
      <x:c r="A1910" s="31"/>
      <x:c r="B1910" s="31"/>
      <x:c r="C1910" s="31"/>
      <x:c r="D1910" s="31" t="n">
        <x:v>1906</x:v>
      </x:c>
      <x:c r="E1910" s="42" t="n">
        <x:v>-0.015893674000073334</x:v>
      </x:c>
      <x:c r="F1910" s="42" t="n">
        <x:v>-0.0017404177433492638</x:v>
      </x:c>
      <x:c r="G1910" s="43" t="n">
        <x:v>0.9477211505780223</x:v>
      </x:c>
      <x:c r="H1910" s="32" t="n">
        <x:v>1219809.087252923</x:v>
      </x:c>
      <x:c r="I1910" s="50" t="b">
        <x:v>0</x:v>
      </x:c>
      <x:c r="J1910" s="50" t="b">
        <x:v>0</x:v>
      </x:c>
      <x:c r="K1910" s="31"/>
      <x:c r="L1910" s="31"/>
    </x:row>
    <x:row r="1911">
      <x:c r="A1911" s="31"/>
      <x:c r="B1911" s="31"/>
      <x:c r="C1911" s="31"/>
      <x:c r="D1911" s="31" t="n">
        <x:v>1907</x:v>
      </x:c>
      <x:c r="E1911" s="42" t="n">
        <x:v>-0.009020565895546846</x:v>
      </x:c>
      <x:c r="F1911" s="42" t="n">
        <x:v>-0.0013329048176957872</x:v>
      </x:c>
      <x:c r="G1911" s="43" t="n">
        <x:v>0.9600578751244846</x:v>
      </x:c>
      <x:c r="H1911" s="32" t="n">
        <x:v>1159459.2766622177</x:v>
      </x:c>
      <x:c r="I1911" s="50" t="b">
        <x:v>0</x:v>
      </x:c>
      <x:c r="J1911" s="50" t="b">
        <x:v>0</x:v>
      </x:c>
      <x:c r="K1911" s="31"/>
      <x:c r="L1911" s="31"/>
    </x:row>
    <x:row r="1912">
      <x:c r="A1912" s="31"/>
      <x:c r="B1912" s="31"/>
      <x:c r="C1912" s="31"/>
      <x:c r="D1912" s="31" t="n">
        <x:v>1908</x:v>
      </x:c>
      <x:c r="E1912" s="42" t="n">
        <x:v>-0.01817971610746705</x:v>
      </x:c>
      <x:c r="F1912" s="42" t="n">
        <x:v>0.011111375201133407</x:v>
      </x:c>
      <x:c r="G1912" s="43" t="n">
        <x:v>1.060018242367621</x:v>
      </x:c>
      <x:c r="H1912" s="32" t="n">
        <x:v>464506.5229729635</x:v>
      </x:c>
      <x:c r="I1912" s="50" t="b">
        <x:v>1</x:v>
      </x:c>
      <x:c r="J1912" s="50" t="b">
        <x:v>0</x:v>
      </x:c>
      <x:c r="K1912" s="31"/>
      <x:c r="L1912" s="31"/>
    </x:row>
    <x:row r="1913">
      <x:c r="A1913" s="31"/>
      <x:c r="B1913" s="31"/>
      <x:c r="C1913" s="31"/>
      <x:c r="D1913" s="31" t="n">
        <x:v>1909</x:v>
      </x:c>
      <x:c r="E1913" s="42" t="n">
        <x:v>0.016201960033319668</x:v>
      </x:c>
      <x:c r="F1913" s="42" t="n">
        <x:v>-0.00042388483262688066</x:v>
      </x:c>
      <x:c r="G1913" s="43" t="n">
        <x:v>0.9907954289067035</x:v>
      </x:c>
      <x:c r="H1913" s="32" t="n">
        <x:v>1031931.2236702484</x:v>
      </x:c>
      <x:c r="I1913" s="50" t="b">
        <x:v>0</x:v>
      </x:c>
      <x:c r="J1913" s="50" t="b">
        <x:v>0</x:v>
      </x:c>
      <x:c r="K1913" s="31"/>
      <x:c r="L1913" s="31"/>
    </x:row>
    <x:row r="1914">
      <x:c r="A1914" s="31"/>
      <x:c r="B1914" s="31"/>
      <x:c r="C1914" s="31"/>
      <x:c r="D1914" s="31" t="n">
        <x:v>1910</x:v>
      </x:c>
      <x:c r="E1914" s="42" t="n">
        <x:v>0.005161768448567403</x:v>
      </x:c>
      <x:c r="F1914" s="42" t="n">
        <x:v>-0.0018054910592083103</x:v>
      </x:c>
      <x:c r="G1914" s="43" t="n">
        <x:v>0.9843060383085399</x:v>
      </x:c>
      <x:c r="H1914" s="32" t="n">
        <x:v>1046258.5634998248</x:v>
      </x:c>
      <x:c r="I1914" s="50" t="b">
        <x:v>0</x:v>
      </x:c>
      <x:c r="J1914" s="50" t="b">
        <x:v>0</x:v>
      </x:c>
      <x:c r="K1914" s="31"/>
      <x:c r="L1914" s="31"/>
    </x:row>
    <x:row r="1915">
      <x:c r="A1915" s="31"/>
      <x:c r="B1915" s="31"/>
      <x:c r="C1915" s="31"/>
      <x:c r="D1915" s="31" t="n">
        <x:v>1911</x:v>
      </x:c>
      <x:c r="E1915" s="42" t="n">
        <x:v>0.012963655150056715</x:v>
      </x:c>
      <x:c r="F1915" s="42" t="n">
        <x:v>0.0010898393416910847</x:v>
      </x:c>
      <x:c r="G1915" s="43" t="n">
        <x:v>0.9558581158617294</x:v>
      </x:c>
      <x:c r="H1915" s="32" t="n">
        <x:v>1240580.5268890595</x:v>
      </x:c>
      <x:c r="I1915" s="50" t="b">
        <x:v>0</x:v>
      </x:c>
      <x:c r="J1915" s="50" t="b">
        <x:v>0</x:v>
      </x:c>
      <x:c r="K1915" s="31"/>
      <x:c r="L1915" s="31"/>
    </x:row>
    <x:row r="1916">
      <x:c r="A1916" s="31"/>
      <x:c r="B1916" s="31"/>
      <x:c r="C1916" s="31"/>
      <x:c r="D1916" s="31" t="n">
        <x:v>1912</x:v>
      </x:c>
      <x:c r="E1916" s="42" t="n">
        <x:v>-0.00023375840793482582</x:v>
      </x:c>
      <x:c r="F1916" s="42" t="n">
        <x:v>-0.004106038797622532</x:v>
      </x:c>
      <x:c r="G1916" s="43" t="n">
        <x:v>1.011885591136745</x:v>
      </x:c>
      <x:c r="H1916" s="32" t="n">
        <x:v>862493.9274363691</x:v>
      </x:c>
      <x:c r="I1916" s="50" t="b">
        <x:v>1</x:v>
      </x:c>
      <x:c r="J1916" s="50" t="b">
        <x:v>0</x:v>
      </x:c>
      <x:c r="K1916" s="31"/>
      <x:c r="L1916" s="31"/>
    </x:row>
    <x:row r="1917">
      <x:c r="A1917" s="31"/>
      <x:c r="B1917" s="31"/>
      <x:c r="C1917" s="31"/>
      <x:c r="D1917" s="31" t="n">
        <x:v>1913</x:v>
      </x:c>
      <x:c r="E1917" s="42" t="n">
        <x:v>-0.025046554083238325</x:v>
      </x:c>
      <x:c r="F1917" s="42" t="n">
        <x:v>-0.0015425842912784925</x:v>
      </x:c>
      <x:c r="G1917" s="43" t="n">
        <x:v>1.058565802426057</x:v>
      </x:c>
      <x:c r="H1917" s="32" t="n">
        <x:v>489839.12628212804</x:v>
      </x:c>
      <x:c r="I1917" s="50" t="b">
        <x:v>1</x:v>
      </x:c>
      <x:c r="J1917" s="50" t="b">
        <x:v>0</x:v>
      </x:c>
      <x:c r="K1917" s="31"/>
      <x:c r="L1917" s="31"/>
    </x:row>
    <x:row r="1918">
      <x:c r="A1918" s="31"/>
      <x:c r="B1918" s="31"/>
      <x:c r="C1918" s="31"/>
      <x:c r="D1918" s="31" t="n">
        <x:v>1914</x:v>
      </x:c>
      <x:c r="E1918" s="42" t="n">
        <x:v>0.005604514412817771</x:v>
      </x:c>
      <x:c r="F1918" s="42" t="n">
        <x:v>0.004068700072812141</x:v>
      </x:c>
      <x:c r="G1918" s="43" t="n">
        <x:v>0.9781311212145476</x:v>
      </x:c>
      <x:c r="H1918" s="32" t="n">
        <x:v>1070355.11227905</x:v>
      </x:c>
      <x:c r="I1918" s="50" t="b">
        <x:v>0</x:v>
      </x:c>
      <x:c r="J1918" s="50" t="b">
        <x:v>0</x:v>
      </x:c>
      <x:c r="K1918" s="31"/>
      <x:c r="L1918" s="31"/>
    </x:row>
    <x:row r="1919">
      <x:c r="A1919" s="31"/>
      <x:c r="B1919" s="31"/>
      <x:c r="C1919" s="31"/>
      <x:c r="D1919" s="31" t="n">
        <x:v>1915</x:v>
      </x:c>
      <x:c r="E1919" s="42" t="n">
        <x:v>0.0015709597391642155</x:v>
      </x:c>
      <x:c r="F1919" s="42" t="n">
        <x:v>-0.0038258692452080613</x:v>
      </x:c>
      <x:c r="G1919" s="43" t="n">
        <x:v>1.0084863599471836</x:v>
      </x:c>
      <x:c r="H1919" s="32" t="n">
        <x:v>888325.0677293972</x:v>
      </x:c>
      <x:c r="I1919" s="50" t="b">
        <x:v>1</x:v>
      </x:c>
      <x:c r="J1919" s="50" t="b">
        <x:v>0</x:v>
      </x:c>
      <x:c r="K1919" s="31"/>
      <x:c r="L1919" s="31"/>
    </x:row>
    <x:row r="1920">
      <x:c r="A1920" s="31"/>
      <x:c r="B1920" s="31"/>
      <x:c r="C1920" s="31"/>
      <x:c r="D1920" s="31" t="n">
        <x:v>1916</x:v>
      </x:c>
      <x:c r="E1920" s="42" t="n">
        <x:v>-0.0024272881120593255</x:v>
      </x:c>
      <x:c r="F1920" s="42" t="n">
        <x:v>-0.007245141147642103</x:v>
      </x:c>
      <x:c r="G1920" s="43" t="n">
        <x:v>0.9467398490736362</x:v>
      </x:c>
      <x:c r="H1920" s="32" t="n">
        <x:v>1278847.550026735</x:v>
      </x:c>
      <x:c r="I1920" s="50" t="b">
        <x:v>0</x:v>
      </x:c>
      <x:c r="J1920" s="50" t="b">
        <x:v>0</x:v>
      </x:c>
      <x:c r="K1920" s="31"/>
      <x:c r="L1920" s="31"/>
    </x:row>
    <x:row r="1921">
      <x:c r="A1921" s="31"/>
      <x:c r="B1921" s="31"/>
      <x:c r="C1921" s="31"/>
      <x:c r="D1921" s="31" t="n">
        <x:v>1917</x:v>
      </x:c>
      <x:c r="E1921" s="42" t="n">
        <x:v>-0.008136240790783568</x:v>
      </x:c>
      <x:c r="F1921" s="42" t="n">
        <x:v>-0.007985294295482235</x:v>
      </x:c>
      <x:c r="G1921" s="43" t="n">
        <x:v>1.044531791173922</x:v>
      </x:c>
      <x:c r="H1921" s="32" t="n">
        <x:v>643968.6950170597</x:v>
      </x:c>
      <x:c r="I1921" s="50" t="b">
        <x:v>1</x:v>
      </x:c>
      <x:c r="J1921" s="50" t="b">
        <x:v>0</x:v>
      </x:c>
      <x:c r="K1921" s="31"/>
      <x:c r="L1921" s="31"/>
    </x:row>
    <x:row r="1922">
      <x:c r="A1922" s="31"/>
      <x:c r="B1922" s="31"/>
      <x:c r="C1922" s="31"/>
      <x:c r="D1922" s="31" t="n">
        <x:v>1918</x:v>
      </x:c>
      <x:c r="E1922" s="42" t="n">
        <x:v>0.007814938847889218</x:v>
      </x:c>
      <x:c r="F1922" s="42" t="n">
        <x:v>-0.0006256453349087935</x:v>
      </x:c>
      <x:c r="G1922" s="43" t="n">
        <x:v>1.047788874605977</x:v>
      </x:c>
      <x:c r="H1922" s="32" t="n">
        <x:v>647198.6245495842</x:v>
      </x:c>
      <x:c r="I1922" s="50" t="b">
        <x:v>1</x:v>
      </x:c>
      <x:c r="J1922" s="50" t="b">
        <x:v>0</x:v>
      </x:c>
      <x:c r="K1922" s="31"/>
      <x:c r="L1922" s="31"/>
    </x:row>
    <x:row r="1923">
      <x:c r="A1923" s="31"/>
      <x:c r="B1923" s="31"/>
      <x:c r="C1923" s="31"/>
      <x:c r="D1923" s="31" t="n">
        <x:v>1919</x:v>
      </x:c>
      <x:c r="E1923" s="42" t="n">
        <x:v>-0.01565490233860098</x:v>
      </x:c>
      <x:c r="F1923" s="42" t="n">
        <x:v>-0.01061942363933475</x:v>
      </x:c>
      <x:c r="G1923" s="43" t="n">
        <x:v>0.9475980294940304</x:v>
      </x:c>
      <x:c r="H1923" s="32" t="n">
        <x:v>1245970.529273115</x:v>
      </x:c>
      <x:c r="I1923" s="50" t="b">
        <x:v>0</x:v>
      </x:c>
      <x:c r="J1923" s="50" t="b">
        <x:v>0</x:v>
      </x:c>
      <x:c r="K1923" s="31"/>
      <x:c r="L1923" s="31"/>
    </x:row>
    <x:row r="1924">
      <x:c r="A1924" s="31"/>
      <x:c r="B1924" s="31"/>
      <x:c r="C1924" s="31"/>
      <x:c r="D1924" s="31" t="n">
        <x:v>1920</x:v>
      </x:c>
      <x:c r="E1924" s="42" t="n">
        <x:v>-0.007434511907122729</x:v>
      </x:c>
      <x:c r="F1924" s="42" t="n">
        <x:v>-0.0004223732221785311</x:v>
      </x:c>
      <x:c r="G1924" s="43" t="n">
        <x:v>1.0377161135222255</x:v>
      </x:c>
      <x:c r="H1924" s="32" t="n">
        <x:v>668154.7946149334</x:v>
      </x:c>
      <x:c r="I1924" s="50" t="b">
        <x:v>1</x:v>
      </x:c>
      <x:c r="J1924" s="50" t="b">
        <x:v>0</x:v>
      </x:c>
      <x:c r="K1924" s="31"/>
      <x:c r="L1924" s="31"/>
    </x:row>
    <x:row r="1925">
      <x:c r="A1925" s="31"/>
      <x:c r="B1925" s="31"/>
      <x:c r="C1925" s="31"/>
      <x:c r="D1925" s="31" t="n">
        <x:v>1921</x:v>
      </x:c>
      <x:c r="E1925" s="42" t="n">
        <x:v>0.01872321092096998</x:v>
      </x:c>
      <x:c r="F1925" s="42" t="n">
        <x:v>0.009265379116022838</x:v>
      </x:c>
      <x:c r="G1925" s="43" t="n">
        <x:v>0.9564589107298066</x:v>
      </x:c>
      <x:c r="H1925" s="32" t="n">
        <x:v>1230040.1089496831</x:v>
      </x:c>
      <x:c r="I1925" s="50" t="b">
        <x:v>0</x:v>
      </x:c>
      <x:c r="J1925" s="50" t="b">
        <x:v>0</x:v>
      </x:c>
      <x:c r="K1925" s="31"/>
      <x:c r="L1925" s="31"/>
    </x:row>
    <x:row r="1926">
      <x:c r="A1926" s="31"/>
      <x:c r="B1926" s="31"/>
      <x:c r="C1926" s="31"/>
      <x:c r="D1926" s="31" t="n">
        <x:v>1922</x:v>
      </x:c>
      <x:c r="E1926" s="42" t="n">
        <x:v>-0.008350068142267693</x:v>
      </x:c>
      <x:c r="F1926" s="42" t="n">
        <x:v>0.004259998124844284</x:v>
      </x:c>
      <x:c r="G1926" s="43" t="n">
        <x:v>0.9908665511966914</x:v>
      </x:c>
      <x:c r="H1926" s="32" t="n">
        <x:v>950100.7400658373</x:v>
      </x:c>
      <x:c r="I1926" s="50" t="b">
        <x:v>1</x:v>
      </x:c>
      <x:c r="J1926" s="50" t="b">
        <x:v>0</x:v>
      </x:c>
      <x:c r="K1926" s="31"/>
      <x:c r="L1926" s="31"/>
    </x:row>
    <x:row r="1927">
      <x:c r="A1927" s="31"/>
      <x:c r="B1927" s="31"/>
      <x:c r="C1927" s="31"/>
      <x:c r="D1927" s="31" t="n">
        <x:v>1923</x:v>
      </x:c>
      <x:c r="E1927" s="42" t="n">
        <x:v>-0.018976862315248404</x:v>
      </x:c>
      <x:c r="F1927" s="42" t="n">
        <x:v>-0.0012238731538206466</x:v>
      </x:c>
      <x:c r="G1927" s="43" t="n">
        <x:v>1.0144938465596351</x:v>
      </x:c>
      <x:c r="H1927" s="32" t="n">
        <x:v>785735.2411115301</x:v>
      </x:c>
      <x:c r="I1927" s="50" t="b">
        <x:v>1</x:v>
      </x:c>
      <x:c r="J1927" s="50" t="b">
        <x:v>0</x:v>
      </x:c>
      <x:c r="K1927" s="31"/>
      <x:c r="L1927" s="31"/>
    </x:row>
    <x:row r="1928">
      <x:c r="A1928" s="31"/>
      <x:c r="B1928" s="31"/>
      <x:c r="C1928" s="31"/>
      <x:c r="D1928" s="31" t="n">
        <x:v>1924</x:v>
      </x:c>
      <x:c r="E1928" s="42" t="n">
        <x:v>0.009979600357658287</x:v>
      </x:c>
      <x:c r="F1928" s="42" t="n">
        <x:v>-0.002100964011314298</x:v>
      </x:c>
      <x:c r="G1928" s="43" t="n">
        <x:v>1.0048432563536285</x:v>
      </x:c>
      <x:c r="H1928" s="32" t="n">
        <x:v>930065.6812952119</x:v>
      </x:c>
      <x:c r="I1928" s="50" t="b">
        <x:v>1</x:v>
      </x:c>
      <x:c r="J1928" s="50" t="b">
        <x:v>0</x:v>
      </x:c>
      <x:c r="K1928" s="31"/>
      <x:c r="L1928" s="31"/>
    </x:row>
    <x:row r="1929">
      <x:c r="A1929" s="31"/>
      <x:c r="B1929" s="31"/>
      <x:c r="C1929" s="31"/>
      <x:c r="D1929" s="31" t="n">
        <x:v>1925</x:v>
      </x:c>
      <x:c r="E1929" s="42" t="n">
        <x:v>0.0034351654878184675</x:v>
      </x:c>
      <x:c r="F1929" s="42" t="n">
        <x:v>-0.014207173102490329</x:v>
      </x:c>
      <x:c r="G1929" s="43" t="n">
        <x:v>0.9715375375583314</x:v>
      </x:c>
      <x:c r="H1929" s="32" t="n">
        <x:v>1157061.9055332448</x:v>
      </x:c>
      <x:c r="I1929" s="50" t="b">
        <x:v>0</x:v>
      </x:c>
      <x:c r="J1929" s="50" t="b">
        <x:v>0</x:v>
      </x:c>
      <x:c r="K1929" s="31"/>
      <x:c r="L1929" s="31"/>
    </x:row>
    <x:row r="1930">
      <x:c r="A1930" s="31"/>
      <x:c r="B1930" s="31"/>
      <x:c r="C1930" s="31"/>
      <x:c r="D1930" s="31" t="n">
        <x:v>1926</x:v>
      </x:c>
      <x:c r="E1930" s="42" t="n">
        <x:v>-0.002687065746576744</x:v>
      </x:c>
      <x:c r="F1930" s="42" t="n">
        <x:v>-0.004776148221563532</x:v>
      </x:c>
      <x:c r="G1930" s="43" t="n">
        <x:v>0.97934048647999</x:v>
      </x:c>
      <x:c r="H1930" s="32" t="n">
        <x:v>1064214.8204542196</x:v>
      </x:c>
      <x:c r="I1930" s="50" t="b">
        <x:v>0</x:v>
      </x:c>
      <x:c r="J1930" s="50" t="b">
        <x:v>0</x:v>
      </x:c>
      <x:c r="K1930" s="31"/>
      <x:c r="L1930" s="31"/>
    </x:row>
    <x:row r="1931">
      <x:c r="A1931" s="31"/>
      <x:c r="B1931" s="31"/>
      <x:c r="C1931" s="31"/>
      <x:c r="D1931" s="31" t="n">
        <x:v>1927</x:v>
      </x:c>
      <x:c r="E1931" s="42" t="n">
        <x:v>-0.01727067892684248</x:v>
      </x:c>
      <x:c r="F1931" s="42" t="n">
        <x:v>0.00003316095605480129</x:v>
      </x:c>
      <x:c r="G1931" s="43" t="n">
        <x:v>0.9558250253225349</x:v>
      </x:c>
      <x:c r="H1931" s="32" t="n">
        <x:v>1159574.0238699985</x:v>
      </x:c>
      <x:c r="I1931" s="50" t="b">
        <x:v>0</x:v>
      </x:c>
      <x:c r="J1931" s="50" t="b">
        <x:v>0</x:v>
      </x:c>
      <x:c r="K1931" s="31"/>
      <x:c r="L1931" s="31"/>
    </x:row>
    <x:row r="1932">
      <x:c r="A1932" s="31"/>
      <x:c r="B1932" s="31"/>
      <x:c r="C1932" s="31"/>
      <x:c r="D1932" s="31" t="n">
        <x:v>1928</x:v>
      </x:c>
      <x:c r="E1932" s="42" t="n">
        <x:v>0.011849789911406287</x:v>
      </x:c>
      <x:c r="F1932" s="42" t="n">
        <x:v>-0.004663838421759124</x:v>
      </x:c>
      <x:c r="G1932" s="43" t="n">
        <x:v>0.9674027618556569</x:v>
      </x:c>
      <x:c r="H1932" s="32" t="n">
        <x:v>1180178.869590999</x:v>
      </x:c>
      <x:c r="I1932" s="50" t="b">
        <x:v>0</x:v>
      </x:c>
      <x:c r="J1932" s="50" t="b">
        <x:v>0</x:v>
      </x:c>
      <x:c r="K1932" s="31"/>
      <x:c r="L1932" s="31"/>
    </x:row>
    <x:row r="1933">
      <x:c r="A1933" s="31"/>
      <x:c r="B1933" s="31"/>
      <x:c r="C1933" s="31"/>
      <x:c r="D1933" s="31" t="n">
        <x:v>1929</x:v>
      </x:c>
      <x:c r="E1933" s="42" t="n">
        <x:v>-0.0012271710694388568</x:v>
      </x:c>
      <x:c r="F1933" s="42" t="n">
        <x:v>-0.01748909817641856</x:v>
      </x:c>
      <x:c r="G1933" s="43" t="n">
        <x:v>0.9547653868514734</x:v>
      </x:c>
      <x:c r="H1933" s="32" t="n">
        <x:v>1259734.5350740724</x:v>
      </x:c>
      <x:c r="I1933" s="50" t="b">
        <x:v>0</x:v>
      </x:c>
      <x:c r="J1933" s="50" t="b">
        <x:v>0</x:v>
      </x:c>
      <x:c r="K1933" s="31"/>
      <x:c r="L1933" s="31"/>
    </x:row>
    <x:row r="1934">
      <x:c r="A1934" s="31"/>
      <x:c r="B1934" s="31"/>
      <x:c r="C1934" s="31"/>
      <x:c r="D1934" s="31" t="n">
        <x:v>1930</x:v>
      </x:c>
      <x:c r="E1934" s="42" t="n">
        <x:v>-0.011274202722787554</x:v>
      </x:c>
      <x:c r="F1934" s="42" t="n">
        <x:v>0.0008684284818441891</x:v>
      </x:c>
      <x:c r="G1934" s="43" t="n">
        <x:v>1.0219808557641807</x:v>
      </x:c>
      <x:c r="H1934" s="32" t="n">
        <x:v>753803.9858833868</x:v>
      </x:c>
      <x:c r="I1934" s="50" t="b">
        <x:v>1</x:v>
      </x:c>
      <x:c r="J1934" s="50" t="b">
        <x:v>0</x:v>
      </x:c>
      <x:c r="K1934" s="31"/>
      <x:c r="L1934" s="31"/>
    </x:row>
    <x:row r="1935">
      <x:c r="A1935" s="31"/>
      <x:c r="B1935" s="31"/>
      <x:c r="C1935" s="31"/>
      <x:c r="D1935" s="31" t="n">
        <x:v>1931</x:v>
      </x:c>
      <x:c r="E1935" s="42" t="n">
        <x:v>-0.010733299994187897</x:v>
      </x:c>
      <x:c r="F1935" s="42" t="n">
        <x:v>-0.011069515443805427</x:v>
      </x:c>
      <x:c r="G1935" s="43" t="n">
        <x:v>1.0367141078997302</x:v>
      </x:c>
      <x:c r="H1935" s="32" t="n">
        <x:v>694972.5465864029</x:v>
      </x:c>
      <x:c r="I1935" s="50" t="b">
        <x:v>1</x:v>
      </x:c>
      <x:c r="J1935" s="50" t="b">
        <x:v>0</x:v>
      </x:c>
      <x:c r="K1935" s="31"/>
      <x:c r="L1935" s="31"/>
    </x:row>
    <x:row r="1936">
      <x:c r="A1936" s="31"/>
      <x:c r="B1936" s="31"/>
      <x:c r="C1936" s="31"/>
      <x:c r="D1936" s="31" t="n">
        <x:v>1932</x:v>
      </x:c>
      <x:c r="E1936" s="42" t="n">
        <x:v>-0.010544908445926225</x:v>
      </x:c>
      <x:c r="F1936" s="42" t="n">
        <x:v>0.007354091095017294</x:v>
      </x:c>
      <x:c r="G1936" s="43" t="n">
        <x:v>0.9109619309637133</x:v>
      </x:c>
      <x:c r="H1936" s="32" t="n">
        <x:v>1442829.8062689602</x:v>
      </x:c>
      <x:c r="I1936" s="50" t="b">
        <x:v>0</x:v>
      </x:c>
      <x:c r="J1936" s="50" t="b">
        <x:v>0</x:v>
      </x:c>
      <x:c r="K1936" s="31"/>
      <x:c r="L1936" s="31"/>
    </x:row>
    <x:row r="1937">
      <x:c r="A1937" s="31"/>
      <x:c r="B1937" s="31"/>
      <x:c r="C1937" s="31"/>
      <x:c r="D1937" s="31" t="n">
        <x:v>1933</x:v>
      </x:c>
      <x:c r="E1937" s="42" t="n">
        <x:v>0.015159666222572659</x:v>
      </x:c>
      <x:c r="F1937" s="42" t="n">
        <x:v>0.0013042059750448059</x:v>
      </x:c>
      <x:c r="G1937" s="43" t="n">
        <x:v>0.9579794411316835</x:v>
      </x:c>
      <x:c r="H1937" s="32" t="n">
        <x:v>1232624.5602641008</x:v>
      </x:c>
      <x:c r="I1937" s="50" t="b">
        <x:v>0</x:v>
      </x:c>
      <x:c r="J1937" s="50" t="b">
        <x:v>0</x:v>
      </x:c>
      <x:c r="K1937" s="31"/>
      <x:c r="L1937" s="31"/>
    </x:row>
    <x:row r="1938">
      <x:c r="A1938" s="31"/>
      <x:c r="B1938" s="31"/>
      <x:c r="C1938" s="31"/>
      <x:c r="D1938" s="31" t="n">
        <x:v>1934</x:v>
      </x:c>
      <x:c r="E1938" s="42" t="n">
        <x:v>-0.018632554845842524</x:v>
      </x:c>
      <x:c r="F1938" s="42" t="n">
        <x:v>-0.0013816359122587791</x:v>
      </x:c>
      <x:c r="G1938" s="43" t="n">
        <x:v>0.9838104233560802</x:v>
      </x:c>
      <x:c r="H1938" s="32" t="n">
        <x:v>981994.2329365505</x:v>
      </x:c>
      <x:c r="I1938" s="50" t="b">
        <x:v>1</x:v>
      </x:c>
      <x:c r="J1938" s="50" t="b">
        <x:v>0</x:v>
      </x:c>
      <x:c r="K1938" s="31"/>
      <x:c r="L1938" s="31"/>
    </x:row>
    <x:row r="1939">
      <x:c r="A1939" s="31"/>
      <x:c r="B1939" s="31"/>
      <x:c r="C1939" s="31"/>
      <x:c r="D1939" s="31" t="n">
        <x:v>1935</x:v>
      </x:c>
      <x:c r="E1939" s="42" t="n">
        <x:v>-0.000996799518515972</x:v>
      </x:c>
      <x:c r="F1939" s="42" t="n">
        <x:v>0.006400058398317751</x:v>
      </x:c>
      <x:c r="G1939" s="43" t="n">
        <x:v>1.0112858111190302</x:v>
      </x:c>
      <x:c r="H1939" s="32" t="n">
        <x:v>834935.0590583405</x:v>
      </x:c>
      <x:c r="I1939" s="50" t="b">
        <x:v>1</x:v>
      </x:c>
      <x:c r="J1939" s="50" t="b">
        <x:v>0</x:v>
      </x:c>
      <x:c r="K1939" s="31"/>
      <x:c r="L1939" s="31"/>
    </x:row>
    <x:row r="1940">
      <x:c r="A1940" s="31"/>
      <x:c r="B1940" s="31"/>
      <x:c r="C1940" s="31"/>
      <x:c r="D1940" s="31" t="n">
        <x:v>1936</x:v>
      </x:c>
      <x:c r="E1940" s="42" t="n">
        <x:v>0.0156662820850922</x:v>
      </x:c>
      <x:c r="F1940" s="42" t="n">
        <x:v>0.005094773092626325</x:v>
      </x:c>
      <x:c r="G1940" s="43" t="n">
        <x:v>1.0262898956886914</x:v>
      </x:c>
      <x:c r="H1940" s="32" t="n">
        <x:v>789663.8433060343</x:v>
      </x:c>
      <x:c r="I1940" s="50" t="b">
        <x:v>1</x:v>
      </x:c>
      <x:c r="J1940" s="50" t="b">
        <x:v>0</x:v>
      </x:c>
      <x:c r="K1940" s="31"/>
      <x:c r="L1940" s="31"/>
    </x:row>
    <x:row r="1941">
      <x:c r="A1941" s="31"/>
      <x:c r="B1941" s="31"/>
      <x:c r="C1941" s="31"/>
      <x:c r="D1941" s="31" t="n">
        <x:v>1937</x:v>
      </x:c>
      <x:c r="E1941" s="42" t="n">
        <x:v>0.005080092219208185</x:v>
      </x:c>
      <x:c r="F1941" s="42" t="n">
        <x:v>-0.0032798218025739756</x:v>
      </x:c>
      <x:c r="G1941" s="43" t="n">
        <x:v>1.0232207287257564</x:v>
      </x:c>
      <x:c r="H1941" s="32" t="n">
        <x:v>802999.2035682496</x:v>
      </x:c>
      <x:c r="I1941" s="50" t="b">
        <x:v>1</x:v>
      </x:c>
      <x:c r="J1941" s="50" t="b">
        <x:v>0</x:v>
      </x:c>
      <x:c r="K1941" s="31"/>
      <x:c r="L1941" s="31"/>
    </x:row>
    <x:row r="1942">
      <x:c r="A1942" s="31"/>
      <x:c r="B1942" s="31"/>
      <x:c r="C1942" s="31"/>
      <x:c r="D1942" s="31" t="n">
        <x:v>1938</x:v>
      </x:c>
      <x:c r="E1942" s="42" t="n">
        <x:v>-0.004737605212263722</x:v>
      </x:c>
      <x:c r="F1942" s="42" t="n">
        <x:v>0.0023284144319996496</x:v>
      </x:c>
      <x:c r="G1942" s="43" t="n">
        <x:v>1.0399120601253515</x:v>
      </x:c>
      <x:c r="H1942" s="32" t="n">
        <x:v>654058.9996085499</x:v>
      </x:c>
      <x:c r="I1942" s="50" t="b">
        <x:v>1</x:v>
      </x:c>
      <x:c r="J1942" s="50" t="b">
        <x:v>0</x:v>
      </x:c>
      <x:c r="K1942" s="31"/>
      <x:c r="L1942" s="31"/>
    </x:row>
    <x:row r="1943">
      <x:c r="A1943" s="31"/>
      <x:c r="B1943" s="31"/>
      <x:c r="C1943" s="31"/>
      <x:c r="D1943" s="31" t="n">
        <x:v>1939</x:v>
      </x:c>
      <x:c r="E1943" s="42" t="n">
        <x:v>-0.019710875860612515</x:v>
      </x:c>
      <x:c r="F1943" s="42" t="n">
        <x:v>-0.001634143663640125</x:v>
      </x:c>
      <x:c r="G1943" s="43" t="n">
        <x:v>1.0202054480478968</x:v>
      </x:c>
      <x:c r="H1943" s="32" t="n">
        <x:v>748561.3806265902</x:v>
      </x:c>
      <x:c r="I1943" s="50" t="b">
        <x:v>1</x:v>
      </x:c>
      <x:c r="J1943" s="50" t="b">
        <x:v>0</x:v>
      </x:c>
      <x:c r="K1943" s="31"/>
      <x:c r="L1943" s="31"/>
    </x:row>
    <x:row r="1944">
      <x:c r="A1944" s="31"/>
      <x:c r="B1944" s="31"/>
      <x:c r="C1944" s="31"/>
      <x:c r="D1944" s="31" t="n">
        <x:v>1940</x:v>
      </x:c>
      <x:c r="E1944" s="42" t="n">
        <x:v>-0.0030552671006142482</x:v>
      </x:c>
      <x:c r="F1944" s="42" t="n">
        <x:v>-0.0016979096287308793</x:v>
      </x:c>
      <x:c r="G1944" s="43" t="n">
        <x:v>1.0096735797913143</x:v>
      </x:c>
      <x:c r="H1944" s="32" t="n">
        <x:v>861984.9531796477</x:v>
      </x:c>
      <x:c r="I1944" s="50" t="b">
        <x:v>1</x:v>
      </x:c>
      <x:c r="J1944" s="50" t="b">
        <x:v>0</x:v>
      </x:c>
      <x:c r="K1944" s="31"/>
      <x:c r="L1944" s="31"/>
    </x:row>
    <x:row r="1945">
      <x:c r="A1945" s="31"/>
      <x:c r="B1945" s="31"/>
      <x:c r="C1945" s="31"/>
      <x:c r="D1945" s="31" t="n">
        <x:v>1941</x:v>
      </x:c>
      <x:c r="E1945" s="42" t="n">
        <x:v>0.001879942456049234</x:v>
      </x:c>
      <x:c r="F1945" s="42" t="n">
        <x:v>0.00036506714028661875</x:v>
      </x:c>
      <x:c r="G1945" s="43" t="n">
        <x:v>1.015310353000825</x:v>
      </x:c>
      <x:c r="H1945" s="32" t="n">
        <x:v>834182.3748072471</x:v>
      </x:c>
      <x:c r="I1945" s="50" t="b">
        <x:v>1</x:v>
      </x:c>
      <x:c r="J1945" s="50" t="b">
        <x:v>0</x:v>
      </x:c>
      <x:c r="K1945" s="31"/>
      <x:c r="L1945" s="31"/>
    </x:row>
    <x:row r="1946">
      <x:c r="A1946" s="31"/>
      <x:c r="B1946" s="31"/>
      <x:c r="C1946" s="31"/>
      <x:c r="D1946" s="31" t="n">
        <x:v>1942</x:v>
      </x:c>
      <x:c r="E1946" s="42" t="n">
        <x:v>0.0023175849646775142</x:v>
      </x:c>
      <x:c r="F1946" s="42" t="n">
        <x:v>0.0017689018992081294</x:v>
      </x:c>
      <x:c r="G1946" s="43" t="n">
        <x:v>0.9501228703286152</x:v>
      </x:c>
      <x:c r="H1946" s="32" t="n">
        <x:v>1245479.6398619122</x:v>
      </x:c>
      <x:c r="I1946" s="50" t="b">
        <x:v>0</x:v>
      </x:c>
      <x:c r="J1946" s="50" t="b">
        <x:v>0</x:v>
      </x:c>
      <x:c r="K1946" s="31"/>
      <x:c r="L1946" s="31"/>
    </x:row>
    <x:row r="1947">
      <x:c r="A1947" s="31"/>
      <x:c r="B1947" s="31"/>
      <x:c r="C1947" s="31"/>
      <x:c r="D1947" s="31" t="n">
        <x:v>1943</x:v>
      </x:c>
      <x:c r="E1947" s="42" t="n">
        <x:v>-0.009381516967059028</x:v>
      </x:c>
      <x:c r="F1947" s="42" t="n">
        <x:v>-0.00432465088689597</x:v>
      </x:c>
      <x:c r="G1947" s="43" t="n">
        <x:v>1.0128246636034275</x:v>
      </x:c>
      <x:c r="H1947" s="32" t="n">
        <x:v>831675.6750697</x:v>
      </x:c>
      <x:c r="I1947" s="50" t="b">
        <x:v>1</x:v>
      </x:c>
      <x:c r="J1947" s="50" t="b">
        <x:v>0</x:v>
      </x:c>
      <x:c r="K1947" s="31"/>
      <x:c r="L1947" s="31"/>
    </x:row>
    <x:row r="1948">
      <x:c r="A1948" s="31"/>
      <x:c r="B1948" s="31"/>
      <x:c r="C1948" s="31"/>
      <x:c r="D1948" s="31" t="n">
        <x:v>1944</x:v>
      </x:c>
      <x:c r="E1948" s="42" t="n">
        <x:v>-0.008851002204955513</x:v>
      </x:c>
      <x:c r="F1948" s="42" t="n">
        <x:v>0.001135904738333955</x:v>
      </x:c>
      <x:c r="G1948" s="43" t="n">
        <x:v>1.012733167274317</x:v>
      </x:c>
      <x:c r="H1948" s="32" t="n">
        <x:v>818533.8635363604</x:v>
      </x:c>
      <x:c r="I1948" s="50" t="b">
        <x:v>1</x:v>
      </x:c>
      <x:c r="J1948" s="50" t="b">
        <x:v>0</x:v>
      </x:c>
      <x:c r="K1948" s="31"/>
      <x:c r="L1948" s="31"/>
    </x:row>
    <x:row r="1949">
      <x:c r="A1949" s="31"/>
      <x:c r="B1949" s="31"/>
      <x:c r="C1949" s="31"/>
      <x:c r="D1949" s="31" t="n">
        <x:v>1945</x:v>
      </x:c>
      <x:c r="E1949" s="42" t="n">
        <x:v>-0.026654400803713</x:v>
      </x:c>
      <x:c r="F1949" s="42" t="n">
        <x:v>0.0014955520380136294</x:v>
      </x:c>
      <x:c r="G1949" s="43" t="n">
        <x:v>0.9516808144785214</x:v>
      </x:c>
      <x:c r="H1949" s="32" t="n">
        <x:v>1155702.30193805</x:v>
      </x:c>
      <x:c r="I1949" s="50" t="b">
        <x:v>0</x:v>
      </x:c>
      <x:c r="J1949" s="50" t="b">
        <x:v>0</x:v>
      </x:c>
      <x:c r="K1949" s="31"/>
      <x:c r="L1949" s="31"/>
    </x:row>
    <x:row r="1950">
      <x:c r="A1950" s="31"/>
      <x:c r="B1950" s="31"/>
      <x:c r="C1950" s="31"/>
      <x:c r="D1950" s="31" t="n">
        <x:v>1946</x:v>
      </x:c>
      <x:c r="E1950" s="42" t="n">
        <x:v>-0.007874962721583778</x:v>
      </x:c>
      <x:c r="F1950" s="42" t="n">
        <x:v>0.011075472268712519</x:v>
      </x:c>
      <x:c r="G1950" s="43" t="n">
        <x:v>0.9474616126794709</x:v>
      </x:c>
      <x:c r="H1950" s="32" t="n">
        <x:v>1208104.2833800388</x:v>
      </x:c>
      <x:c r="I1950" s="50" t="b">
        <x:v>0</x:v>
      </x:c>
      <x:c r="J1950" s="50" t="b">
        <x:v>0</x:v>
      </x:c>
      <x:c r="K1950" s="31"/>
      <x:c r="L1950" s="31"/>
    </x:row>
    <x:row r="1951">
      <x:c r="A1951" s="31"/>
      <x:c r="B1951" s="31"/>
      <x:c r="C1951" s="31"/>
      <x:c r="D1951" s="31" t="n">
        <x:v>1947</x:v>
      </x:c>
      <x:c r="E1951" s="42" t="n">
        <x:v>0.004624756150745002</x:v>
      </x:c>
      <x:c r="F1951" s="42" t="n">
        <x:v>0.0031482732334897393</x:v>
      </x:c>
      <x:c r="G1951" s="43" t="n">
        <x:v>1.0254136595910202</x:v>
      </x:c>
      <x:c r="H1951" s="32" t="n">
        <x:v>769912.3564177735</x:v>
      </x:c>
      <x:c r="I1951" s="50" t="b">
        <x:v>1</x:v>
      </x:c>
      <x:c r="J1951" s="50" t="b">
        <x:v>0</x:v>
      </x:c>
      <x:c r="K1951" s="31"/>
      <x:c r="L1951" s="31"/>
    </x:row>
    <x:row r="1952">
      <x:c r="A1952" s="31"/>
      <x:c r="B1952" s="31"/>
      <x:c r="C1952" s="31"/>
      <x:c r="D1952" s="31" t="n">
        <x:v>1948</x:v>
      </x:c>
      <x:c r="E1952" s="42" t="n">
        <x:v>-0.022399936639046113</x:v>
      </x:c>
      <x:c r="F1952" s="42" t="n">
        <x:v>-0.0022529244308428756</x:v>
      </x:c>
      <x:c r="G1952" s="43" t="n">
        <x:v>1.0417687496043124</x:v>
      </x:c>
      <x:c r="H1952" s="32" t="n">
        <x:v>605856.4736972612</x:v>
      </x:c>
      <x:c r="I1952" s="50" t="b">
        <x:v>1</x:v>
      </x:c>
      <x:c r="J1952" s="50" t="b">
        <x:v>0</x:v>
      </x:c>
      <x:c r="K1952" s="31"/>
      <x:c r="L1952" s="31"/>
    </x:row>
    <x:row r="1953">
      <x:c r="A1953" s="31"/>
      <x:c r="B1953" s="31"/>
      <x:c r="C1953" s="31"/>
      <x:c r="D1953" s="31" t="n">
        <x:v>1949</x:v>
      </x:c>
      <x:c r="E1953" s="42" t="n">
        <x:v>0.0014752316771273416</x:v>
      </x:c>
      <x:c r="F1953" s="42" t="n">
        <x:v>-0.005058492422324854</x:v>
      </x:c>
      <x:c r="G1953" s="43" t="n">
        <x:v>1.0349559424337789</x:v>
      </x:c>
      <x:c r="H1953" s="32" t="n">
        <x:v>723389.0451809785</x:v>
      </x:c>
      <x:c r="I1953" s="50" t="b">
        <x:v>1</x:v>
      </x:c>
      <x:c r="J1953" s="50" t="b">
        <x:v>0</x:v>
      </x:c>
      <x:c r="K1953" s="31"/>
      <x:c r="L1953" s="31"/>
    </x:row>
    <x:row r="1954">
      <x:c r="A1954" s="31"/>
      <x:c r="B1954" s="31"/>
      <x:c r="C1954" s="31"/>
      <x:c r="D1954" s="31" t="n">
        <x:v>1950</x:v>
      </x:c>
      <x:c r="E1954" s="42" t="n">
        <x:v>0.0017173549897844308</x:v>
      </x:c>
      <x:c r="F1954" s="42" t="n">
        <x:v>-0.0019440091338413137</x:v>
      </x:c>
      <x:c r="G1954" s="43" t="n">
        <x:v>0.9796743737969031</x:v>
      </x:c>
      <x:c r="H1954" s="32" t="n">
        <x:v>1066470.880344038</x:v>
      </x:c>
      <x:c r="I1954" s="50" t="b">
        <x:v>0</x:v>
      </x:c>
      <x:c r="J1954" s="50" t="b">
        <x:v>0</x:v>
      </x:c>
      <x:c r="K1954" s="31"/>
      <x:c r="L1954" s="31"/>
    </x:row>
    <x:row r="1955">
      <x:c r="A1955" s="31"/>
      <x:c r="B1955" s="31"/>
      <x:c r="C1955" s="31"/>
      <x:c r="D1955" s="31" t="n">
        <x:v>1951</x:v>
      </x:c>
      <x:c r="E1955" s="42" t="n">
        <x:v>0.005177314914703851</x:v>
      </x:c>
      <x:c r="F1955" s="42" t="n">
        <x:v>0.006842026784491511</x:v>
      </x:c>
      <x:c r="G1955" s="43" t="n">
        <x:v>0.9932839677033765</x:v>
      </x:c>
      <x:c r="H1955" s="32" t="n">
        <x:v>965215.0697486219</x:v>
      </x:c>
      <x:c r="I1955" s="50" t="b">
        <x:v>1</x:v>
      </x:c>
      <x:c r="J1955" s="50" t="b">
        <x:v>0</x:v>
      </x:c>
      <x:c r="K1955" s="31"/>
      <x:c r="L1955" s="31"/>
    </x:row>
    <x:row r="1956">
      <x:c r="A1956" s="31"/>
      <x:c r="B1956" s="31"/>
      <x:c r="C1956" s="31"/>
      <x:c r="D1956" s="31" t="n">
        <x:v>1952</x:v>
      </x:c>
      <x:c r="E1956" s="42" t="n">
        <x:v>0.0036174630114169295</x:v>
      </x:c>
      <x:c r="F1956" s="42" t="n">
        <x:v>-0.0005731854922029695</x:v>
      </x:c>
      <x:c r="G1956" s="43" t="n">
        <x:v>1.077602739723322</x:v>
      </x:c>
      <x:c r="H1956" s="32" t="n">
        <x:v>446029.67585753195</x:v>
      </x:c>
      <x:c r="I1956" s="50" t="b">
        <x:v>1</x:v>
      </x:c>
      <x:c r="J1956" s="50" t="b">
        <x:v>0</x:v>
      </x:c>
      <x:c r="K1956" s="31"/>
      <x:c r="L1956" s="31"/>
    </x:row>
    <x:row r="1957">
      <x:c r="A1957" s="31"/>
      <x:c r="B1957" s="31"/>
      <x:c r="C1957" s="31"/>
      <x:c r="D1957" s="31" t="n">
        <x:v>1953</x:v>
      </x:c>
      <x:c r="E1957" s="42" t="n">
        <x:v>0.01222199533166735</x:v>
      </x:c>
      <x:c r="F1957" s="42" t="n">
        <x:v>-0.004509333305270635</x:v>
      </x:c>
      <x:c r="G1957" s="43" t="n">
        <x:v>1.0031963548669882</x:v>
      </x:c>
      <x:c r="H1957" s="32" t="n">
        <x:v>953470.1775482404</x:v>
      </x:c>
      <x:c r="I1957" s="50" t="b">
        <x:v>1</x:v>
      </x:c>
      <x:c r="J1957" s="50" t="b">
        <x:v>0</x:v>
      </x:c>
      <x:c r="K1957" s="31"/>
      <x:c r="L1957" s="31"/>
    </x:row>
    <x:row r="1958">
      <x:c r="A1958" s="31"/>
      <x:c r="B1958" s="31"/>
      <x:c r="C1958" s="31"/>
      <x:c r="D1958" s="31" t="n">
        <x:v>1954</x:v>
      </x:c>
      <x:c r="E1958" s="42" t="n">
        <x:v>0.01425031990779826</x:v>
      </x:c>
      <x:c r="F1958" s="42" t="n">
        <x:v>0.005536737550473697</x:v>
      </x:c>
      <x:c r="G1958" s="43" t="n">
        <x:v>1.020677863824562</x:v>
      </x:c>
      <x:c r="H1958" s="32" t="n">
        <x:v>820132.6402716959</x:v>
      </x:c>
      <x:c r="I1958" s="50" t="b">
        <x:v>1</x:v>
      </x:c>
      <x:c r="J1958" s="50" t="b">
        <x:v>0</x:v>
      </x:c>
      <x:c r="K1958" s="31"/>
      <x:c r="L1958" s="31"/>
    </x:row>
    <x:row r="1959">
      <x:c r="A1959" s="31"/>
      <x:c r="B1959" s="31"/>
      <x:c r="C1959" s="31"/>
      <x:c r="D1959" s="31" t="n">
        <x:v>1955</x:v>
      </x:c>
      <x:c r="E1959" s="42" t="n">
        <x:v>0.009523604941220868</x:v>
      </x:c>
      <x:c r="F1959" s="42" t="n">
        <x:v>0.010149185487631118</x:v>
      </x:c>
      <x:c r="G1959" s="43" t="n">
        <x:v>0.9586469866975529</x:v>
      </x:c>
      <x:c r="H1959" s="32" t="n">
        <x:v>1188076.8751043782</x:v>
      </x:c>
      <x:c r="I1959" s="50" t="b">
        <x:v>0</x:v>
      </x:c>
      <x:c r="J1959" s="50" t="b">
        <x:v>0</x:v>
      </x:c>
      <x:c r="K1959" s="31"/>
      <x:c r="L1959" s="31"/>
    </x:row>
    <x:row r="1960">
      <x:c r="A1960" s="31"/>
      <x:c r="B1960" s="31"/>
      <x:c r="C1960" s="31"/>
      <x:c r="D1960" s="31" t="n">
        <x:v>1956</x:v>
      </x:c>
      <x:c r="E1960" s="42" t="n">
        <x:v>0.008968518040369704</x:v>
      </x:c>
      <x:c r="F1960" s="42" t="n">
        <x:v>-0.004519878645078964</x:v>
      </x:c>
      <x:c r="G1960" s="43" t="n">
        <x:v>0.9250914601562474</x:v>
      </x:c>
      <x:c r="H1960" s="32" t="n">
        <x:v>1440464.8021013956</x:v>
      </x:c>
      <x:c r="I1960" s="50" t="b">
        <x:v>0</x:v>
      </x:c>
      <x:c r="J1960" s="50" t="b">
        <x:v>0</x:v>
      </x:c>
      <x:c r="K1960" s="31"/>
      <x:c r="L1960" s="31"/>
    </x:row>
    <x:row r="1961">
      <x:c r="A1961" s="31"/>
      <x:c r="B1961" s="31"/>
      <x:c r="C1961" s="31"/>
      <x:c r="D1961" s="31" t="n">
        <x:v>1957</x:v>
      </x:c>
      <x:c r="E1961" s="42" t="n">
        <x:v>0.0024998468215769653</x:v>
      </x:c>
      <x:c r="F1961" s="42" t="n">
        <x:v>0.009927177752845268</x:v>
      </x:c>
      <x:c r="G1961" s="43" t="n">
        <x:v>1.0282438459215557</x:v>
      </x:c>
      <x:c r="H1961" s="32" t="n">
        <x:v>727154.7055879352</x:v>
      </x:c>
      <x:c r="I1961" s="50" t="b">
        <x:v>1</x:v>
      </x:c>
      <x:c r="J1961" s="50" t="b">
        <x:v>0</x:v>
      </x:c>
      <x:c r="K1961" s="31"/>
      <x:c r="L1961" s="31"/>
    </x:row>
    <x:row r="1962">
      <x:c r="A1962" s="31"/>
      <x:c r="B1962" s="31"/>
      <x:c r="C1962" s="31"/>
      <x:c r="D1962" s="31" t="n">
        <x:v>1958</x:v>
      </x:c>
      <x:c r="E1962" s="42" t="n">
        <x:v>-0.017297442295164344</x:v>
      </x:c>
      <x:c r="F1962" s="42" t="n">
        <x:v>0.010294677279451901</x:v>
      </x:c>
      <x:c r="G1962" s="43" t="n">
        <x:v>0.9725143885433221</x:v>
      </x:c>
      <x:c r="H1962" s="32" t="n">
        <x:v>1024947.0929601965</x:v>
      </x:c>
      <x:c r="I1962" s="50" t="b">
        <x:v>0</x:v>
      </x:c>
      <x:c r="J1962" s="50" t="b">
        <x:v>0</x:v>
      </x:c>
      <x:c r="K1962" s="31"/>
      <x:c r="L1962" s="31"/>
    </x:row>
    <x:row r="1963">
      <x:c r="A1963" s="31"/>
      <x:c r="B1963" s="31"/>
      <x:c r="C1963" s="31"/>
      <x:c r="D1963" s="31" t="n">
        <x:v>1959</x:v>
      </x:c>
      <x:c r="E1963" s="42" t="n">
        <x:v>0.006586306407726739</x:v>
      </x:c>
      <x:c r="F1963" s="42" t="n">
        <x:v>0.005647002028190662</x:v>
      </x:c>
      <x:c r="G1963" s="43" t="n">
        <x:v>0.982150840632309</x:v>
      </x:c>
      <x:c r="H1963" s="32" t="n">
        <x:v>1043166.6483990795</x:v>
      </x:c>
      <x:c r="I1963" s="50" t="b">
        <x:v>0</x:v>
      </x:c>
      <x:c r="J1963" s="50" t="b">
        <x:v>0</x:v>
      </x:c>
      <x:c r="K1963" s="31"/>
      <x:c r="L1963" s="31"/>
    </x:row>
    <x:row r="1964">
      <x:c r="A1964" s="31"/>
      <x:c r="B1964" s="31"/>
      <x:c r="C1964" s="31"/>
      <x:c r="D1964" s="31" t="n">
        <x:v>1960</x:v>
      </x:c>
      <x:c r="E1964" s="42" t="n">
        <x:v>0.0006096011612317126</x:v>
      </x:c>
      <x:c r="F1964" s="42" t="n">
        <x:v>0.0026237663614391282</x:v>
      </x:c>
      <x:c r="G1964" s="43" t="n">
        <x:v>0.9222391612836461</x:v>
      </x:c>
      <x:c r="H1964" s="32" t="n">
        <x:v>1415427.1953778532</x:v>
      </x:c>
      <x:c r="I1964" s="50" t="b">
        <x:v>0</x:v>
      </x:c>
      <x:c r="J1964" s="50" t="b">
        <x:v>0</x:v>
      </x:c>
      <x:c r="K1964" s="31"/>
      <x:c r="L1964" s="31"/>
    </x:row>
    <x:row r="1965">
      <x:c r="A1965" s="31"/>
      <x:c r="B1965" s="31"/>
      <x:c r="C1965" s="31"/>
      <x:c r="D1965" s="31" t="n">
        <x:v>1961</x:v>
      </x:c>
      <x:c r="E1965" s="42" t="n">
        <x:v>-0.006282148583788046</x:v>
      </x:c>
      <x:c r="F1965" s="42" t="n">
        <x:v>-0.00023324342731537306</x:v>
      </x:c>
      <x:c r="G1965" s="43" t="n">
        <x:v>1.0429078525270057</x:v>
      </x:c>
      <x:c r="H1965" s="32" t="n">
        <x:v>637864.7568750225</x:v>
      </x:c>
      <x:c r="I1965" s="50" t="b">
        <x:v>1</x:v>
      </x:c>
      <x:c r="J1965" s="50" t="b">
        <x:v>0</x:v>
      </x:c>
      <x:c r="K1965" s="31"/>
      <x:c r="L1965" s="31"/>
    </x:row>
    <x:row r="1966">
      <x:c r="A1966" s="31"/>
      <x:c r="B1966" s="31"/>
      <x:c r="C1966" s="31"/>
      <x:c r="D1966" s="31" t="n">
        <x:v>1962</x:v>
      </x:c>
      <x:c r="E1966" s="42" t="n">
        <x:v>0.0018996609793823392</x:v>
      </x:c>
      <x:c r="F1966" s="42" t="n">
        <x:v>-0.006655404389527459</x:v>
      </x:c>
      <x:c r="G1966" s="43" t="n">
        <x:v>0.9940007691931437</x:v>
      </x:c>
      <x:c r="H1966" s="32" t="n">
        <x:v>989109.8491083902</x:v>
      </x:c>
      <x:c r="I1966" s="50" t="b">
        <x:v>1</x:v>
      </x:c>
      <x:c r="J1966" s="50" t="b">
        <x:v>0</x:v>
      </x:c>
      <x:c r="K1966" s="31"/>
      <x:c r="L1966" s="31"/>
    </x:row>
    <x:row r="1967">
      <x:c r="A1967" s="31"/>
      <x:c r="B1967" s="31"/>
      <x:c r="C1967" s="31"/>
      <x:c r="D1967" s="31" t="n">
        <x:v>1963</x:v>
      </x:c>
      <x:c r="E1967" s="42" t="n">
        <x:v>-0.006918474966320909</x:v>
      </x:c>
      <x:c r="F1967" s="42" t="n">
        <x:v>0.0022483645698764183</x:v>
      </x:c>
      <x:c r="G1967" s="43" t="n">
        <x:v>0.9282559328637848</x:v>
      </x:c>
      <x:c r="H1967" s="32" t="n">
        <x:v>1357306.807032107</x:v>
      </x:c>
      <x:c r="I1967" s="50" t="b">
        <x:v>0</x:v>
      </x:c>
      <x:c r="J1967" s="50" t="b">
        <x:v>0</x:v>
      </x:c>
      <x:c r="K1967" s="31"/>
      <x:c r="L1967" s="31"/>
    </x:row>
    <x:row r="1968">
      <x:c r="A1968" s="31"/>
      <x:c r="B1968" s="31"/>
      <x:c r="C1968" s="31"/>
      <x:c r="D1968" s="31" t="n">
        <x:v>1964</x:v>
      </x:c>
      <x:c r="E1968" s="42" t="n">
        <x:v>0.006730042009152364</x:v>
      </x:c>
      <x:c r="F1968" s="42" t="n">
        <x:v>0.0024843340016846805</x:v>
      </x:c>
      <x:c r="G1968" s="43" t="n">
        <x:v>1.046010348870473</x:v>
      </x:c>
      <x:c r="H1968" s="32" t="n">
        <x:v>646816.9917535081</x:v>
      </x:c>
      <x:c r="I1968" s="50" t="b">
        <x:v>1</x:v>
      </x:c>
      <x:c r="J1968" s="50" t="b">
        <x:v>0</x:v>
      </x:c>
      <x:c r="K1968" s="31"/>
      <x:c r="L1968" s="31"/>
    </x:row>
    <x:row r="1969">
      <x:c r="A1969" s="31"/>
      <x:c r="B1969" s="31"/>
      <x:c r="C1969" s="31"/>
      <x:c r="D1969" s="31" t="n">
        <x:v>1965</x:v>
      </x:c>
      <x:c r="E1969" s="42" t="n">
        <x:v>-0.008540307455553854</x:v>
      </x:c>
      <x:c r="F1969" s="42" t="n">
        <x:v>-0.003833227232317088</x:v>
      </x:c>
      <x:c r="G1969" s="43" t="n">
        <x:v>0.9860587659075774</x:v>
      </x:c>
      <x:c r="H1969" s="32" t="n">
        <x:v>1002631.71849562</x:v>
      </x:c>
      <x:c r="I1969" s="50" t="b">
        <x:v>0</x:v>
      </x:c>
      <x:c r="J1969" s="50" t="b">
        <x:v>0</x:v>
      </x:c>
      <x:c r="K1969" s="31"/>
      <x:c r="L1969" s="31"/>
    </x:row>
    <x:row r="1970">
      <x:c r="A1970" s="31"/>
      <x:c r="B1970" s="31"/>
      <x:c r="C1970" s="31"/>
      <x:c r="D1970" s="31" t="n">
        <x:v>1966</x:v>
      </x:c>
      <x:c r="E1970" s="42" t="n">
        <x:v>0.005829884644419936</x:v>
      </x:c>
      <x:c r="F1970" s="42" t="n">
        <x:v>-0.014971124489508901</x:v>
      </x:c>
      <x:c r="G1970" s="43" t="n">
        <x:v>0.9865422364028045</x:v>
      </x:c>
      <x:c r="H1970" s="32" t="n">
        <x:v>1070563.6705901304</x:v>
      </x:c>
      <x:c r="I1970" s="50" t="b">
        <x:v>0</x:v>
      </x:c>
      <x:c r="J1970" s="50" t="b">
        <x:v>0</x:v>
      </x:c>
      <x:c r="K1970" s="31"/>
      <x:c r="L1970" s="31"/>
    </x:row>
    <x:row r="1971">
      <x:c r="A1971" s="31"/>
      <x:c r="B1971" s="31"/>
      <x:c r="C1971" s="31"/>
      <x:c r="D1971" s="31" t="n">
        <x:v>1967</x:v>
      </x:c>
      <x:c r="E1971" s="42" t="n">
        <x:v>-0.006010203667579475</x:v>
      </x:c>
      <x:c r="F1971" s="42" t="n">
        <x:v>-0.0016314276644025822</x:v>
      </x:c>
      <x:c r="G1971" s="43" t="n">
        <x:v>0.9274604099098619</x:v>
      </x:c>
      <x:c r="H1971" s="32" t="n">
        <x:v>1375686.6221795592</x:v>
      </x:c>
      <x:c r="I1971" s="50" t="b">
        <x:v>0</x:v>
      </x:c>
      <x:c r="J1971" s="50" t="b">
        <x:v>0</x:v>
      </x:c>
      <x:c r="K1971" s="31"/>
      <x:c r="L1971" s="31"/>
    </x:row>
    <x:row r="1972">
      <x:c r="A1972" s="31"/>
      <x:c r="B1972" s="31"/>
      <x:c r="C1972" s="31"/>
      <x:c r="D1972" s="31" t="n">
        <x:v>1968</x:v>
      </x:c>
      <x:c r="E1972" s="42" t="n">
        <x:v>-0.002869395145037159</x:v>
      </x:c>
      <x:c r="F1972" s="42" t="n">
        <x:v>0.001264311240550133</x:v>
      </x:c>
      <x:c r="G1972" s="43" t="n">
        <x:v>0.9892771186343428</x:v>
      </x:c>
      <x:c r="H1972" s="32" t="n">
        <x:v>983788.8981382997</x:v>
      </x:c>
      <x:c r="I1972" s="50" t="b">
        <x:v>1</x:v>
      </x:c>
      <x:c r="J1972" s="50" t="b">
        <x:v>0</x:v>
      </x:c>
      <x:c r="K1972" s="31"/>
      <x:c r="L1972" s="31"/>
    </x:row>
    <x:row r="1973">
      <x:c r="A1973" s="31"/>
      <x:c r="B1973" s="31"/>
      <x:c r="C1973" s="31"/>
      <x:c r="D1973" s="31" t="n">
        <x:v>1969</x:v>
      </x:c>
      <x:c r="E1973" s="42" t="n">
        <x:v>0.0019421793469197417</x:v>
      </x:c>
      <x:c r="F1973" s="42" t="n">
        <x:v>0.009885160104054188</x:v>
      </x:c>
      <x:c r="G1973" s="43" t="n">
        <x:v>1.0323761710621469</x:v>
      </x:c>
      <x:c r="H1973" s="32" t="n">
        <x:v>699476.1915944571</x:v>
      </x:c>
      <x:c r="I1973" s="50" t="b">
        <x:v>1</x:v>
      </x:c>
      <x:c r="J1973" s="50" t="b">
        <x:v>0</x:v>
      </x:c>
      <x:c r="K1973" s="31"/>
      <x:c r="L1973" s="31"/>
    </x:row>
    <x:row r="1974">
      <x:c r="A1974" s="31"/>
      <x:c r="B1974" s="31"/>
      <x:c r="C1974" s="31"/>
      <x:c r="D1974" s="31" t="n">
        <x:v>1970</x:v>
      </x:c>
      <x:c r="E1974" s="42" t="n">
        <x:v>-0.001986510170061748</x:v>
      </x:c>
      <x:c r="F1974" s="42" t="n">
        <x:v>-0.0020316752412670204</x:v>
      </x:c>
      <x:c r="G1974" s="43" t="n">
        <x:v>1.0596270077699104</x:v>
      </x:c>
      <x:c r="H1974" s="32" t="n">
        <x:v>548649.2596626751</x:v>
      </x:c>
      <x:c r="I1974" s="50" t="b">
        <x:v>1</x:v>
      </x:c>
      <x:c r="J1974" s="50" t="b">
        <x:v>0</x:v>
      </x:c>
      <x:c r="K1974" s="31"/>
      <x:c r="L1974" s="31"/>
    </x:row>
    <x:row r="1975">
      <x:c r="A1975" s="31"/>
      <x:c r="B1975" s="31"/>
      <x:c r="C1975" s="31"/>
      <x:c r="D1975" s="31" t="n">
        <x:v>1971</x:v>
      </x:c>
      <x:c r="E1975" s="42" t="n">
        <x:v>0.011230299551139859</x:v>
      </x:c>
      <x:c r="F1975" s="42" t="n">
        <x:v>0.006083813341465612</x:v>
      </x:c>
      <x:c r="G1975" s="43" t="n">
        <x:v>1.065502000656642</x:v>
      </x:c>
      <x:c r="H1975" s="32" t="n">
        <x:v>525538.5344612179</x:v>
      </x:c>
      <x:c r="I1975" s="50" t="b">
        <x:v>1</x:v>
      </x:c>
      <x:c r="J1975" s="50" t="b">
        <x:v>0</x:v>
      </x:c>
      <x:c r="K1975" s="31"/>
      <x:c r="L1975" s="31"/>
    </x:row>
    <x:row r="1976">
      <x:c r="A1976" s="31"/>
      <x:c r="B1976" s="31"/>
      <x:c r="C1976" s="31"/>
      <x:c r="D1976" s="31" t="n">
        <x:v>1972</x:v>
      </x:c>
      <x:c r="E1976" s="42" t="n">
        <x:v>0.01894765439161017</x:v>
      </x:c>
      <x:c r="F1976" s="42" t="n">
        <x:v>0.0008665825591591813</x:v>
      </x:c>
      <x:c r="G1976" s="43" t="n">
        <x:v>0.9799823383589317</x:v>
      </x:c>
      <x:c r="H1976" s="32" t="n">
        <x:v>1104652.6633056113</x:v>
      </x:c>
      <x:c r="I1976" s="50" t="b">
        <x:v>0</x:v>
      </x:c>
      <x:c r="J1976" s="50" t="b">
        <x:v>0</x:v>
      </x:c>
      <x:c r="K1976" s="31"/>
      <x:c r="L1976" s="31"/>
    </x:row>
    <x:row r="1977">
      <x:c r="A1977" s="31"/>
      <x:c r="B1977" s="31"/>
      <x:c r="C1977" s="31"/>
      <x:c r="D1977" s="31" t="n">
        <x:v>1973</x:v>
      </x:c>
      <x:c r="E1977" s="42" t="n">
        <x:v>-0.012048710475485506</x:v>
      </x:c>
      <x:c r="F1977" s="42" t="n">
        <x:v>-0.006034442697451628</x:v>
      </x:c>
      <x:c r="G1977" s="43" t="n">
        <x:v>0.970443882184272</x:v>
      </x:c>
      <x:c r="H1977" s="32" t="n">
        <x:v>1098158.7035096283</x:v>
      </x:c>
      <x:c r="I1977" s="50" t="b">
        <x:v>0</x:v>
      </x:c>
      <x:c r="J1977" s="50" t="b">
        <x:v>0</x:v>
      </x:c>
      <x:c r="K1977" s="31"/>
      <x:c r="L1977" s="31"/>
    </x:row>
    <x:row r="1978">
      <x:c r="A1978" s="31"/>
      <x:c r="B1978" s="31"/>
      <x:c r="C1978" s="31"/>
      <x:c r="D1978" s="31" t="n">
        <x:v>1974</x:v>
      </x:c>
      <x:c r="E1978" s="42" t="n">
        <x:v>-0.016416609858769367</x:v>
      </x:c>
      <x:c r="F1978" s="42" t="n">
        <x:v>0.00999913039496042</x:v>
      </x:c>
      <x:c r="G1978" s="43" t="n">
        <x:v>1.0644593965611675</x:v>
      </x:c>
      <x:c r="H1978" s="32" t="n">
        <x:v>444305.6518893142</x:v>
      </x:c>
      <x:c r="I1978" s="50" t="b">
        <x:v>1</x:v>
      </x:c>
      <x:c r="J1978" s="50" t="b">
        <x:v>0</x:v>
      </x:c>
      <x:c r="K1978" s="31"/>
      <x:c r="L1978" s="31"/>
    </x:row>
    <x:row r="1979">
      <x:c r="A1979" s="31"/>
      <x:c r="B1979" s="31"/>
      <x:c r="C1979" s="31"/>
      <x:c r="D1979" s="31" t="n">
        <x:v>1975</x:v>
      </x:c>
      <x:c r="E1979" s="42" t="n">
        <x:v>-0.0054122127968461485</x:v>
      </x:c>
      <x:c r="F1979" s="42" t="n">
        <x:v>0.0020445503764548326</x:v>
      </x:c>
      <x:c r="G1979" s="43" t="n">
        <x:v>0.9602913007533799</x:v>
      </x:c>
      <x:c r="H1979" s="32" t="n">
        <x:v>1158619.5680355325</x:v>
      </x:c>
      <x:c r="I1979" s="50" t="b">
        <x:v>0</x:v>
      </x:c>
      <x:c r="J1979" s="50" t="b">
        <x:v>0</x:v>
      </x:c>
      <x:c r="K1979" s="31"/>
      <x:c r="L1979" s="31"/>
    </x:row>
    <x:row r="1980">
      <x:c r="A1980" s="31"/>
      <x:c r="B1980" s="31"/>
      <x:c r="C1980" s="31"/>
      <x:c r="D1980" s="31" t="n">
        <x:v>1976</x:v>
      </x:c>
      <x:c r="E1980" s="42" t="n">
        <x:v>0.0020666502405410694</x:v>
      </x:c>
      <x:c r="F1980" s="42" t="n">
        <x:v>-0.008448473132495377</x:v>
      </x:c>
      <x:c r="G1980" s="43" t="n">
        <x:v>1.0444467870573348</x:v>
      </x:c>
      <x:c r="H1980" s="32" t="n">
        <x:v>674197.7732660263</x:v>
      </x:c>
      <x:c r="I1980" s="50" t="b">
        <x:v>1</x:v>
      </x:c>
      <x:c r="J1980" s="50" t="b">
        <x:v>0</x:v>
      </x:c>
      <x:c r="K1980" s="31"/>
      <x:c r="L1980" s="31"/>
    </x:row>
    <x:row r="1981">
      <x:c r="A1981" s="31"/>
      <x:c r="B1981" s="31"/>
      <x:c r="C1981" s="31"/>
      <x:c r="D1981" s="31" t="n">
        <x:v>1977</x:v>
      </x:c>
      <x:c r="E1981" s="42" t="n">
        <x:v>0.001341647993473149</x:v>
      </x:c>
      <x:c r="F1981" s="42" t="n">
        <x:v>-0.005401831422016132</x:v>
      </x:c>
      <x:c r="G1981" s="43" t="n">
        <x:v>1.0450986890581844</x:v>
      </x:c>
      <x:c r="H1981" s="32" t="n">
        <x:v>659559.2793056748</x:v>
      </x:c>
      <x:c r="I1981" s="50" t="b">
        <x:v>1</x:v>
      </x:c>
      <x:c r="J1981" s="50" t="b">
        <x:v>0</x:v>
      </x:c>
      <x:c r="K1981" s="31"/>
      <x:c r="L1981" s="31"/>
    </x:row>
    <x:row r="1982">
      <x:c r="A1982" s="31"/>
      <x:c r="B1982" s="31"/>
      <x:c r="C1982" s="31"/>
      <x:c r="D1982" s="31" t="n">
        <x:v>1978</x:v>
      </x:c>
      <x:c r="E1982" s="42" t="n">
        <x:v>-0.007762275517364479</x:v>
      </x:c>
      <x:c r="F1982" s="42" t="n">
        <x:v>-0.0029675034635170995</x:v>
      </x:c>
      <x:c r="G1982" s="43" t="n">
        <x:v>1.0524478184340034</x:v>
      </x:c>
      <x:c r="H1982" s="32" t="n">
        <x:v>580770.1241807367</x:v>
      </x:c>
      <x:c r="I1982" s="50" t="b">
        <x:v>1</x:v>
      </x:c>
      <x:c r="J1982" s="50" t="b">
        <x:v>0</x:v>
      </x:c>
      <x:c r="K1982" s="31"/>
      <x:c r="L1982" s="31"/>
    </x:row>
    <x:row r="1983">
      <x:c r="A1983" s="31"/>
      <x:c r="B1983" s="31"/>
      <x:c r="C1983" s="31"/>
      <x:c r="D1983" s="31" t="n">
        <x:v>1979</x:v>
      </x:c>
      <x:c r="E1983" s="42" t="n">
        <x:v>0.015759333093146147</x:v>
      </x:c>
      <x:c r="F1983" s="42" t="n">
        <x:v>0.012718919747485962</x:v>
      </x:c>
      <x:c r="G1983" s="43" t="n">
        <x:v>0.9787503607092212</x:v>
      </x:c>
      <x:c r="H1983" s="32" t="n">
        <x:v>1070610.5876085274</x:v>
      </x:c>
      <x:c r="I1983" s="50" t="b">
        <x:v>0</x:v>
      </x:c>
      <x:c r="J1983" s="50" t="b">
        <x:v>0</x:v>
      </x:c>
      <x:c r="K1983" s="31"/>
      <x:c r="L1983" s="31"/>
    </x:row>
    <x:row r="1984">
      <x:c r="A1984" s="31"/>
      <x:c r="B1984" s="31"/>
      <x:c r="C1984" s="31"/>
      <x:c r="D1984" s="31" t="n">
        <x:v>1980</x:v>
      </x:c>
      <x:c r="E1984" s="42" t="n">
        <x:v>-0.007217433225729365</x:v>
      </x:c>
      <x:c r="F1984" s="42" t="n">
        <x:v>-0.004286693834249853</x:v>
      </x:c>
      <x:c r="G1984" s="43" t="n">
        <x:v>1.083596905259463</x:v>
      </x:c>
      <x:c r="H1984" s="32" t="n">
        <x:v>388139.93840314215</x:v>
      </x:c>
      <x:c r="I1984" s="50" t="b">
        <x:v>1</x:v>
      </x:c>
      <x:c r="J1984" s="50" t="b">
        <x:v>0</x:v>
      </x:c>
      <x:c r="K1984" s="31"/>
      <x:c r="L1984" s="31"/>
    </x:row>
    <x:row r="1985">
      <x:c r="A1985" s="31"/>
      <x:c r="B1985" s="31"/>
      <x:c r="C1985" s="31"/>
      <x:c r="D1985" s="31" t="n">
        <x:v>1981</x:v>
      </x:c>
      <x:c r="E1985" s="42" t="n">
        <x:v>0.010177683035925698</x:v>
      </x:c>
      <x:c r="F1985" s="42" t="n">
        <x:v>0.0013667926053825869</x:v>
      </x:c>
      <x:c r="G1985" s="43" t="n">
        <x:v>0.9588498088164362</x:v>
      </x:c>
      <x:c r="H1985" s="32" t="n">
        <x:v>1213055.4371414888</x:v>
      </x:c>
      <x:c r="I1985" s="50" t="b">
        <x:v>0</x:v>
      </x:c>
      <x:c r="J1985" s="50" t="b">
        <x:v>0</x:v>
      </x:c>
      <x:c r="K1985" s="31"/>
      <x:c r="L1985" s="31"/>
    </x:row>
    <x:row r="1986">
      <x:c r="A1986" s="31"/>
      <x:c r="B1986" s="31"/>
      <x:c r="C1986" s="31"/>
      <x:c r="D1986" s="31" t="n">
        <x:v>1982</x:v>
      </x:c>
      <x:c r="E1986" s="42" t="n">
        <x:v>0.009433690418258379</x:v>
      </x:c>
      <x:c r="F1986" s="42" t="n">
        <x:v>0.0003729004529163541</x:v>
      </x:c>
      <x:c r="G1986" s="43" t="n">
        <x:v>0.9614537660036424</x:v>
      </x:c>
      <x:c r="H1986" s="32" t="n">
        <x:v>1197214.06570056</x:v>
      </x:c>
      <x:c r="I1986" s="50" t="b">
        <x:v>0</x:v>
      </x:c>
      <x:c r="J1986" s="50" t="b">
        <x:v>0</x:v>
      </x:c>
      <x:c r="K1986" s="31"/>
      <x:c r="L1986" s="31"/>
    </x:row>
    <x:row r="1987">
      <x:c r="A1987" s="31"/>
      <x:c r="B1987" s="31"/>
      <x:c r="C1987" s="31"/>
      <x:c r="D1987" s="31" t="n">
        <x:v>1983</x:v>
      </x:c>
      <x:c r="E1987" s="42" t="n">
        <x:v>-0.005523288353289711</x:v>
      </x:c>
      <x:c r="F1987" s="42" t="n">
        <x:v>0.007887765733492107</x:v>
      </x:c>
      <x:c r="G1987" s="43" t="n">
        <x:v>0.9444345569393545</x:v>
      </x:c>
      <x:c r="H1987" s="32" t="n">
        <x:v>1242747.2207096238</x:v>
      </x:c>
      <x:c r="I1987" s="50" t="b">
        <x:v>0</x:v>
      </x:c>
      <x:c r="J1987" s="50" t="b">
        <x:v>0</x:v>
      </x:c>
      <x:c r="K1987" s="31"/>
      <x:c r="L1987" s="31"/>
    </x:row>
    <x:row r="1988">
      <x:c r="A1988" s="31"/>
      <x:c r="B1988" s="31"/>
      <x:c r="C1988" s="31"/>
      <x:c r="D1988" s="31" t="n">
        <x:v>1984</x:v>
      </x:c>
      <x:c r="E1988" s="42" t="n">
        <x:v>0.0377711871979908</x:v>
      </x:c>
      <x:c r="F1988" s="42" t="n">
        <x:v>-0.006645002008584722</x:v>
      </x:c>
      <x:c r="G1988" s="43" t="n">
        <x:v>0.9866048247402869</x:v>
      </x:c>
      <x:c r="H1988" s="32" t="n">
        <x:v>1135899.5675147122</x:v>
      </x:c>
      <x:c r="I1988" s="50" t="b">
        <x:v>0</x:v>
      </x:c>
      <x:c r="J1988" s="50" t="b">
        <x:v>0</x:v>
      </x:c>
      <x:c r="K1988" s="31"/>
      <x:c r="L1988" s="31"/>
    </x:row>
    <x:row r="1989">
      <x:c r="A1989" s="31"/>
      <x:c r="B1989" s="31"/>
      <x:c r="C1989" s="31"/>
      <x:c r="D1989" s="31" t="n">
        <x:v>1985</x:v>
      </x:c>
      <x:c r="E1989" s="42" t="n">
        <x:v>0.007694641023233538</x:v>
      </x:c>
      <x:c r="F1989" s="42" t="n">
        <x:v>0.003566097878792839</x:v>
      </x:c>
      <x:c r="G1989" s="43" t="n">
        <x:v>0.924932180431172</x:v>
      </x:c>
      <x:c r="H1989" s="32" t="n">
        <x:v>1415422.9813569253</x:v>
      </x:c>
      <x:c r="I1989" s="50" t="b">
        <x:v>0</x:v>
      </x:c>
      <x:c r="J1989" s="50" t="b">
        <x:v>0</x:v>
      </x:c>
      <x:c r="K1989" s="31"/>
      <x:c r="L1989" s="31"/>
    </x:row>
    <x:row r="1990">
      <x:c r="A1990" s="31"/>
      <x:c r="B1990" s="31"/>
      <x:c r="C1990" s="31"/>
      <x:c r="D1990" s="31" t="n">
        <x:v>1986</x:v>
      </x:c>
      <x:c r="E1990" s="42" t="n">
        <x:v>-0.01418960272440802</x:v>
      </x:c>
      <x:c r="F1990" s="42" t="n">
        <x:v>-0.0008733720446282416</x:v>
      </x:c>
      <x:c r="G1990" s="43" t="n">
        <x:v>1.0755834345604627</x:v>
      </x:c>
      <x:c r="H1990" s="32" t="n">
        <x:v>410122.9075006017</x:v>
      </x:c>
      <x:c r="I1990" s="50" t="b">
        <x:v>1</x:v>
      </x:c>
      <x:c r="J1990" s="50" t="b">
        <x:v>0</x:v>
      </x:c>
      <x:c r="K1990" s="31"/>
      <x:c r="L1990" s="31"/>
    </x:row>
    <x:row r="1991">
      <x:c r="A1991" s="31"/>
      <x:c r="B1991" s="31"/>
      <x:c r="C1991" s="31"/>
      <x:c r="D1991" s="31" t="n">
        <x:v>1987</x:v>
      </x:c>
      <x:c r="E1991" s="42" t="n">
        <x:v>0.00007484363111797739</x:v>
      </x:c>
      <x:c r="F1991" s="42" t="n">
        <x:v>0.00881751904030994</x:v>
      </x:c>
      <x:c r="G1991" s="43" t="n">
        <x:v>1.0507431393349032</x:v>
      </x:c>
      <x:c r="H1991" s="32" t="n">
        <x:v>580606.9672621222</x:v>
      </x:c>
      <x:c r="I1991" s="50" t="b">
        <x:v>1</x:v>
      </x:c>
      <x:c r="J1991" s="50" t="b">
        <x:v>0</x:v>
      </x:c>
      <x:c r="K1991" s="31"/>
      <x:c r="L1991" s="31"/>
    </x:row>
    <x:row r="1992">
      <x:c r="A1992" s="31"/>
      <x:c r="B1992" s="31"/>
      <x:c r="C1992" s="31"/>
      <x:c r="D1992" s="31" t="n">
        <x:v>1988</x:v>
      </x:c>
      <x:c r="E1992" s="42" t="n">
        <x:v>-0.007356109385567436</x:v>
      </x:c>
      <x:c r="F1992" s="42" t="n">
        <x:v>0.0033859106397706633</x:v>
      </x:c>
      <x:c r="G1992" s="43" t="n">
        <x:v>1.048674929980675</x:v>
      </x:c>
      <x:c r="H1992" s="32" t="n">
        <x:v>588176.3413690333</x:v>
      </x:c>
      <x:c r="I1992" s="50" t="b">
        <x:v>1</x:v>
      </x:c>
      <x:c r="J1992" s="50" t="b">
        <x:v>0</x:v>
      </x:c>
      <x:c r="K1992" s="31"/>
      <x:c r="L1992" s="31"/>
    </x:row>
    <x:row r="1993">
      <x:c r="A1993" s="31"/>
      <x:c r="B1993" s="31"/>
      <x:c r="C1993" s="31"/>
      <x:c r="D1993" s="31" t="n">
        <x:v>1989</x:v>
      </x:c>
      <x:c r="E1993" s="42" t="n">
        <x:v>0.010700762505607414</x:v>
      </x:c>
      <x:c r="F1993" s="42" t="n">
        <x:v>-0.002799940247969525</x:v>
      </x:c>
      <x:c r="G1993" s="43" t="n">
        <x:v>0.9522715217243286</x:v>
      </x:c>
      <x:c r="H1993" s="32" t="n">
        <x:v>1267886.4156638018</x:v>
      </x:c>
      <x:c r="I1993" s="50" t="b">
        <x:v>0</x:v>
      </x:c>
      <x:c r="J1993" s="50" t="b">
        <x:v>0</x:v>
      </x:c>
      <x:c r="K1993" s="31"/>
      <x:c r="L1993" s="31"/>
    </x:row>
    <x:row r="1994">
      <x:c r="A1994" s="31"/>
      <x:c r="B1994" s="31"/>
      <x:c r="C1994" s="31"/>
      <x:c r="D1994" s="31" t="n">
        <x:v>1990</x:v>
      </x:c>
      <x:c r="E1994" s="42" t="n">
        <x:v>0.019436383030475315</x:v>
      </x:c>
      <x:c r="F1994" s="42" t="n">
        <x:v>-0.00424656746463836</x:v>
      </x:c>
      <x:c r="G1994" s="43" t="n">
        <x:v>1.0201087919734624</x:v>
      </x:c>
      <x:c r="H1994" s="32" t="n">
        <x:v>865414.217586782</x:v>
      </x:c>
      <x:c r="I1994" s="50" t="b">
        <x:v>1</x:v>
      </x:c>
      <x:c r="J1994" s="50" t="b">
        <x:v>0</x:v>
      </x:c>
      <x:c r="K1994" s="31"/>
      <x:c r="L1994" s="31"/>
    </x:row>
    <x:row r="1995">
      <x:c r="A1995" s="31"/>
      <x:c r="B1995" s="31"/>
      <x:c r="C1995" s="31"/>
      <x:c r="D1995" s="31" t="n">
        <x:v>1991</x:v>
      </x:c>
      <x:c r="E1995" s="42" t="n">
        <x:v>0.00890389421254214</x:v>
      </x:c>
      <x:c r="F1995" s="42" t="n">
        <x:v>0.009933548046421825</x:v>
      </x:c>
      <x:c r="G1995" s="43" t="n">
        <x:v>1.0268058771154</x:v>
      </x:c>
      <x:c r="H1995" s="32" t="n">
        <x:v>754094.9019311843</x:v>
      </x:c>
      <x:c r="I1995" s="50" t="b">
        <x:v>1</x:v>
      </x:c>
      <x:c r="J1995" s="50" t="b">
        <x:v>0</x:v>
      </x:c>
      <x:c r="K1995" s="31"/>
      <x:c r="L1995" s="31"/>
    </x:row>
    <x:row r="1996">
      <x:c r="A1996" s="31"/>
      <x:c r="B1996" s="31"/>
      <x:c r="C1996" s="31"/>
      <x:c r="D1996" s="31" t="n">
        <x:v>1992</x:v>
      </x:c>
      <x:c r="E1996" s="42" t="n">
        <x:v>-0.014362086788544262</x:v>
      </x:c>
      <x:c r="F1996" s="42" t="n">
        <x:v>-0.0016556817692085029</x:v>
      </x:c>
      <x:c r="G1996" s="43" t="n">
        <x:v>1.0642957818660832</x:v>
      </x:c>
      <x:c r="H1996" s="32" t="n">
        <x:v>483504.9595904746</x:v>
      </x:c>
      <x:c r="I1996" s="50" t="b">
        <x:v>1</x:v>
      </x:c>
      <x:c r="J1996" s="50" t="b">
        <x:v>0</x:v>
      </x:c>
      <x:c r="K1996" s="31"/>
      <x:c r="L1996" s="31"/>
    </x:row>
    <x:row r="1997">
      <x:c r="A1997" s="31"/>
      <x:c r="B1997" s="31"/>
      <x:c r="C1997" s="31"/>
      <x:c r="D1997" s="31" t="n">
        <x:v>1993</x:v>
      </x:c>
      <x:c r="E1997" s="42" t="n">
        <x:v>-0.01283574743854527</x:v>
      </x:c>
      <x:c r="F1997" s="42" t="n">
        <x:v>0.0056953267337794935</x:v>
      </x:c>
      <x:c r="G1997" s="43" t="n">
        <x:v>0.9923623112295772</x:v>
      </x:c>
      <x:c r="H1997" s="32" t="n">
        <x:v>924120.3477658943</x:v>
      </x:c>
      <x:c r="I1997" s="50" t="b">
        <x:v>1</x:v>
      </x:c>
      <x:c r="J1997" s="50" t="b">
        <x:v>0</x:v>
      </x:c>
      <x:c r="K1997" s="31"/>
      <x:c r="L1997" s="31"/>
    </x:row>
    <x:row r="1998">
      <x:c r="A1998" s="31"/>
      <x:c r="B1998" s="31"/>
      <x:c r="C1998" s="31"/>
      <x:c r="D1998" s="31" t="n">
        <x:v>1994</x:v>
      </x:c>
      <x:c r="E1998" s="42" t="n">
        <x:v>0.006048970653021088</x:v>
      </x:c>
      <x:c r="F1998" s="42" t="n">
        <x:v>0.004585211791697157</x:v>
      </x:c>
      <x:c r="G1998" s="43" t="n">
        <x:v>0.9481261316877008</x:v>
      </x:c>
      <x:c r="H1998" s="32" t="n">
        <x:v>1260707.478140538</x:v>
      </x:c>
      <x:c r="I1998" s="50" t="b">
        <x:v>0</x:v>
      </x:c>
      <x:c r="J1998" s="50" t="b">
        <x:v>0</x:v>
      </x:c>
      <x:c r="K1998" s="31"/>
      <x:c r="L1998" s="31"/>
    </x:row>
    <x:row r="1999">
      <x:c r="A1999" s="31"/>
      <x:c r="B1999" s="31"/>
      <x:c r="C1999" s="31"/>
      <x:c r="D1999" s="31" t="n">
        <x:v>1995</x:v>
      </x:c>
      <x:c r="E1999" s="42" t="n">
        <x:v>0.005058381478647287</x:v>
      </x:c>
      <x:c r="F1999" s="42" t="n">
        <x:v>0.0005013750031823542</x:v>
      </x:c>
      <x:c r="G1999" s="43" t="n">
        <x:v>1.048223459897559</x:v>
      </x:c>
      <x:c r="H1999" s="32" t="n">
        <x:v>633628.675529273</x:v>
      </x:c>
      <x:c r="I1999" s="50" t="b">
        <x:v>1</x:v>
      </x:c>
      <x:c r="J1999" s="50" t="b">
        <x:v>0</x:v>
      </x:c>
      <x:c r="K1999" s="31"/>
      <x:c r="L1999" s="31"/>
    </x:row>
    <x:row r="2000">
      <x:c r="A2000" s="31"/>
      <x:c r="B2000" s="31"/>
      <x:c r="C2000" s="31"/>
      <x:c r="D2000" s="31" t="n">
        <x:v>1996</x:v>
      </x:c>
      <x:c r="E2000" s="42" t="n">
        <x:v>-0.003058916007517974</x:v>
      </x:c>
      <x:c r="F2000" s="42" t="n">
        <x:v>0.01259473396691349</x:v>
      </x:c>
      <x:c r="G2000" s="43" t="n">
        <x:v>1.0151376478950984</x:v>
      </x:c>
      <x:c r="H2000" s="32" t="n">
        <x:v>787490.2038345778</x:v>
      </x:c>
      <x:c r="I2000" s="50" t="b">
        <x:v>1</x:v>
      </x:c>
      <x:c r="J2000" s="50" t="b">
        <x:v>0</x:v>
      </x:c>
      <x:c r="K2000" s="31"/>
      <x:c r="L2000" s="31"/>
    </x:row>
    <x:row r="2001">
      <x:c r="A2001" s="31"/>
      <x:c r="B2001" s="31"/>
      <x:c r="C2001" s="31"/>
      <x:c r="D2001" s="31" t="n">
        <x:v>1997</x:v>
      </x:c>
      <x:c r="E2001" s="42" t="n">
        <x:v>-0.004967314501073651</x:v>
      </x:c>
      <x:c r="F2001" s="42" t="n">
        <x:v>-0.0007967581703109087</x:v>
      </x:c>
      <x:c r="G2001" s="43" t="n">
        <x:v>1.001616580196986</x:v>
      </x:c>
      <x:c r="H2001" s="32" t="n">
        <x:v>905322.0054181821</x:v>
      </x:c>
      <x:c r="I2001" s="50" t="b">
        <x:v>1</x:v>
      </x:c>
      <x:c r="J2001" s="50" t="b">
        <x:v>0</x:v>
      </x:c>
      <x:c r="K2001" s="31"/>
      <x:c r="L2001" s="31"/>
    </x:row>
    <x:row r="2002">
      <x:c r="A2002" s="31"/>
      <x:c r="B2002" s="31"/>
      <x:c r="C2002" s="31"/>
      <x:c r="D2002" s="31" t="n">
        <x:v>1998</x:v>
      </x:c>
      <x:c r="E2002" s="42" t="n">
        <x:v>0.0011576318994137224</x:v>
      </x:c>
      <x:c r="F2002" s="42" t="n">
        <x:v>-0.009691291071750981</x:v>
      </x:c>
      <x:c r="G2002" s="43" t="n">
        <x:v>0.9868012736443383</x:v>
      </x:c>
      <x:c r="H2002" s="32" t="n">
        <x:v>1041216.7482134108</x:v>
      </x:c>
      <x:c r="I2002" s="50" t="b">
        <x:v>0</x:v>
      </x:c>
      <x:c r="J2002" s="50" t="b">
        <x:v>0</x:v>
      </x:c>
      <x:c r="K2002" s="31"/>
      <x:c r="L2002" s="31"/>
    </x:row>
    <x:row r="2003">
      <x:c r="A2003" s="31"/>
      <x:c r="B2003" s="31"/>
      <x:c r="C2003" s="31"/>
      <x:c r="D2003" s="31" t="n">
        <x:v>1999</x:v>
      </x:c>
      <x:c r="E2003" s="42" t="n">
        <x:v>-0.005967830540368774</x:v>
      </x:c>
      <x:c r="F2003" s="42" t="n">
        <x:v>-0.002033514743305364</x:v>
      </x:c>
      <x:c r="G2003" s="43" t="n">
        <x:v>1.010634479346757</x:v>
      </x:c>
      <x:c r="H2003" s="32" t="n">
        <x:v>848709.5398462693</x:v>
      </x:c>
      <x:c r="I2003" s="50" t="b">
        <x:v>1</x:v>
      </x:c>
      <x:c r="J2003" s="50" t="b">
        <x:v>0</x:v>
      </x:c>
      <x:c r="K2003" s="31"/>
      <x:c r="L2003" s="31"/>
    </x:row>
    <x:row r="2004">
      <x:c r="A2004" s="31"/>
      <x:c r="B2004" s="31"/>
      <x:c r="C2004" s="31"/>
      <x:c r="D2004" s="31" t="n">
        <x:v>2000</x:v>
      </x:c>
      <x:c r="E2004" s="42" t="n">
        <x:v>0.015509299253820046</x:v>
      </x:c>
      <x:c r="F2004" s="42" t="n">
        <x:v>-0.004024964013540269</x:v>
      </x:c>
      <x:c r="G2004" s="43" t="n">
        <x:v>1.0315126322571893</x:v>
      </x:c>
      <x:c r="H2004" s="32" t="n">
        <x:v>781443.7924009617</x:v>
      </x:c>
      <x:c r="I2004" s="50" t="b">
        <x:v>1</x:v>
      </x:c>
      <x:c r="J2004" s="50" t="b">
        <x:v>0</x:v>
      </x:c>
      <x:c r="K2004" s="31"/>
      <x:c r="L2004" s="31"/>
    </x:row>
  </x:sheetData>
  <x:mergeCells>
    <x:mergeCell ref="A1:L1"/>
    <x:mergeCell ref="A2:L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13" hidden="0" customWidth="1"/>
    <x:col min="3" max="3" width="10.380000114440918" hidden="0" customWidth="1"/>
    <x:col min="4" max="4" width="12.130000114440918" hidden="0" customWidth="1"/>
    <x:col min="5" max="5" width="10.5" hidden="0" customWidth="1"/>
    <x:col min="6" max="6" width="12.380000114440918" hidden="0" customWidth="1"/>
    <x:col min="7" max="7" width="10.380000114440918" hidden="0" customWidth="1"/>
    <x:col min="8" max="8" width="11.380000114440918" hidden="0" customWidth="1"/>
    <x:col min="9" max="9" width="9.880000114440918" hidden="0" customWidth="1"/>
    <x:col min="10" max="10" width="13.75" hidden="0" customWidth="1"/>
    <x:col min="11" max="11" width="10.880000114440918" hidden="0" customWidth="1"/>
    <x:col min="12" max="12" width="12.880000114440918" hidden="0" customWidth="1"/>
    <x:col min="13" max="13" width="11.25" hidden="0" customWidth="1"/>
    <x:col min="14" max="14" width="10.630000114440918" hidden="0" customWidth="1"/>
    <x:col min="15" max="15" width="5.25" hidden="0" customWidth="1"/>
    <x:col min="16" max="16" width="7.5" hidden="0" customWidth="1"/>
    <x:col min="17" max="17" width="10.380000114440918" hidden="0" customWidth="1"/>
  </x:cols>
  <x:sheetData>
    <x:row r="1">
      <x:c r="A1" s="51" t="str">
        <x:v>month</x:v>
      </x:c>
      <x:c r="B1" s="27" t="str">
        <x:v>budget_revenue</x:v>
      </x:c>
      <x:c r="C1" s="27" t="str">
        <x:v>budget_cogs</x:v>
      </x:c>
      <x:c r="D1" s="27" t="str">
        <x:v>budget_payroll</x:v>
      </x:c>
      <x:c r="E1" s="27" t="str">
        <x:v>budget_opex</x:v>
      </x:c>
      <x:c r="F1" s="27" t="str">
        <x:v>actual_revenue</x:v>
      </x:c>
      <x:c r="G1" s="27" t="str">
        <x:v>actual_cogs</x:v>
      </x:c>
      <x:c r="H1" s="27" t="str">
        <x:v>actual_payroll</x:v>
      </x:c>
      <x:c r="I1" s="27" t="str">
        <x:v>actual_opex</x:v>
      </x:c>
      <x:c r="J1" s="27" t="str">
        <x:v>forecast_revenue</x:v>
      </x:c>
      <x:c r="K1" s="27" t="str">
        <x:v>forecast_cogs</x:v>
      </x:c>
      <x:c r="L1" s="27" t="str">
        <x:v>forecast_payroll</x:v>
      </x:c>
      <x:c r="M1" s="27" t="str">
        <x:v>forecast_opex</x:v>
      </x:c>
      <x:c r="N1" s="27" t="str">
        <x:v>starting_cash</x:v>
      </x:c>
      <x:c r="O1" s="27" t="str">
        <x:v>capex</x:v>
      </x:c>
      <x:c r="P1" s="27" t="str">
        <x:v>financing</x:v>
      </x:c>
      <x:c r="Q1" s="27" t="str">
        <x:v>ending_cash</x:v>
      </x:c>
    </x:row>
    <x:row r="2">
      <x:c r="A2" s="31" t="n">
        <x:v>44927</x:v>
      </x:c>
      <x:c r="B2" s="31" t="n">
        <x:v>126075.48682926831</x:v>
      </x:c>
      <x:c r="C2" s="31" t="n">
        <x:v>23954.342497560978</x:v>
      </x:c>
      <x:c r="D2" s="31" t="n">
        <x:v>26049.440000000002</x:v>
      </x:c>
      <x:c r="E2" s="31" t="n">
        <x:v>179861.15</x:v>
      </x:c>
      <x:c r="F2" s="31" t="n">
        <x:v>129227.37400000001</x:v>
      </x:c>
      <x:c r="G2" s="31" t="n">
        <x:v>25139.068437545437</x:v>
      </x:c>
      <x:c r="H2" s="31" t="n">
        <x:v>25538.666666666668</x:v>
      </x:c>
      <x:c r="I2" s="31" t="n">
        <x:v>192394.77</x:v>
      </x:c>
      <x:c r="J2" s="31" t="n">
        <x:v>129227.37400000001</x:v>
      </x:c>
      <x:c r="K2" s="31" t="n">
        <x:v>25070.110556000003</x:v>
      </x:c>
      <x:c r="L2" s="31" t="n">
        <x:v>25538.666666666668</x:v>
      </x:c>
      <x:c r="M2" s="31" t="n">
        <x:v>179861.15</x:v>
      </x:c>
      <x:c r="N2" s="31" t="n">
        <x:v>18000000</x:v>
      </x:c>
      <x:c r="O2" s="31" t="n">
        <x:v>45000</x:v>
      </x:c>
      <x:c r="P2" s="31" t="n">
        <x:v>0</x:v>
      </x:c>
      <x:c r="Q2" s="31" t="n">
        <x:v>17853757.446777333</x:v>
      </x:c>
    </x:row>
    <x:row r="3">
      <x:c r="A3" s="31" t="n">
        <x:v>44958</x:v>
      </x:c>
      <x:c r="B3" s="31" t="n">
        <x:v>129969.06536585366</x:v>
      </x:c>
      <x:c r="C3" s="31" t="n">
        <x:v>24694.122419512198</x:v>
      </x:c>
      <x:c r="D3" s="31" t="n">
        <x:v>26049.440000000002</x:v>
      </x:c>
      <x:c r="E3" s="31" t="n">
        <x:v>182300.1</x:v>
      </x:c>
      <x:c r="F3" s="31" t="n">
        <x:v>133218.292</x:v>
      </x:c>
      <x:c r="G3" s="31" t="n">
        <x:v>26235.80744369323</x:v>
      </x:c>
      <x:c r="H3" s="31" t="n">
        <x:v>25538.666666666668</x:v>
      </x:c>
      <x:c r="I3" s="31" t="n">
        <x:v>189729.39</x:v>
      </x:c>
      <x:c r="J3" s="31" t="n">
        <x:v>133218.292</x:v>
      </x:c>
      <x:c r="K3" s="31" t="n">
        <x:v>26234.438880966183</x:v>
      </x:c>
      <x:c r="L3" s="31" t="n">
        <x:v>25538.666666666668</x:v>
      </x:c>
      <x:c r="M3" s="31" t="n">
        <x:v>182300.1</x:v>
      </x:c>
      <x:c r="N3" s="31" t="n">
        <x:v>17853757.446777333</x:v>
      </x:c>
      <x:c r="O3" s="31" t="n">
        <x:v>15000</x:v>
      </x:c>
      <x:c r="P3" s="31" t="n">
        <x:v>0</x:v>
      </x:c>
      <x:c r="Q3" s="31" t="n">
        <x:v>17737902.5332297</x:v>
      </x:c>
    </x:row>
    <x:row r="4">
      <x:c r="A4" s="31" t="n">
        <x:v>44986</x:v>
      </x:c>
      <x:c r="B4" s="31" t="n">
        <x:v>134014.04682926828</x:v>
      </x:c>
      <x:c r="C4" s="31" t="n">
        <x:v>25462.668897560972</x:v>
      </x:c>
      <x:c r="D4" s="31" t="n">
        <x:v>51808.52</x:v>
      </x:c>
      <x:c r="E4" s="31" t="n">
        <x:v>184756.91</x:v>
      </x:c>
      <x:c r="F4" s="31" t="n">
        <x:v>137364.398</x:v>
      </x:c>
      <x:c r="G4" s="31" t="n">
        <x:v>26942.87426197609</x:v>
      </x:c>
      <x:c r="H4" s="31" t="n">
        <x:v>50792.666666666664</x:v>
      </x:c>
      <x:c r="I4" s="31" t="n">
        <x:v>202374.15000000002</x:v>
      </x:c>
      <x:c r="J4" s="31" t="n">
        <x:v>137364.398</x:v>
      </x:c>
      <x:c r="K4" s="31" t="n">
        <x:v>27198.150803999997</x:v>
      </x:c>
      <x:c r="L4" s="31" t="n">
        <x:v>50792.666666666664</x:v>
      </x:c>
      <x:c r="M4" s="31" t="n">
        <x:v>184756.91</x:v>
      </x:c>
      <x:c r="N4" s="31" t="n">
        <x:v>17737902.5332297</x:v>
      </x:c>
      <x:c r="O4" s="31" t="n">
        <x:v>15000</x:v>
      </x:c>
      <x:c r="P4" s="31" t="n">
        <x:v>0</x:v>
      </x:c>
      <x:c r="Q4" s="31" t="n">
        <x:v>17597519.203759033</x:v>
      </x:c>
    </x:row>
    <x:row r="5">
      <x:c r="A5" s="31" t="n">
        <x:v>45017</x:v>
      </x:c>
      <x:c r="B5" s="31" t="n">
        <x:v>138500.1873170732</x:v>
      </x:c>
      <x:c r="C5" s="31" t="n">
        <x:v>26315.035590243908</x:v>
      </x:c>
      <x:c r="D5" s="31" t="n">
        <x:v>78355.72</x:v>
      </x:c>
      <x:c r="E5" s="31" t="n">
        <x:v>187265.71</x:v>
      </x:c>
      <x:c r="F5" s="31" t="n">
        <x:v>141962.692</x:v>
      </x:c>
      <x:c r="G5" s="31" t="n">
        <x:v>27766.614897090363</x:v>
      </x:c>
      <x:c r="H5" s="31" t="n">
        <x:v>76819.33333333333</x:v>
      </x:c>
      <x:c r="I5" s="31" t="n">
        <x:v>195793.90999999997</x:v>
      </x:c>
      <x:c r="J5" s="31" t="n">
        <x:v>141962.692</x:v>
      </x:c>
      <x:c r="K5" s="31" t="n">
        <x:v>27956.45786129301</x:v>
      </x:c>
      <x:c r="L5" s="31" t="n">
        <x:v>76819.33333333333</x:v>
      </x:c>
      <x:c r="M5" s="31" t="n">
        <x:v>187265.71</x:v>
      </x:c>
      <x:c r="N5" s="31" t="n">
        <x:v>17597519.203759033</x:v>
      </x:c>
      <x:c r="O5" s="31" t="n">
        <x:v>15000</x:v>
      </x:c>
      <x:c r="P5" s="31" t="n">
        <x:v>0</x:v>
      </x:c>
      <x:c r="Q5" s="31" t="n">
        <x:v>17432440.394564405</x:v>
      </x:c>
    </x:row>
    <x:row r="6">
      <x:c r="A6" s="31" t="n">
        <x:v>45047</x:v>
      </x:c>
      <x:c r="B6" s="31" t="n">
        <x:v>143082.9131707317</x:v>
      </x:c>
      <x:c r="C6" s="31" t="n">
        <x:v>27185.753502439027</x:v>
      </x:c>
      <x:c r="D6" s="31" t="n">
        <x:v>86952.44999999998</x:v>
      </x:c>
      <x:c r="E6" s="31" t="n">
        <x:v>189785.9</x:v>
      </x:c>
      <x:c r="F6" s="31" t="n">
        <x:v>146659.986</x:v>
      </x:c>
      <x:c r="G6" s="31" t="n">
        <x:v>28226.834987727336</x:v>
      </x:c>
      <x:c r="H6" s="31" t="n">
        <x:v>85247.49999999999</x:v>
      </x:c>
      <x:c r="I6" s="31" t="n">
        <x:v>194423.65</x:v>
      </x:c>
      <x:c r="J6" s="31" t="n">
        <x:v>146659.986</x:v>
      </x:c>
      <x:c r="K6" s="31" t="n">
        <x:v>28452.037284</x:v>
      </x:c>
      <x:c r="L6" s="31" t="n">
        <x:v>85247.49999999999</x:v>
      </x:c>
      <x:c r="M6" s="31" t="n">
        <x:v>189785.9</x:v>
      </x:c>
      <x:c r="N6" s="31" t="n">
        <x:v>17432440.394564405</x:v>
      </x:c>
      <x:c r="O6" s="31" t="n">
        <x:v>15000</x:v>
      </x:c>
      <x:c r="P6" s="31" t="n">
        <x:v>0</x:v>
      </x:c>
      <x:c r="Q6" s="31" t="n">
        <x:v>17260614.943280406</x:v>
      </x:c>
    </x:row>
    <x:row r="7">
      <x:c r="A7" s="31" t="n">
        <x:v>45078</x:v>
      </x:c>
      <x:c r="B7" s="31" t="n">
        <x:v>146438.7473170732</x:v>
      </x:c>
      <x:c r="C7" s="31" t="n">
        <x:v>27823.36199024391</x:v>
      </x:c>
      <x:c r="D7" s="31" t="n">
        <x:v>95943.23999999999</x:v>
      </x:c>
      <x:c r="E7" s="31" t="n">
        <x:v>192161.47</x:v>
      </x:c>
      <x:c r="F7" s="31" t="n">
        <x:v>150099.71600000001</x:v>
      </x:c>
      <x:c r="G7" s="31" t="n">
        <x:v>28137.588811688594</x:v>
      </x:c>
      <x:c r="H7" s="31" t="n">
        <x:v>94061.99999999999</x:v>
      </x:c>
      <x:c r="I7" s="31" t="n">
        <x:v>197565.34999999998</x:v>
      </x:c>
      <x:c r="J7" s="31" t="n">
        <x:v>150099.71600000001</x:v>
      </x:c>
      <x:c r="K7" s="31" t="n">
        <x:v>28518.946040000003</x:v>
      </x:c>
      <x:c r="L7" s="31" t="n">
        <x:v>94061.99999999999</x:v>
      </x:c>
      <x:c r="M7" s="31" t="n">
        <x:v>192161.47</x:v>
      </x:c>
      <x:c r="N7" s="31" t="n">
        <x:v>17260614.943280406</x:v>
      </x:c>
      <x:c r="O7" s="31" t="n">
        <x:v>15000</x:v>
      </x:c>
      <x:c r="P7" s="31" t="n">
        <x:v>0</x:v>
      </x:c>
      <x:c r="Q7" s="31" t="n">
        <x:v>17080972.243240405</x:v>
      </x:c>
    </x:row>
    <x:row r="8">
      <x:c r="A8" s="31" t="n">
        <x:v>45108</x:v>
      </x:c>
      <x:c r="B8" s="31" t="n">
        <x:v>151366.0468292683</x:v>
      </x:c>
      <x:c r="C8" s="31" t="n">
        <x:v>28759.548897560977</x:v>
      </x:c>
      <x:c r="D8" s="31" t="n">
        <x:v>107028.77</x:v>
      </x:c>
      <x:c r="E8" s="31" t="n">
        <x:v>194722.27000000002</x:v>
      </x:c>
      <x:c r="F8" s="31" t="n">
        <x:v>155150.198</x:v>
      </x:c>
      <x:c r="G8" s="31" t="n">
        <x:v>28697.49768090802</x:v>
      </x:c>
      <x:c r="H8" s="31" t="n">
        <x:v>104930.16666666667</x:v>
      </x:c>
      <x:c r="I8" s="31" t="n">
        <x:v>206306.94</x:v>
      </x:c>
      <x:c r="J8" s="31" t="n">
        <x:v>155150.198</x:v>
      </x:c>
      <x:c r="K8" s="31" t="n">
        <x:v>28857.936828</x:v>
      </x:c>
      <x:c r="L8" s="31" t="n">
        <x:v>104930.16666666667</x:v>
      </x:c>
      <x:c r="M8" s="31" t="n">
        <x:v>194722.27000000002</x:v>
      </x:c>
      <x:c r="N8" s="31" t="n">
        <x:v>17080972.243240405</x:v>
      </x:c>
      <x:c r="O8" s="31" t="n">
        <x:v>45000</x:v>
      </x:c>
      <x:c r="P8" s="31" t="n">
        <x:v>0</x:v>
      </x:c>
      <x:c r="Q8" s="31" t="n">
        <x:v>16862612.067745738</x:v>
      </x:c>
    </x:row>
    <x:row r="9">
      <x:c r="A9" s="31" t="n">
        <x:v>45139</x:v>
      </x:c>
      <x:c r="B9" s="31" t="n">
        <x:v>155507.6136585366</x:v>
      </x:c>
      <x:c r="C9" s="31" t="n">
        <x:v>29546.446595121954</x:v>
      </x:c>
      <x:c r="D9" s="31" t="n">
        <x:v>134260.39</x:v>
      </x:c>
      <x:c r="E9" s="31" t="n">
        <x:v>197190.46</x:v>
      </x:c>
      <x:c r="F9" s="31" t="n">
        <x:v>159395.304</x:v>
      </x:c>
      <x:c r="G9" s="31" t="n">
        <x:v>29096.198872689623</x:v>
      </x:c>
      <x:c r="H9" s="31" t="n">
        <x:v>131627.83333333334</x:v>
      </x:c>
      <x:c r="I9" s="31" t="n">
        <x:v>202968.04</x:v>
      </x:c>
      <x:c r="J9" s="31" t="n">
        <x:v>159395.304</x:v>
      </x:c>
      <x:c r="K9" s="31" t="n">
        <x:v>29180.784699936452</x:v>
      </x:c>
      <x:c r="L9" s="31" t="n">
        <x:v>131627.83333333334</x:v>
      </x:c>
      <x:c r="M9" s="31" t="n">
        <x:v>197190.46</x:v>
      </x:c>
      <x:c r="N9" s="31" t="n">
        <x:v>16862612.067745738</x:v>
      </x:c>
      <x:c r="O9" s="31" t="n">
        <x:v>15000</x:v>
      </x:c>
      <x:c r="P9" s="31" t="n">
        <x:v>0</x:v>
      </x:c>
      <x:c r="Q9" s="31" t="n">
        <x:v>16649008.293712469</x:v>
      </x:c>
    </x:row>
    <x:row r="10">
      <x:c r="A10" s="31" t="n">
        <x:v>45170</x:v>
      </x:c>
      <x:c r="B10" s="31" t="n">
        <x:v>158573.69170731708</x:v>
      </x:c>
      <x:c r="C10" s="31" t="n">
        <x:v>30129.001424390244</x:v>
      </x:c>
      <x:c r="D10" s="31" t="n">
        <x:v>191637.6</x:v>
      </x:c>
      <x:c r="E10" s="31" t="n">
        <x:v>199531.87</x:v>
      </x:c>
      <x:c r="F10" s="31" t="n">
        <x:v>162538.03399999999</x:v>
      </x:c>
      <x:c r="G10" s="31" t="n">
        <x:v>28745.25795203866</x:v>
      </x:c>
      <x:c r="H10" s="31" t="n">
        <x:v>187880</x:v>
      </x:c>
      <x:c r="I10" s="31" t="n">
        <x:v>201065.87</x:v>
      </x:c>
      <x:c r="J10" s="31" t="n">
        <x:v>162538.03399999999</x:v>
      </x:c>
      <x:c r="K10" s="31" t="n">
        <x:v>29581.922187999997</x:v>
      </x:c>
      <x:c r="L10" s="31" t="n">
        <x:v>187880</x:v>
      </x:c>
      <x:c r="M10" s="31" t="n">
        <x:v>199531.87</x:v>
      </x:c>
      <x:c r="N10" s="31" t="n">
        <x:v>16649008.293712469</x:v>
      </x:c>
      <x:c r="O10" s="31" t="n">
        <x:v>15000</x:v>
      </x:c>
      <x:c r="P10" s="31" t="n">
        <x:v>0</x:v>
      </x:c>
      <x:c r="Q10" s="31" t="n">
        <x:v>16379552.535524469</x:v>
      </x:c>
    </x:row>
    <x:row r="11">
      <x:c r="A11" s="31" t="n">
        <x:v>45200</x:v>
      </x:c>
      <x:c r="B11" s="31" t="n">
        <x:v>161984.34341463415</x:v>
      </x:c>
      <x:c r="C11" s="31" t="n">
        <x:v>30777.025248780486</x:v>
      </x:c>
      <x:c r="D11" s="31" t="n">
        <x:v>205958.57000000004</x:v>
      </x:c>
      <x:c r="E11" s="31" t="n">
        <x:v>201913.9</x:v>
      </x:c>
      <x:c r="F11" s="31" t="n">
        <x:v>166033.952</x:v>
      </x:c>
      <x:c r="G11" s="31" t="n">
        <x:v>30817.35790032903</x:v>
      </x:c>
      <x:c r="H11" s="31" t="n">
        <x:v>201920.1666666667</x:v>
      </x:c>
      <x:c r="I11" s="31" t="n">
        <x:v>211603.28000000003</x:v>
      </x:c>
      <x:c r="J11" s="31" t="n">
        <x:v>166033.952</x:v>
      </x:c>
      <x:c r="K11" s="31" t="n">
        <x:v>30396.13391741819</x:v>
      </x:c>
      <x:c r="L11" s="31" t="n">
        <x:v>201920.1666666667</x:v>
      </x:c>
      <x:c r="M11" s="31" t="n">
        <x:v>201913.9</x:v>
      </x:c>
      <x:c r="N11" s="31" t="n">
        <x:v>16379552.535524469</x:v>
      </x:c>
      <x:c r="O11" s="31" t="n">
        <x:v>15000</x:v>
      </x:c>
      <x:c r="P11" s="31" t="n">
        <x:v>0</x:v>
      </x:c>
      <x:c r="Q11" s="31" t="n">
        <x:v>16096356.286940385</x:v>
      </x:c>
    </x:row>
    <x:row r="12">
      <x:c r="A12" s="31" t="n">
        <x:v>45231</x:v>
      </x:c>
      <x:c r="B12" s="31" t="n">
        <x:v>166277.31317073174</x:v>
      </x:c>
      <x:c r="C12" s="31" t="n">
        <x:v>31592.68950243903</x:v>
      </x:c>
      <x:c r="D12" s="31" t="n">
        <x:v>219408.46000000002</x:v>
      </x:c>
      <x:c r="E12" s="31" t="n">
        <x:v>204399.94</x:v>
      </x:c>
      <x:c r="F12" s="31" t="n">
        <x:v>170434.246</x:v>
      </x:c>
      <x:c r="G12" s="31" t="n">
        <x:v>31873.22627343761</x:v>
      </x:c>
      <x:c r="H12" s="31" t="n">
        <x:v>215106.33333333334</x:v>
      </x:c>
      <x:c r="I12" s="31" t="n">
        <x:v>215453.89</x:v>
      </x:c>
      <x:c r="J12" s="31" t="n">
        <x:v>170434.246</x:v>
      </x:c>
      <x:c r="K12" s="31" t="n">
        <x:v>31700.769756</x:v>
      </x:c>
      <x:c r="L12" s="31" t="n">
        <x:v>215106.33333333334</x:v>
      </x:c>
      <x:c r="M12" s="31" t="n">
        <x:v>204399.94</x:v>
      </x:c>
      <x:c r="N12" s="31" t="n">
        <x:v>16096356.286940385</x:v>
      </x:c>
      <x:c r="O12" s="31" t="n">
        <x:v>15000</x:v>
      </x:c>
      <x:c r="P12" s="31" t="n">
        <x:v>0</x:v>
      </x:c>
      <x:c r="Q12" s="31" t="n">
        <x:v>15800583.489851052</x:v>
      </x:c>
    </x:row>
    <x:row r="13">
      <x:c r="A13" s="31" t="n">
        <x:v>45261</x:v>
      </x:c>
      <x:c r="B13" s="31" t="n">
        <x:v>170860.03902439028</x:v>
      </x:c>
      <x:c r="C13" s="31" t="n">
        <x:v>32463.407414634155</x:v>
      </x:c>
      <x:c r="D13" s="31" t="n">
        <x:v>219408.46000000002</x:v>
      </x:c>
      <x:c r="E13" s="31" t="n">
        <x:v>206920.13</x:v>
      </x:c>
      <x:c r="F13" s="31" t="n">
        <x:v>175131.54</x:v>
      </x:c>
      <x:c r="G13" s="31" t="n">
        <x:v>32882.099569894155</x:v>
      </x:c>
      <x:c r="H13" s="31" t="n">
        <x:v>215106.33333333334</x:v>
      </x:c>
      <x:c r="I13" s="31" t="n">
        <x:v>218920.39</x:v>
      </x:c>
      <x:c r="J13" s="31" t="n">
        <x:v>175131.54</x:v>
      </x:c>
      <x:c r="K13" s="31" t="n">
        <x:v>33274.992600000005</x:v>
      </x:c>
      <x:c r="L13" s="31" t="n">
        <x:v>215106.33333333334</x:v>
      </x:c>
      <x:c r="M13" s="31" t="n">
        <x:v>206920.13</x:v>
      </x:c>
      <x:c r="N13" s="31" t="n">
        <x:v>15800583.489851052</x:v>
      </x:c>
      <x:c r="O13" s="31" t="n">
        <x:v>15000</x:v>
      </x:c>
      <x:c r="P13" s="31" t="n">
        <x:v>0</x:v>
      </x:c>
      <x:c r="Q13" s="31" t="n">
        <x:v>15505413.573917719</x:v>
      </x:c>
    </x:row>
    <x:row r="14">
      <x:c r="A14" s="31" t="n">
        <x:v>45292</x:v>
      </x:c>
      <x:c r="B14" s="31" t="n">
        <x:v>181026.69620487807</x:v>
      </x:c>
      <x:c r="C14" s="31" t="n">
        <x:v>34395.07227892683</x:v>
      </x:c>
      <x:c r="D14" s="31" t="n">
        <x:v>233967.94</x:v>
      </x:c>
      <x:c r="E14" s="31" t="n">
        <x:v>210098.52000000002</x:v>
      </x:c>
      <x:c r="F14" s="31" t="n">
        <x:v>185552.36361</x:v>
      </x:c>
      <x:c r="G14" s="31" t="n">
        <x:v>35674.36360349156</x:v>
      </x:c>
      <x:c r="H14" s="31" t="n">
        <x:v>229380.33333333334</x:v>
      </x:c>
      <x:c r="I14" s="31" t="n">
        <x:v>227149.54000000004</x:v>
      </x:c>
      <x:c r="J14" s="31" t="n">
        <x:v>185552.36361</x:v>
      </x:c>
      <x:c r="K14" s="31" t="n">
        <x:v>35997.15854034</x:v>
      </x:c>
      <x:c r="L14" s="31" t="n">
        <x:v>229380.33333333334</x:v>
      </x:c>
      <x:c r="M14" s="31" t="n">
        <x:v>210098.52000000002</x:v>
      </x:c>
      <x:c r="N14" s="31" t="n">
        <x:v>15505413.573917719</x:v>
      </x:c>
      <x:c r="O14" s="31" t="n">
        <x:v>45000</x:v>
      </x:c>
      <x:c r="P14" s="31" t="n">
        <x:v>0</x:v>
      </x:c>
      <x:c r="Q14" s="31" t="n">
        <x:v>15170489.925654044</x:v>
      </x:c>
    </x:row>
    <x:row r="15">
      <x:c r="A15" s="31" t="n">
        <x:v>45323</x:v>
      </x:c>
      <x:c r="B15" s="31" t="n">
        <x:v>185669.8516097561</x:v>
      </x:c>
      <x:c r="C15" s="31" t="n">
        <x:v>35277.271805853656</x:v>
      </x:c>
      <x:c r="D15" s="31" t="n">
        <x:v>255340.51</x:v>
      </x:c>
      <x:c r="E15" s="31" t="n">
        <x:v>212625.83000000002</x:v>
      </x:c>
      <x:c r="F15" s="31" t="n">
        <x:v>190311.5979</x:v>
      </x:c>
      <x:c r="G15" s="31" t="n">
        <x:v>37214.34935992303</x:v>
      </x:c>
      <x:c r="H15" s="31" t="n">
        <x:v>250333.83333333334</x:v>
      </x:c>
      <x:c r="I15" s="31" t="n">
        <x:v>231262.74</x:v>
      </x:c>
      <x:c r="J15" s="31" t="n">
        <x:v>190311.5979</x:v>
      </x:c>
      <x:c r="K15" s="31" t="n">
        <x:v>37477.72102832967</x:v>
      </x:c>
      <x:c r="L15" s="31" t="n">
        <x:v>250333.83333333334</x:v>
      </x:c>
      <x:c r="M15" s="31" t="n">
        <x:v>212625.83000000002</x:v>
      </x:c>
      <x:c r="N15" s="31" t="n">
        <x:v>15170489.925654044</x:v>
      </x:c>
      <x:c r="O15" s="31" t="n">
        <x:v>15000</x:v>
      </x:c>
      <x:c r="P15" s="31" t="n">
        <x:v>0</x:v>
      </x:c>
      <x:c r="Q15" s="31" t="n">
        <x:v>14845364.139192382</x:v>
      </x:c>
    </x:row>
    <x:row r="16">
      <x:c r="A16" s="31" t="n">
        <x:v>45352</x:v>
      </x:c>
      <x:c r="B16" s="31" t="n">
        <x:v>191426.137902439</x:v>
      </x:c>
      <x:c r="C16" s="31" t="n">
        <x:v>36370.96620146341</x:v>
      </x:c>
      <x:c r="D16" s="31" t="n">
        <x:v>282520.27999999997</x:v>
      </x:c>
      <x:c r="E16" s="31" t="n">
        <x:v>215284.36</x:v>
      </x:c>
      <x:c r="F16" s="31" t="n">
        <x:v>196211.79134999996</x:v>
      </x:c>
      <x:c r="G16" s="31" t="n">
        <x:v>39598.54746943632</x:v>
      </x:c>
      <x:c r="H16" s="31" t="n">
        <x:v>276980.6666666666</x:v>
      </x:c>
      <x:c r="I16" s="31" t="n">
        <x:v>226317.15</x:v>
      </x:c>
      <x:c r="J16" s="31" t="n">
        <x:v>196211.79134999996</x:v>
      </x:c>
      <x:c r="K16" s="31" t="n">
        <x:v>38849.934687299996</x:v>
      </x:c>
      <x:c r="L16" s="31" t="n">
        <x:v>276980.6666666666</x:v>
      </x:c>
      <x:c r="M16" s="31" t="n">
        <x:v>215284.36</x:v>
      </x:c>
      <x:c r="N16" s="31" t="n">
        <x:v>14845364.139192382</x:v>
      </x:c>
      <x:c r="O16" s="31" t="n">
        <x:v>15000</x:v>
      </x:c>
      <x:c r="P16" s="31" t="n">
        <x:v>0</x:v>
      </x:c>
      <x:c r="Q16" s="31" t="n">
        <x:v>14495460.969188415</x:v>
      </x:c>
    </x:row>
    <x:row r="17">
      <x:c r="A17" s="31" t="n">
        <x:v>45383</x:v>
      </x:c>
      <x:c r="B17" s="31" t="n">
        <x:v>198372.71458536587</x:v>
      </x:c>
      <x:c r="C17" s="31" t="n">
        <x:v>37690.81577121952</x:v>
      </x:c>
      <x:c r="D17" s="31" t="n">
        <x:v>321428.51999999996</x:v>
      </x:c>
      <x:c r="E17" s="31" t="n">
        <x:v>218083.18</x:v>
      </x:c>
      <x:c r="F17" s="31" t="n">
        <x:v>203332.03245</x:v>
      </x:c>
      <x:c r="G17" s="31" t="n">
        <x:v>40863.809971661925</x:v>
      </x:c>
      <x:c r="H17" s="31" t="n">
        <x:v>315125.99999999994</x:v>
      </x:c>
      <x:c r="I17" s="31" t="n">
        <x:v>232065.56999999998</x:v>
      </x:c>
      <x:c r="J17" s="31" t="n">
        <x:v>203332.03245</x:v>
      </x:c>
      <x:c r="K17" s="31" t="n">
        <x:v>40041.81180953857</x:v>
      </x:c>
      <x:c r="L17" s="31" t="n">
        <x:v>315125.99999999994</x:v>
      </x:c>
      <x:c r="M17" s="31" t="n">
        <x:v>218083.18</x:v>
      </x:c>
      <x:c r="N17" s="31" t="n">
        <x:v>14495460.969188415</x:v>
      </x:c>
      <x:c r="O17" s="31" t="n">
        <x:v>15000</x:v>
      </x:c>
      <x:c r="P17" s="31" t="n">
        <x:v>0</x:v>
      </x:c>
      <x:c r="Q17" s="31" t="n">
        <x:v>14110542.009828877</x:v>
      </x:c>
    </x:row>
    <x:row r="18">
      <x:c r="A18" s="31" t="n">
        <x:v>45413</x:v>
      </x:c>
      <x:c r="B18" s="31" t="n">
        <x:v>204562.7941170732</x:v>
      </x:c>
      <x:c r="C18" s="31" t="n">
        <x:v>38866.93088224391</x:v>
      </x:c>
      <x:c r="D18" s="31" t="n">
        <x:v>333706.6</x:v>
      </x:c>
      <x:c r="E18" s="31" t="n">
        <x:v>220792.84</x:v>
      </x:c>
      <x:c r="F18" s="31" t="n">
        <x:v>209676.86397</x:v>
      </x:c>
      <x:c r="G18" s="31" t="n">
        <x:v>41465.41311844422</x:v>
      </x:c>
      <x:c r="H18" s="31" t="n">
        <x:v>327163.3333333333</x:v>
      </x:c>
      <x:c r="I18" s="31" t="n">
        <x:v>232938.48000000004</x:v>
      </x:c>
      <x:c r="J18" s="31" t="n">
        <x:v>209676.86397</x:v>
      </x:c>
      <x:c r="K18" s="31" t="n">
        <x:v>40677.311610180004</x:v>
      </x:c>
      <x:c r="L18" s="31" t="n">
        <x:v>327163.3333333333</x:v>
      </x:c>
      <x:c r="M18" s="31" t="n">
        <x:v>220792.84</x:v>
      </x:c>
      <x:c r="N18" s="31" t="n">
        <x:v>14110542.009828877</x:v>
      </x:c>
      <x:c r="O18" s="31" t="n">
        <x:v>15000</x:v>
      </x:c>
      <x:c r="P18" s="31" t="n">
        <x:v>0</x:v>
      </x:c>
      <x:c r="Q18" s="31" t="n">
        <x:v>13716585.388855364</x:v>
      </x:c>
    </x:row>
    <x:row r="19">
      <x:c r="A19" s="31" t="n">
        <x:v>45444</x:v>
      </x:c>
      <x:c r="B19" s="31" t="n">
        <x:v>211722.80900487804</x:v>
      </x:c>
      <x:c r="C19" s="31" t="n">
        <x:v>40227.33371092683</x:v>
      </x:c>
      <x:c r="D19" s="31" t="n">
        <x:v>344024.75</x:v>
      </x:c>
      <x:c r="E19" s="31" t="n">
        <x:v>223616.83000000002</x:v>
      </x:c>
      <x:c r="F19" s="31" t="n">
        <x:v>217015.87922999996</x:v>
      </x:c>
      <x:c r="G19" s="31" t="n">
        <x:v>41958.839938419434</x:v>
      </x:c>
      <x:c r="H19" s="31" t="n">
        <x:v>337279.1666666667</x:v>
      </x:c>
      <x:c r="I19" s="31" t="n">
        <x:v>229814.69</x:v>
      </x:c>
      <x:c r="J19" s="31" t="n">
        <x:v>217015.87922999996</x:v>
      </x:c>
      <x:c r="K19" s="31" t="n">
        <x:v>41233.017053699994</x:v>
      </x:c>
      <x:c r="L19" s="31" t="n">
        <x:v>337279.1666666667</x:v>
      </x:c>
      <x:c r="M19" s="31" t="n">
        <x:v>223616.83000000002</x:v>
      </x:c>
      <x:c r="N19" s="31" t="n">
        <x:v>13716585.388855364</x:v>
      </x:c>
      <x:c r="O19" s="31" t="n">
        <x:v>15000</x:v>
      </x:c>
      <x:c r="P19" s="31" t="n">
        <x:v>0</x:v>
      </x:c>
      <x:c r="Q19" s="31" t="n">
        <x:v>13316472.254364997</x:v>
      </x:c>
    </x:row>
    <x:row r="20">
      <x:c r="A20" s="31" t="n">
        <x:v>45474</x:v>
      </x:c>
      <x:c r="B20" s="31" t="n">
        <x:v>218312.75195121954</x:v>
      </x:c>
      <x:c r="C20" s="31" t="n">
        <x:v>41479.422870731716</x:v>
      </x:c>
      <x:c r="D20" s="31" t="n">
        <x:v>344024.75</x:v>
      </x:c>
      <x:c r="E20" s="31" t="n">
        <x:v>226373.62</x:v>
      </x:c>
      <x:c r="F20" s="31" t="n">
        <x:v>223770.57075</x:v>
      </x:c>
      <x:c r="G20" s="31" t="n">
        <x:v>41667.033940117464</x:v>
      </x:c>
      <x:c r="H20" s="31" t="n">
        <x:v>337279.1666666667</x:v>
      </x:c>
      <x:c r="I20" s="31" t="n">
        <x:v>239949.09999999998</x:v>
      </x:c>
      <x:c r="J20" s="31" t="n">
        <x:v>223770.57075</x:v>
      </x:c>
      <x:c r="K20" s="31" t="n">
        <x:v>41621.3261595</x:v>
      </x:c>
      <x:c r="L20" s="31" t="n">
        <x:v>337279.1666666667</x:v>
      </x:c>
      <x:c r="M20" s="31" t="n">
        <x:v>226373.62</x:v>
      </x:c>
      <x:c r="N20" s="31" t="n">
        <x:v>13316472.254364997</x:v>
      </x:c>
      <x:c r="O20" s="31" t="n">
        <x:v>45000</x:v>
      </x:c>
      <x:c r="P20" s="31" t="n">
        <x:v>0</x:v>
      </x:c>
      <x:c r="Q20" s="31" t="n">
        <x:v>12889968.71228883</x:v>
      </x:c>
    </x:row>
    <x:row r="21">
      <x:c r="A21" s="31" t="n">
        <x:v>45505</x:v>
      </x:c>
      <x:c r="B21" s="31" t="n">
        <x:v>224859.46521951223</x:v>
      </x:c>
      <x:c r="C21" s="31" t="n">
        <x:v>42723.29839170732</x:v>
      </x:c>
      <x:c r="D21" s="31" t="n">
        <x:v>367958.7099999999</x:v>
      </x:c>
      <x:c r="E21" s="31" t="n">
        <x:v>229125.31</x:v>
      </x:c>
      <x:c r="F21" s="31" t="n">
        <x:v>230480.95185</x:v>
      </x:c>
      <x:c r="G21" s="31" t="n">
        <x:v>42213.58835608775</x:v>
      </x:c>
      <x:c r="H21" s="31" t="n">
        <x:v>360743.83333333326</x:v>
      </x:c>
      <x:c r="I21" s="31" t="n">
        <x:v>241409.99000000002</x:v>
      </x:c>
      <x:c r="J21" s="31" t="n">
        <x:v>230480.95185</x:v>
      </x:c>
      <x:c r="K21" s="31" t="n">
        <x:v>42194.56197637586</x:v>
      </x:c>
      <x:c r="L21" s="31" t="n">
        <x:v>360743.83333333326</x:v>
      </x:c>
      <x:c r="M21" s="31" t="n">
        <x:v>229125.31</x:v>
      </x:c>
      <x:c r="N21" s="31" t="n">
        <x:v>12889968.71228883</x:v>
      </x:c>
      <x:c r="O21" s="31" t="n">
        <x:v>15000</x:v>
      </x:c>
      <x:c r="P21" s="31" t="n">
        <x:v>0</x:v>
      </x:c>
      <x:c r="Q21" s="31" t="n">
        <x:v>12473385.958829122</x:v>
      </x:c>
    </x:row>
    <x:row r="22">
      <x:c r="A22" s="31" t="n">
        <x:v>45536</x:v>
      </x:c>
      <x:c r="B22" s="31" t="n">
        <x:v>230115.92224390246</x:v>
      </x:c>
      <x:c r="C22" s="31" t="n">
        <x:v>43722.025226341466</x:v>
      </x:c>
      <x:c r="D22" s="31" t="n">
        <x:v>394931.0799999999</x:v>
      </x:c>
      <x:c r="E22" s="31" t="n">
        <x:v>231724.91</x:v>
      </x:c>
      <x:c r="F22" s="31" t="n">
        <x:v>235868.8203</x:v>
      </x:c>
      <x:c r="G22" s="31" t="n">
        <x:v>42288.93671903918</x:v>
      </x:c>
      <x:c r="H22" s="31" t="n">
        <x:v>387187.33333333326</x:v>
      </x:c>
      <x:c r="I22" s="31" t="n">
        <x:v>238841.78999999998</x:v>
      </x:c>
      <x:c r="J22" s="31" t="n">
        <x:v>235868.8203</x:v>
      </x:c>
      <x:c r="K22" s="31" t="n">
        <x:v>42928.125294599995</x:v>
      </x:c>
      <x:c r="L22" s="31" t="n">
        <x:v>387187.33333333326</x:v>
      </x:c>
      <x:c r="M22" s="31" t="n">
        <x:v>231724.91</x:v>
      </x:c>
      <x:c r="N22" s="31" t="n">
        <x:v>12473385.958829122</x:v>
      </x:c>
      <x:c r="O22" s="31" t="n">
        <x:v>15000</x:v>
      </x:c>
      <x:c r="P22" s="31" t="n">
        <x:v>4000000</x:v>
      </x:c>
      <x:c r="Q22" s="31" t="n">
        <x:v>16032414.410501188</x:v>
      </x:c>
    </x:row>
    <x:row r="23">
      <x:c r="A23" s="31" t="n">
        <x:v>45566</x:v>
      </x:c>
      <x:c r="B23" s="31" t="n">
        <x:v>235572.31097560975</x:v>
      </x:c>
      <x:c r="C23" s="31" t="n">
        <x:v>44758.73908536585</x:v>
      </x:c>
      <x:c r="D23" s="31" t="n">
        <x:v>412715.62999999995</x:v>
      </x:c>
      <x:c r="E23" s="31" t="n">
        <x:v>234348.09</x:v>
      </x:c>
      <x:c r="F23" s="31" t="n">
        <x:v>241461.61874999997</x:v>
      </x:c>
      <x:c r="G23" s="31" t="n">
        <x:v>45011.047249348034</x:v>
      </x:c>
      <x:c r="H23" s="31" t="n">
        <x:v>404623.1666666666</x:v>
      </x:c>
      <x:c r="I23" s="31" t="n">
        <x:v>250321.82999999996</x:v>
      </x:c>
      <x:c r="J23" s="31" t="n">
        <x:v>241461.61874999997</x:v>
      </x:c>
      <x:c r="K23" s="31" t="n">
        <x:v>44204.81239548869</x:v>
      </x:c>
      <x:c r="L23" s="31" t="n">
        <x:v>404623.1666666666</x:v>
      </x:c>
      <x:c r="M23" s="31" t="n">
        <x:v>234348.09</x:v>
      </x:c>
      <x:c r="N23" s="31" t="n">
        <x:v>16032414.410501188</x:v>
      </x:c>
      <x:c r="O23" s="31" t="n">
        <x:v>15000</x:v>
      </x:c>
      <x:c r="P23" s="31" t="n">
        <x:v>0</x:v>
      </x:c>
      <x:c r="Q23" s="31" t="n">
        <x:v>15575699.960189031</x:v>
      </x:c>
    </x:row>
    <x:row r="24">
      <x:c r="A24" s="31" t="n">
        <x:v>45597</x:v>
      </x:c>
      <x:c r="B24" s="31" t="n">
        <x:v>240928.73385365852</x:v>
      </x:c>
      <x:c r="C24" s="31" t="n">
        <x:v>45776.459432195115</x:v>
      </x:c>
      <x:c r="D24" s="31" t="n">
        <x:v>412715.62999999995</x:v>
      </x:c>
      <x:c r="E24" s="31" t="n">
        <x:v>236959.47</x:v>
      </x:c>
      <x:c r="F24" s="31" t="n">
        <x:v>246951.95219999997</x:v>
      </x:c>
      <x:c r="G24" s="31" t="n">
        <x:v>45863.13570836223</x:v>
      </x:c>
      <x:c r="H24" s="31" t="n">
        <x:v>404623.1666666666</x:v>
      </x:c>
      <x:c r="I24" s="31" t="n">
        <x:v>248775.41000000003</x:v>
      </x:c>
      <x:c r="J24" s="31" t="n">
        <x:v>246951.95219999997</x:v>
      </x:c>
      <x:c r="K24" s="31" t="n">
        <x:v>45933.0631092</x:v>
      </x:c>
      <x:c r="L24" s="31" t="n">
        <x:v>404623.1666666666</x:v>
      </x:c>
      <x:c r="M24" s="31" t="n">
        <x:v>236959.47</x:v>
      </x:c>
      <x:c r="N24" s="31" t="n">
        <x:v>15575699.960189031</x:v>
      </x:c>
      <x:c r="O24" s="31" t="n">
        <x:v>15000</x:v>
      </x:c>
      <x:c r="P24" s="31" t="n">
        <x:v>0</x:v>
      </x:c>
      <x:c r="Q24" s="31" t="n">
        <x:v>15120136.212613165</x:v>
      </x:c>
    </x:row>
    <x:row r="25">
      <x:c r="A25" s="31" t="n">
        <x:v>45627</x:v>
      </x:c>
      <x:c r="B25" s="31" t="n">
        <x:v>246028.48884878046</x:v>
      </x:c>
      <x:c r="C25" s="31" t="n">
        <x:v>46745.41288126829</x:v>
      </x:c>
      <x:c r="D25" s="31" t="n">
        <x:v>429577.24999999994</x:v>
      </x:c>
      <x:c r="E25" s="31" t="n">
        <x:v>239540.61</x:v>
      </x:c>
      <x:c r="F25" s="31" t="n">
        <x:v>252179.20106999995</x:v>
      </x:c>
      <x:c r="G25" s="31" t="n">
        <x:v>45893.16050926437</x:v>
      </x:c>
      <x:c r="H25" s="31" t="n">
        <x:v>421154.1666666666</x:v>
      </x:c>
      <x:c r="I25" s="31" t="n">
        <x:v>259584.24000000002</x:v>
      </x:c>
      <x:c r="J25" s="31" t="n">
        <x:v>252179.20106999995</x:v>
      </x:c>
      <x:c r="K25" s="31" t="n">
        <x:v>47914.04820329999</x:v>
      </x:c>
      <x:c r="L25" s="31" t="n">
        <x:v>421154.1666666666</x:v>
      </x:c>
      <x:c r="M25" s="31" t="n">
        <x:v>239540.61</x:v>
      </x:c>
      <x:c r="N25" s="31" t="n">
        <x:v>15120136.212613165</x:v>
      </x:c>
      <x:c r="O25" s="31" t="n">
        <x:v>15000</x:v>
      </x:c>
      <x:c r="P25" s="31" t="n">
        <x:v>0</x:v>
      </x:c>
      <x:c r="Q25" s="31" t="n">
        <x:v>14648706.588813199</x:v>
      </x:c>
    </x:row>
    <x:row r="26">
      <x:c r="A26" s="31" t="n">
        <x:v>45658</x:v>
      </x:c>
      <x:c r="B26" s="31" t="n">
        <x:v>261725.72816678052</x:v>
      </x:c>
      <x:c r="C26" s="31" t="n">
        <x:v>49727.8883516883</x:v>
      </x:c>
      <x:c r="D26" s="31" t="n">
        <x:v>444831.5199999999</x:v>
      </x:c>
      <x:c r="E26" s="31" t="n">
        <x:v>243370.91999999998</x:v>
      </x:c>
      <x:c r="F26" s="31" t="n">
        <x:v>268268.87137095</x:v>
      </x:c>
      <x:c r="G26" s="31" t="n">
        <x:v>54201.75599118696</x:v>
      </x:c>
      <x:c r="H26" s="31" t="n">
        <x:v>436109.33333333326</x:v>
      </x:c>
      <x:c r="I26" s="31" t="n">
        <x:v>252720.84</x:v>
      </x:c>
      <x:c r="J26" s="31" t="n">
        <x:v>268268.87137095</x:v>
      </x:c>
      <x:c r="K26" s="31" t="n">
        <x:v>52044.161045964305</x:v>
      </x:c>
      <x:c r="L26" s="31" t="n">
        <x:v>436109.33333333326</x:v>
      </x:c>
      <x:c r="M26" s="31" t="n">
        <x:v>243370.91999999998</x:v>
      </x:c>
      <x:c r="N26" s="31" t="n">
        <x:v>14648706.588813199</x:v>
      </x:c>
      <x:c r="O26" s="31" t="n">
        <x:v>45000</x:v>
      </x:c>
      <x:c r="P26" s="31" t="n">
        <x:v>0</x:v>
      </x:c>
      <x:c r="Q26" s="31" t="n">
        <x:v>14140451.04580485</x:v>
      </x:c>
    </x:row>
    <x:row r="27">
      <x:c r="A27" s="31" t="n">
        <x:v>45689</x:v>
      </x:c>
      <x:c r="B27" s="31" t="n">
        <x:v>269608.924151561</x:v>
      </x:c>
      <x:c r="C27" s="31" t="n">
        <x:v>51225.69558879659</x:v>
      </x:c>
      <x:c r="D27" s="31" t="n">
        <x:v>494140.87</x:v>
      </x:c>
      <x:c r="E27" s="31" t="n">
        <x:v>246280.15</x:v>
      </x:c>
      <x:c r="F27" s="31" t="n">
        <x:v>276349.14725534996</x:v>
      </x:c>
      <x:c r="G27" s="31" t="n">
        <x:v>53750.62645092381</x:v>
      </x:c>
      <x:c r="H27" s="31" t="n">
        <x:v>484451.8333333333</x:v>
      </x:c>
      <x:c r="I27" s="31" t="n">
        <x:v>255015.49000000002</x:v>
      </x:c>
      <x:c r="J27" s="31" t="n">
        <x:v>276349.14725534996</x:v>
      </x:c>
      <x:c r="K27" s="31" t="n">
        <x:v>54420.94103321489</x:v>
      </x:c>
      <x:c r="L27" s="31" t="n">
        <x:v>484451.8333333333</x:v>
      </x:c>
      <x:c r="M27" s="31" t="n">
        <x:v>246280.15</x:v>
      </x:c>
      <x:c r="N27" s="31" t="n">
        <x:v>14140451.04580485</x:v>
      </x:c>
      <x:c r="O27" s="31" t="n">
        <x:v>15000</x:v>
      </x:c>
      <x:c r="P27" s="31" t="n">
        <x:v>0</x:v>
      </x:c>
      <x:c r="Q27" s="31" t="n">
        <x:v>13616647.268693652</x:v>
      </x:c>
    </x:row>
    <x:row r="28">
      <x:c r="A28" s="31" t="n">
        <x:v>45717</x:v>
      </x:c>
      <x:c r="B28" s="31" t="n">
        <x:v>278275.09468785365</x:v>
      </x:c>
      <x:c r="C28" s="31" t="n">
        <x:v>52872.26799069219</x:v>
      </x:c>
      <x:c r="D28" s="31" t="n">
        <x:v>505744.89999999997</x:v>
      </x:c>
      <x:c r="E28" s="31" t="n">
        <x:v>249281.68</x:v>
      </x:c>
      <x:c r="F28" s="31" t="n">
        <x:v>285231.97205504996</x:v>
      </x:c>
      <x:c r="G28" s="31" t="n">
        <x:v>57632.75825424839</x:v>
      </x:c>
      <x:c r="H28" s="31" t="n">
        <x:v>495828.3333333333</x:v>
      </x:c>
      <x:c r="I28" s="31" t="n">
        <x:v>263464.18</x:v>
      </x:c>
      <x:c r="J28" s="31" t="n">
        <x:v>285231.97205504996</x:v>
      </x:c>
      <x:c r="K28" s="31" t="n">
        <x:v>56475.930466899896</x:v>
      </x:c>
      <x:c r="L28" s="31" t="n">
        <x:v>495828.3333333333</x:v>
      </x:c>
      <x:c r="M28" s="31" t="n">
        <x:v>249281.68</x:v>
      </x:c>
      <x:c r="N28" s="31" t="n">
        <x:v>13616647.268693652</x:v>
      </x:c>
      <x:c r="O28" s="31" t="n">
        <x:v>15000</x:v>
      </x:c>
      <x:c r="P28" s="31" t="n">
        <x:v>0</x:v>
      </x:c>
      <x:c r="Q28" s="31" t="n">
        <x:v>13085293.296948468</x:v>
      </x:c>
    </x:row>
    <x:row r="29">
      <x:c r="A29" s="31" t="n">
        <x:v>45748</x:v>
      </x:c>
      <x:c r="B29" s="31" t="n">
        <x:v>285547.1280699512</x:v>
      </x:c>
      <x:c r="C29" s="31" t="n">
        <x:v>54253.95433329073</x:v>
      </x:c>
      <x:c r="D29" s="31" t="n">
        <x:v>517234.8599999999</x:v>
      </x:c>
      <x:c r="E29" s="31" t="n">
        <x:v>252118.87</x:v>
      </x:c>
      <x:c r="F29" s="31" t="n">
        <x:v>292685.80627169996</x:v>
      </x:c>
      <x:c r="G29" s="31" t="n">
        <x:v>57182.55781998742</x:v>
      </x:c>
      <x:c r="H29" s="31" t="n">
        <x:v>507092.99999999994</x:v>
      </x:c>
      <x:c r="I29" s="31" t="n">
        <x:v>265889.16000000003</x:v>
      </x:c>
      <x:c r="J29" s="31" t="n">
        <x:v>292685.80627169996</x:v>
      </x:c>
      <x:c r="K29" s="31" t="n">
        <x:v>57638.08994009038</x:v>
      </x:c>
      <x:c r="L29" s="31" t="n">
        <x:v>507092.99999999994</x:v>
      </x:c>
      <x:c r="M29" s="31" t="n">
        <x:v>252118.87</x:v>
      </x:c>
      <x:c r="N29" s="31" t="n">
        <x:v>13085293.296948468</x:v>
      </x:c>
      <x:c r="O29" s="31" t="n">
        <x:v>15000</x:v>
      </x:c>
      <x:c r="P29" s="31" t="n">
        <x:v>0</x:v>
      </x:c>
      <x:c r="Q29" s="31" t="n">
        <x:v>12546129.143280078</x:v>
      </x:c>
    </x:row>
    <x:row r="30">
      <x:c r="A30" s="31" t="n">
        <x:v>45778</x:v>
      </x:c>
      <x:c r="B30" s="31" t="n">
        <x:v>295010.2523827317</x:v>
      </x:c>
      <x:c r="C30" s="31" t="n">
        <x:v>56051.94795271903</x:v>
      </x:c>
      <x:c r="D30" s="31" t="n">
        <x:v>517234.8599999999</x:v>
      </x:c>
      <x:c r="E30" s="31" t="n">
        <x:v>255214.33000000002</x:v>
      </x:c>
      <x:c r="F30" s="31" t="n">
        <x:v>302385.50869229995</x:v>
      </x:c>
      <x:c r="G30" s="31" t="n">
        <x:v>60132.05305201214</x:v>
      </x:c>
      <x:c r="H30" s="31" t="n">
        <x:v>507092.99999999994</x:v>
      </x:c>
      <x:c r="I30" s="31" t="n">
        <x:v>272099.93</x:v>
      </x:c>
      <x:c r="J30" s="31" t="n">
        <x:v>302385.50869229995</x:v>
      </x:c>
      <x:c r="K30" s="31" t="n">
        <x:v>58662.788686306194</x:v>
      </x:c>
      <x:c r="L30" s="31" t="n">
        <x:v>507092.99999999994</x:v>
      </x:c>
      <x:c r="M30" s="31" t="n">
        <x:v>255214.33000000002</x:v>
      </x:c>
      <x:c r="N30" s="31" t="n">
        <x:v>12546129.143280078</x:v>
      </x:c>
      <x:c r="O30" s="31" t="n">
        <x:v>15000</x:v>
      </x:c>
      <x:c r="P30" s="31" t="n">
        <x:v>0</x:v>
      </x:c>
      <x:c r="Q30" s="31" t="n">
        <x:v>12012544.533286072</x:v>
      </x:c>
    </x:row>
    <x:row r="31">
      <x:c r="A31" s="31" t="n">
        <x:v>45809</x:v>
      </x:c>
      <x:c r="B31" s="31" t="n">
        <x:v>302975.77488278045</x:v>
      </x:c>
      <x:c r="C31" s="31" t="n">
        <x:v>57565.39722772829</x:v>
      </x:c>
      <x:c r="D31" s="31" t="n">
        <x:v>517234.8599999999</x:v>
      </x:c>
      <x:c r="E31" s="31" t="n">
        <x:v>258133.27</x:v>
      </x:c>
      <x:c r="F31" s="31" t="n">
        <x:v>310550.16925484996</x:v>
      </x:c>
      <x:c r="G31" s="31" t="n">
        <x:v>57409.99841763445</x:v>
      </x:c>
      <x:c r="H31" s="31" t="n">
        <x:v>507092.99999999994</x:v>
      </x:c>
      <x:c r="I31" s="31" t="n">
        <x:v>274695.89999999997</x:v>
      </x:c>
      <x:c r="J31" s="31" t="n">
        <x:v>310550.16925484996</x:v>
      </x:c>
      <x:c r="K31" s="31" t="n">
        <x:v>59004.53215842149</x:v>
      </x:c>
      <x:c r="L31" s="31" t="n">
        <x:v>507092.99999999994</x:v>
      </x:c>
      <x:c r="M31" s="31" t="n">
        <x:v>258133.27</x:v>
      </x:c>
      <x:c r="N31" s="31" t="n">
        <x:v>12012544.533286072</x:v>
      </x:c>
      <x:c r="O31" s="31" t="n">
        <x:v>15000</x:v>
      </x:c>
      <x:c r="P31" s="31" t="n">
        <x:v>0</x:v>
      </x:c>
      <x:c r="Q31" s="31" t="n">
        <x:v>11483863.9003825</x:v>
      </x:c>
    </x:row>
    <x:row r="32">
      <x:c r="A32" s="31" t="n">
        <x:v>45839</x:v>
      </x:c>
      <x:c r="B32" s="31" t="n">
        <x:v>311103.4839831219</x:v>
      </x:c>
      <x:c r="C32" s="31" t="n">
        <x:v>59109.66195679317</x:v>
      </x:c>
      <x:c r="D32" s="31" t="n">
        <x:v>517234.8599999999</x:v>
      </x:c>
      <x:c r="E32" s="31" t="n">
        <x:v>261071.32</x:v>
      </x:c>
      <x:c r="F32" s="31" t="n">
        <x:v>318881.0710826999</x:v>
      </x:c>
      <x:c r="G32" s="31" t="n">
        <x:v>58245.55772189688</x:v>
      </x:c>
      <x:c r="H32" s="31" t="n">
        <x:v>507092.99999999994</x:v>
      </x:c>
      <x:c r="I32" s="31" t="n">
        <x:v>271421.79</x:v>
      </x:c>
      <x:c r="J32" s="31" t="n">
        <x:v>318881.0710826999</x:v>
      </x:c>
      <x:c r="K32" s="31" t="n">
        <x:v>59311.87922138219</x:v>
      </x:c>
      <x:c r="L32" s="31" t="n">
        <x:v>507092.99999999994</x:v>
      </x:c>
      <x:c r="M32" s="31" t="n">
        <x:v>261071.32</x:v>
      </x:c>
      <x:c r="N32" s="31" t="n">
        <x:v>11483863.9003825</x:v>
      </x:c>
      <x:c r="O32" s="31" t="n">
        <x:v>45000</x:v>
      </x:c>
      <x:c r="P32" s="31" t="n">
        <x:v>0</x:v>
      </x:c>
      <x:c r="Q32" s="31" t="n">
        <x:v>10930268.772243818</x:v>
      </x:c>
    </x:row>
    <x:row r="33">
      <x:c r="A33" s="31" t="n">
        <x:v>45870</x:v>
      </x:c>
      <x:c r="B33" s="31" t="n">
        <x:v>318765.77142585366</x:v>
      </x:c>
      <x:c r="C33" s="31" t="n">
        <x:v>60565.4965709122</x:v>
      </x:c>
      <x:c r="D33" s="31" t="n">
        <x:v>517234.8599999999</x:v>
      </x:c>
      <x:c r="E33" s="31" t="n">
        <x:v>263954.52</x:v>
      </x:c>
      <x:c r="F33" s="31" t="n">
        <x:v>326734.9157115</x:v>
      </x:c>
      <x:c r="G33" s="31" t="n">
        <x:v>61102.39245182915</x:v>
      </x:c>
      <x:c r="H33" s="31" t="n">
        <x:v>507092.99999999994</x:v>
      </x:c>
      <x:c r="I33" s="31" t="n">
        <x:v>271270.20999999996</x:v>
      </x:c>
      <x:c r="J33" s="31" t="n">
        <x:v>326734.9157115</x:v>
      </x:c>
      <x:c r="K33" s="31" t="n">
        <x:v>59815.948086708784</x:v>
      </x:c>
      <x:c r="L33" s="31" t="n">
        <x:v>507092.99999999994</x:v>
      </x:c>
      <x:c r="M33" s="31" t="n">
        <x:v>263954.52</x:v>
      </x:c>
      <x:c r="N33" s="31" t="n">
        <x:v>10930268.772243818</x:v>
      </x:c>
      <x:c r="O33" s="31" t="n">
        <x:v>15000</x:v>
      </x:c>
      <x:c r="P33" s="31" t="n">
        <x:v>0</x:v>
      </x:c>
      <x:c r="Q33" s="31" t="n">
        <x:v>10411140.21986861</x:v>
      </x:c>
    </x:row>
    <x:row r="34">
      <x:c r="A34" s="31" t="n">
        <x:v>45901</x:v>
      </x:c>
      <x:c r="B34" s="31" t="n">
        <x:v>324840.9716222926</x:v>
      </x:c>
      <x:c r="C34" s="31" t="n">
        <x:v>61719.78460823559</x:v>
      </x:c>
      <x:c r="D34" s="31" t="n">
        <x:v>541148.08</x:v>
      </x:c>
      <x:c r="E34" s="31" t="n">
        <x:v>266650.63</x:v>
      </x:c>
      <x:c r="F34" s="31" t="n">
        <x:v>332961.9959128499</x:v>
      </x:c>
      <x:c r="G34" s="31" t="n">
        <x:v>60328.31107432355</x:v>
      </x:c>
      <x:c r="H34" s="31" t="n">
        <x:v>530537.3333333333</x:v>
      </x:c>
      <x:c r="I34" s="31" t="n">
        <x:v>288454.13</x:v>
      </x:c>
      <x:c r="J34" s="31" t="n">
        <x:v>332961.9959128499</x:v>
      </x:c>
      <x:c r="K34" s="31" t="n">
        <x:v>60599.08325613868</x:v>
      </x:c>
      <x:c r="L34" s="31" t="n">
        <x:v>530537.3333333333</x:v>
      </x:c>
      <x:c r="M34" s="31" t="n">
        <x:v>266650.63</x:v>
      </x:c>
      <x:c r="N34" s="31" t="n">
        <x:v>10411140.21986861</x:v>
      </x:c>
      <x:c r="O34" s="31" t="n">
        <x:v>15000</x:v>
      </x:c>
      <x:c r="P34" s="31" t="n">
        <x:v>0</x:v>
      </x:c>
      <x:c r="Q34" s="31" t="n">
        <x:v>9871315.169191988</x:v>
      </x:c>
    </x:row>
    <x:row r="35">
      <x:c r="A35" s="31" t="n">
        <x:v>45931</x:v>
      </x:c>
      <x:c r="B35" s="31" t="n">
        <x:v>331595.6817117073</x:v>
      </x:c>
      <x:c r="C35" s="31" t="n">
        <x:v>63003.17952522439</x:v>
      </x:c>
      <x:c r="D35" s="31" t="n">
        <x:v>541148.08</x:v>
      </x:c>
      <x:c r="E35" s="31" t="n">
        <x:v>269426.83999999997</x:v>
      </x:c>
      <x:c r="F35" s="31" t="n">
        <x:v>339885.57375449996</x:v>
      </x:c>
      <x:c r="G35" s="31" t="n">
        <x:v>58758.416916319715</x:v>
      </x:c>
      <x:c r="H35" s="31" t="n">
        <x:v>530537.3333333333</x:v>
      </x:c>
      <x:c r="I35" s="31" t="n">
        <x:v>274239.04000000004</x:v>
      </x:c>
      <x:c r="J35" s="31" t="n">
        <x:v>339885.57375449996</x:v>
      </x:c>
      <x:c r="K35" s="31" t="n">
        <x:v>62223.46268334502</x:v>
      </x:c>
      <x:c r="L35" s="31" t="n">
        <x:v>530537.3333333333</x:v>
      </x:c>
      <x:c r="M35" s="31" t="n">
        <x:v>269426.83999999997</x:v>
      </x:c>
      <x:c r="N35" s="31" t="n">
        <x:v>9871315.169191988</x:v>
      </x:c>
      <x:c r="O35" s="31" t="n">
        <x:v>15000</x:v>
      </x:c>
      <x:c r="P35" s="31" t="n">
        <x:v>0</x:v>
      </x:c>
      <x:c r="Q35" s="31" t="n">
        <x:v>9334013.10692981</x:v>
      </x:c>
    </x:row>
    <x:row r="36">
      <x:c r="A36" s="31" t="n">
        <x:v>45962</x:v>
      </x:c>
      <x:c r="B36" s="31" t="n">
        <x:v>338660.7857767317</x:v>
      </x:c>
      <x:c r="C36" s="31" t="n">
        <x:v>64345.54929757902</x:v>
      </x:c>
      <x:c r="D36" s="31" t="n">
        <x:v>541148.08</x:v>
      </x:c>
      <x:c r="E36" s="31" t="n">
        <x:v>272239.64</x:v>
      </x:c>
      <x:c r="F36" s="31" t="n">
        <x:v>347127.30542114994</x:v>
      </x:c>
      <x:c r="G36" s="31" t="n">
        <x:v>64005.65341131413</x:v>
      </x:c>
      <x:c r="H36" s="31" t="n">
        <x:v>530537.3333333333</x:v>
      </x:c>
      <x:c r="I36" s="31" t="n">
        <x:v>288801.19</x:v>
      </x:c>
      <x:c r="J36" s="31" t="n">
        <x:v>347127.30542114994</x:v>
      </x:c>
      <x:c r="K36" s="31" t="n">
        <x:v>64565.67880833389</x:v>
      </x:c>
      <x:c r="L36" s="31" t="n">
        <x:v>530537.3333333333</x:v>
      </x:c>
      <x:c r="M36" s="31" t="n">
        <x:v>272239.64</x:v>
      </x:c>
      <x:c r="N36" s="31" t="n">
        <x:v>9334013.10692981</x:v>
      </x:c>
      <x:c r="O36" s="31" t="n">
        <x:v>15000</x:v>
      </x:c>
      <x:c r="P36" s="31" t="n">
        <x:v>0</x:v>
      </x:c>
      <x:c r="Q36" s="31" t="n">
        <x:v>8798797.760209294</x:v>
      </x:c>
    </x:row>
    <x:row r="37">
      <x:c r="A37" s="31" t="n">
        <x:v>45992</x:v>
      </x:c>
      <x:c r="B37" s="31" t="n">
        <x:v>343997.754138439</x:v>
      </x:c>
      <x:c r="C37" s="31" t="n">
        <x:v>65359.57328630341</x:v>
      </x:c>
      <x:c r="D37" s="31" t="n">
        <x:v>559326.6900000001</x:v>
      </x:c>
      <x:c r="E37" s="31" t="n">
        <x:v>274848.74</x:v>
      </x:c>
      <x:c r="F37" s="31" t="n">
        <x:v>352597.6979919</x:v>
      </x:c>
      <x:c r="G37" s="31" t="n">
        <x:v>66573.96621426764</x:v>
      </x:c>
      <x:c r="H37" s="31" t="n">
        <x:v>548359.5</x:v>
      </x:c>
      <x:c r="I37" s="31" t="n">
        <x:v>284873.48000000004</x:v>
      </x:c>
      <x:c r="J37" s="31" t="n">
        <x:v>352597.6979919</x:v>
      </x:c>
      <x:c r="K37" s="31" t="n">
        <x:v>66993.562618461</x:v>
      </x:c>
      <x:c r="L37" s="31" t="n">
        <x:v>548359.5</x:v>
      </x:c>
      <x:c r="M37" s="31" t="n">
        <x:v>274848.74</x:v>
      </x:c>
      <x:c r="N37" s="31" t="n">
        <x:v>8798797.760209294</x:v>
      </x:c>
      <x:c r="O37" s="31" t="n">
        <x:v>15000</x:v>
      </x:c>
      <x:c r="P37" s="31" t="n">
        <x:v>0</x:v>
      </x:c>
      <x:c r="Q37" s="31" t="n">
        <x:v>8246193.655582733</x:v>
      </x:c>
    </x:row>
    <x:row r="38">
      <x:c r="A38" s="31" t="n">
        <x:v>46023</x:v>
      </x:c>
      <x:c r="B38" s="31" t="n">
        <x:v>364924.50685034704</x:v>
      </x:c>
      <x:c r="C38" s="31" t="n">
        <x:v>69335.65630156593</x:v>
      </x:c>
      <x:c r="D38" s="31" t="n">
        <x:v>580875.55</x:v>
      </x:c>
      <x:c r="E38" s="31" t="n">
        <x:v>279295.48</x:v>
      </x:c>
      <x:c r="F38" s="31" t="n">
        <x:v>374047.61952160567</x:v>
      </x:c>
      <x:c r="G38" s="31" t="n">
        <x:v>72953.55595520242</x:v>
      </x:c>
      <x:c r="H38" s="31" t="n">
        <x:v>569485.8333333334</x:v>
      </x:c>
      <x:c r="I38" s="31" t="n">
        <x:v>294425.93</x:v>
      </x:c>
      <x:c r="J38" s="31" t="n">
        <x:v>374047.61952160567</x:v>
      </x:c>
      <x:c r="K38" s="31" t="n">
        <x:v>72565.2381871915</x:v>
      </x:c>
      <x:c r="L38" s="31" t="n">
        <x:v>569485.8333333334</x:v>
      </x:c>
      <x:c r="M38" s="31" t="n">
        <x:v>279295.48</x:v>
      </x:c>
      <x:c r="N38" s="31" t="n">
        <x:v>8246193.655582733</x:v>
      </x:c>
      <x:c r="O38" s="31" t="n">
        <x:v>45000</x:v>
      </x:c>
      <x:c r="P38" s="31" t="n">
        <x:v>0</x:v>
      </x:c>
      <x:c r="Q38" s="31" t="n">
        <x:v>7653894.723583814</x:v>
      </x:c>
    </x:row>
    <x:row r="39">
      <x:c r="A39" s="31" t="n">
        <x:v>46054</x:v>
      </x:c>
      <x:c r="B39" s="31" t="n">
        <x:v>376721.63281017874</x:v>
      </x:c>
      <x:c r="C39" s="31" t="n">
        <x:v>71577.11023393396</x:v>
      </x:c>
      <x:c r="D39" s="31" t="n">
        <x:v>609196.02</x:v>
      </x:c>
      <x:c r="E39" s="31" t="n">
        <x:v>282666.06</x:v>
      </x:c>
      <x:c r="F39" s="31" t="n">
        <x:v>386139.67363043316</x:v>
      </x:c>
      <x:c r="G39" s="31" t="n">
        <x:v>75556.90952178548</x:v>
      </x:c>
      <x:c r="H39" s="31" t="n">
        <x:v>597251</x:v>
      </x:c>
      <x:c r="I39" s="31" t="n">
        <x:v>286002.16000000003</x:v>
      </x:c>
      <x:c r="J39" s="31" t="n">
        <x:v>386139.67363043316</x:v>
      </x:c>
      <x:c r="K39" s="31" t="n">
        <x:v>76041.7921239662</x:v>
      </x:c>
      <x:c r="L39" s="31" t="n">
        <x:v>597251</x:v>
      </x:c>
      <x:c r="M39" s="31" t="n">
        <x:v>282666.06</x:v>
      </x:c>
      <x:c r="N39" s="31" t="n">
        <x:v>7653894.723583814</x:v>
      </x:c>
      <x:c r="O39" s="31" t="n">
        <x:v>15000</x:v>
      </x:c>
      <x:c r="P39" s="31" t="n">
        <x:v>0</x:v>
      </x:c>
      <x:c r="Q39" s="31" t="n">
        <x:v>7069075.5450902805</x:v>
      </x:c>
    </x:row>
    <x:row r="40">
      <x:c r="A40" s="31" t="n">
        <x:v>46082</x:v>
      </x:c>
      <x:c r="B40" s="31" t="n">
        <x:v>387494.2082660246</x:v>
      </x:c>
      <x:c r="C40" s="31" t="n">
        <x:v>73623.89957054467</x:v>
      </x:c>
      <x:c r="D40" s="31" t="n">
        <x:v>631626.33</x:v>
      </x:c>
      <x:c r="E40" s="31" t="n">
        <x:v>285915.88</x:v>
      </x:c>
      <x:c r="F40" s="31" t="n">
        <x:v>397181.56347267516</x:v>
      </x:c>
      <x:c r="G40" s="31" t="n">
        <x:v>76160.40880132568</x:v>
      </x:c>
      <x:c r="H40" s="31" t="n">
        <x:v>619241.5</x:v>
      </x:c>
      <x:c r="I40" s="31" t="n">
        <x:v>313887.57</x:v>
      </x:c>
      <x:c r="J40" s="31" t="n">
        <x:v>397181.56347267516</x:v>
      </x:c>
      <x:c r="K40" s="31" t="n">
        <x:v>78641.94956758969</x:v>
      </x:c>
      <x:c r="L40" s="31" t="n">
        <x:v>619241.5</x:v>
      </x:c>
      <x:c r="M40" s="31" t="n">
        <x:v>285915.88</x:v>
      </x:c>
      <x:c r="N40" s="31" t="n">
        <x:v>7069075.5450902805</x:v>
      </x:c>
      <x:c r="O40" s="31" t="n">
        <x:v>15000</x:v>
      </x:c>
      <x:c r="P40" s="31" t="n">
        <x:v>0</x:v>
      </x:c>
      <x:c r="Q40" s="31" t="n">
        <x:v>6467457.778995366</x:v>
      </x:c>
    </x:row>
    <x:row r="41">
      <x:c r="A41" s="31" t="n">
        <x:v>46113</x:v>
      </x:c>
      <x:c r="B41" s="31" t="n">
        <x:v>400437.4391492772</x:v>
      </x:c>
      <x:c r="C41" s="31" t="n">
        <x:v>76083.11343836268</x:v>
      </x:c>
      <x:c r="D41" s="31" t="n">
        <x:v>641830.41</x:v>
      </x:c>
      <x:c r="E41" s="31" t="n">
        <x:v>289421.56</x:v>
      </x:c>
      <x:c r="F41" s="31" t="n">
        <x:v>410448.3751280091</x:v>
      </x:c>
      <x:c r="G41" s="31" t="n">
        <x:v>81793.57675865221</x:v>
      </x:c>
      <x:c r="H41" s="31" t="n">
        <x:v>629245.5</x:v>
      </x:c>
      <x:c r="I41" s="31" t="n">
        <x:v>290675.31</x:v>
      </x:c>
      <x:c r="J41" s="31" t="n">
        <x:v>410448.3751280091</x:v>
      </x:c>
      <x:c r="K41" s="31" t="n">
        <x:v>80828.86103274494</x:v>
      </x:c>
      <x:c r="L41" s="31" t="n">
        <x:v>629245.5</x:v>
      </x:c>
      <x:c r="M41" s="31" t="n">
        <x:v>289421.56</x:v>
      </x:c>
      <x:c r="N41" s="31" t="n">
        <x:v>6467457.778995366</x:v>
      </x:c>
      <x:c r="O41" s="31" t="n">
        <x:v>15000</x:v>
      </x:c>
      <x:c r="P41" s="31" t="n">
        <x:v>0</x:v>
      </x:c>
      <x:c r="Q41" s="31" t="n">
        <x:v>5863410.23309063</x:v>
      </x:c>
    </x:row>
    <x:row r="42">
      <x:c r="A42" s="31" t="n">
        <x:v>46143</x:v>
      </x:c>
      <x:c r="B42" s="31" t="n">
        <x:v>410316.9807563077</x:v>
      </x:c>
      <x:c r="C42" s="31" t="n">
        <x:v>77960.22634369846</x:v>
      </x:c>
      <x:c r="D42" s="31" t="n">
        <x:v>665276.9800000001</x:v>
      </x:c>
      <x:c r="E42" s="31" t="n">
        <x:v>292566.11</x:v>
      </x:c>
      <x:c r="F42" s="31" t="n">
        <x:v>420574.9052752154</x:v>
      </x:c>
      <x:c r="G42" s="31" t="n">
        <x:v>80910.06566867138</x:v>
      </x:c>
      <x:c r="H42" s="31" t="n">
        <x:v>652232.3333333334</x:v>
      </x:c>
      <x:c r="I42" s="31" t="n">
        <x:v>307979.79</x:v>
      </x:c>
      <x:c r="J42" s="31" t="n">
        <x:v>420574.9052752154</x:v>
      </x:c>
      <x:c r="K42" s="31" t="n">
        <x:v>81591.53162339178</x:v>
      </x:c>
      <x:c r="L42" s="31" t="n">
        <x:v>652232.3333333334</x:v>
      </x:c>
      <x:c r="M42" s="31" t="n">
        <x:v>292566.11</x:v>
      </x:c>
      <x:c r="N42" s="31" t="n">
        <x:v>5863410.23309063</x:v>
      </x:c>
      <x:c r="O42" s="31" t="n">
        <x:v>15000</x:v>
      </x:c>
      <x:c r="P42" s="31" t="n">
        <x:v>0</x:v>
      </x:c>
      <x:c r="Q42" s="31" t="n">
        <x:v>5242595.16340912</x:v>
      </x:c>
    </x:row>
    <x:row r="43">
      <x:c r="A43" s="31" t="n">
        <x:v>46174</x:v>
      </x:c>
      <x:c r="B43" s="31" t="n">
        <x:v>419860.7961007324</x:v>
      </x:c>
      <x:c r="C43" s="31" t="n">
        <x:v>79773.55125913916</x:v>
      </x:c>
      <x:c r="D43" s="31" t="n">
        <x:v>679452.7700000001</x:v>
      </x:c>
      <x:c r="E43" s="31" t="n">
        <x:v>295671.08999999997</x:v>
      </x:c>
      <x:c r="F43" s="31" t="n">
        <x:v>430357.31600325066</x:v>
      </x:c>
      <x:c r="G43" s="31" t="n">
        <x:v>83214.33114170936</x:v>
      </x:c>
      <x:c r="H43" s="31" t="n">
        <x:v>666130.1666666667</x:v>
      </x:c>
      <x:c r="I43" s="31" t="n">
        <x:v>295398.17</x:v>
      </x:c>
      <x:c r="J43" s="31" t="n">
        <x:v>430357.31600325066</x:v>
      </x:c>
      <x:c r="K43" s="31" t="n">
        <x:v>81767.89004061763</x:v>
      </x:c>
      <x:c r="L43" s="31" t="n">
        <x:v>666130.1666666667</x:v>
      </x:c>
      <x:c r="M43" s="31" t="n">
        <x:v>295671.08999999997</x:v>
      </x:c>
      <x:c r="N43" s="31" t="n">
        <x:v>5242595.16340912</x:v>
      </x:c>
      <x:c r="O43" s="31" t="n">
        <x:v>15000</x:v>
      </x:c>
      <x:c r="P43" s="31" t="n">
        <x:v>0</x:v>
      </x:c>
      <x:c r="Q43" s="31" t="n">
        <x:v>4614383.332705087</x:v>
      </x:c>
    </x:row>
    <x:row r="44">
      <x:c r="A44" s="31" t="n">
        <x:v>46204</x:v>
      </x:c>
      <x:c r="B44" s="31" t="n">
        <x:v>440593.60922008194</x:v>
      </x:c>
      <x:c r="C44" s="31" t="n">
        <x:v>83712.78575181557</x:v>
      </x:c>
      <x:c r="D44" s="31" t="n">
        <x:v>679452.7700000001</x:v>
      </x:c>
      <x:c r="E44" s="31" t="n">
        <x:v>298828.27</x:v>
      </x:c>
      <x:c r="F44" s="31"/>
      <x:c r="G44" s="31"/>
      <x:c r="H44" s="31"/>
      <x:c r="I44" s="31"/>
      <x:c r="J44" s="31" t="n">
        <x:v>440593.60922008194</x:v>
      </x:c>
      <x:c r="K44" s="31" t="n">
        <x:v>81950.41131493523</x:v>
      </x:c>
      <x:c r="L44" s="31" t="n">
        <x:v>666130.1666666667</x:v>
      </x:c>
      <x:c r="M44" s="31" t="n">
        <x:v>298828.27</x:v>
      </x:c>
      <x:c r="N44" s="31" t="n">
        <x:v>4614383.332705087</x:v>
      </x:c>
      <x:c r="O44" s="31" t="n">
        <x:v>45000</x:v>
      </x:c>
      <x:c r="P44" s="31" t="n">
        <x:v>0</x:v>
      </x:c>
      <x:c r="Q44" s="31" t="n">
        <x:v>3963068.093943567</x:v>
      </x:c>
    </x:row>
    <x:row r="45">
      <x:c r="A45" s="31" t="n">
        <x:v>46235</x:v>
      </x:c>
      <x:c r="B45" s="31" t="n">
        <x:v>449936.96766961715</x:v>
      </x:c>
      <x:c r="C45" s="31" t="n">
        <x:v>85488.02385722726</x:v>
      </x:c>
      <x:c r="D45" s="31" t="n">
        <x:v>679452.7700000001</x:v>
      </x:c>
      <x:c r="E45" s="31" t="n">
        <x:v>301882.75</x:v>
      </x:c>
      <x:c r="F45" s="31"/>
      <x:c r="G45" s="31"/>
      <x:c r="H45" s="31"/>
      <x:c r="I45" s="31"/>
      <x:c r="J45" s="31" t="n">
        <x:v>449936.96766961715</x:v>
      </x:c>
      <x:c r="K45" s="31" t="n">
        <x:v>82370.76910439825</x:v>
      </x:c>
      <x:c r="L45" s="31" t="n">
        <x:v>666130.1666666667</x:v>
      </x:c>
      <x:c r="M45" s="31" t="n">
        <x:v>301882.75</x:v>
      </x:c>
      <x:c r="N45" s="31" t="n">
        <x:v>3963068.093943567</x:v>
      </x:c>
      <x:c r="O45" s="31" t="n">
        <x:v>15000</x:v>
      </x:c>
      <x:c r="P45" s="31" t="n">
        <x:v>0</x:v>
      </x:c>
      <x:c r="Q45" s="31" t="n">
        <x:v>3347621.375842119</x:v>
      </x:c>
    </x:row>
    <x:row r="46">
      <x:c r="A46" s="31" t="n">
        <x:v>46266</x:v>
      </x:c>
      <x:c r="B46" s="31" t="n">
        <x:v>459060.7999799024</x:v>
      </x:c>
      <x:c r="C46" s="31" t="n">
        <x:v>87221.55199618146</x:v>
      </x:c>
      <x:c r="D46" s="31" t="n">
        <x:v>679452.7700000001</x:v>
      </x:c>
      <x:c r="E46" s="31" t="n">
        <x:v>304911.99</x:v>
      </x:c>
      <x:c r="F46" s="31"/>
      <x:c r="G46" s="31"/>
      <x:c r="H46" s="31"/>
      <x:c r="I46" s="31"/>
      <x:c r="J46" s="31" t="n">
        <x:v>459060.7999799024</x:v>
      </x:c>
      <x:c r="K46" s="31" t="n">
        <x:v>83549.06559634223</x:v>
      </x:c>
      <x:c r="L46" s="31" t="n">
        <x:v>666130.1666666667</x:v>
      </x:c>
      <x:c r="M46" s="31" t="n">
        <x:v>304911.99</x:v>
      </x:c>
      <x:c r="N46" s="31" t="n">
        <x:v>3347621.375842119</x:v>
      </x:c>
      <x:c r="O46" s="31" t="n">
        <x:v>15000</x:v>
      </x:c>
      <x:c r="P46" s="31" t="n">
        <x:v>0</x:v>
      </x:c>
      <x:c r="Q46" s="31" t="n">
        <x:v>2737090.9535590126</x:v>
      </x:c>
    </x:row>
    <x:row r="47">
      <x:c r="A47" s="31" t="n">
        <x:v>46296</x:v>
      </x:c>
      <x:c r="B47" s="31" t="n">
        <x:v>468184.63229018764</x:v>
      </x:c>
      <x:c r="C47" s="31" t="n">
        <x:v>88955.08013513565</x:v>
      </x:c>
      <x:c r="D47" s="31" t="n">
        <x:v>679452.7700000001</x:v>
      </x:c>
      <x:c r="E47" s="31" t="n">
        <x:v>307941.23</x:v>
      </x:c>
      <x:c r="F47" s="31"/>
      <x:c r="G47" s="31"/>
      <x:c r="H47" s="31"/>
      <x:c r="I47" s="31"/>
      <x:c r="J47" s="31" t="n">
        <x:v>468184.63229018764</x:v>
      </x:c>
      <x:c r="K47" s="31" t="n">
        <x:v>85711.40185333742</x:v>
      </x:c>
      <x:c r="L47" s="31" t="n">
        <x:v>666130.1666666667</x:v>
      </x:c>
      <x:c r="M47" s="31" t="n">
        <x:v>307941.23</x:v>
      </x:c>
      <x:c r="N47" s="31" t="n">
        <x:v>2737090.9535590126</x:v>
      </x:c>
      <x:c r="O47" s="31" t="n">
        <x:v>15000</x:v>
      </x:c>
      <x:c r="P47" s="31" t="n">
        <x:v>0</x:v>
      </x:c>
      <x:c r="Q47" s="31" t="n">
        <x:v>2130492.787329196</x:v>
      </x:c>
    </x:row>
    <x:row r="48">
      <x:c r="A48" s="31" t="n">
        <x:v>46327</x:v>
      </x:c>
      <x:c r="B48" s="31" t="n">
        <x:v>477809.81351893337</x:v>
      </x:c>
      <x:c r="C48" s="31" t="n">
        <x:v>90783.86456859735</x:v>
      </x:c>
      <x:c r="D48" s="31" t="n">
        <x:v>679452.7700000001</x:v>
      </x:c>
      <x:c r="E48" s="31" t="n">
        <x:v>311028.13</x:v>
      </x:c>
      <x:c r="F48" s="31"/>
      <x:c r="G48" s="31"/>
      <x:c r="H48" s="31"/>
      <x:c r="I48" s="31"/>
      <x:c r="J48" s="31" t="n">
        <x:v>477809.81351893337</x:v>
      </x:c>
      <x:c r="K48" s="31" t="n">
        <x:v>88872.6253145216</x:v>
      </x:c>
      <x:c r="L48" s="31" t="n">
        <x:v>666130.1666666667</x:v>
      </x:c>
      <x:c r="M48" s="31" t="n">
        <x:v>311028.13</x:v>
      </x:c>
      <x:c r="N48" s="31" t="n">
        <x:v>2130492.787329196</x:v>
      </x:c>
      <x:c r="O48" s="31" t="n">
        <x:v>15000</x:v>
      </x:c>
      <x:c r="P48" s="31" t="n">
        <x:v>0</x:v>
      </x:c>
      <x:c r="Q48" s="31" t="n">
        <x:v>1527271.678866941</x:v>
      </x:c>
    </x:row>
    <x:row r="49">
      <x:c r="A49" s="31" t="n">
        <x:v>46357</x:v>
      </x:c>
      <x:c r="B49" s="31" t="n">
        <x:v>487936.34366613964</x:v>
      </x:c>
      <x:c r="C49" s="31" t="n">
        <x:v>92707.90529656653</x:v>
      </x:c>
      <x:c r="D49" s="31" t="n">
        <x:v>679452.7700000001</x:v>
      </x:c>
      <x:c r="E49" s="31" t="n">
        <x:v>314172.68</x:v>
      </x:c>
      <x:c r="F49" s="31"/>
      <x:c r="G49" s="31"/>
      <x:c r="H49" s="31"/>
      <x:c r="I49" s="31"/>
      <x:c r="J49" s="31" t="n">
        <x:v>487936.34366613964</x:v>
      </x:c>
      <x:c r="K49" s="31" t="n">
        <x:v>92707.90529656653</x:v>
      </x:c>
      <x:c r="L49" s="31" t="n">
        <x:v>666130.1666666667</x:v>
      </x:c>
      <x:c r="M49" s="31" t="n">
        <x:v>314172.68</x:v>
      </x:c>
      <x:c r="N49" s="31" t="n">
        <x:v>1527271.678866941</x:v>
      </x:c>
      <x:c r="O49" s="31" t="n">
        <x:v>15000</x:v>
      </x:c>
      <x:c r="P49" s="31" t="n">
        <x:v>0</x:v>
      </x:c>
      <x:c r="Q49" s="31" t="n">
        <x:v>927197.2705698474</x:v>
      </x:c>
    </x:row>
  </x:sheetData>
  <x:pageMargins left="0.7" right="0.7" top="0.75" bottom="0.75" header="0.3" footer="0.3"/>
  <x:tableParts count="1">
    <x:tablePart xmlns:r="http://schemas.openxmlformats.org/officeDocument/2006/relationships" r:id="R381bc67e79d64677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8.25" hidden="0" customWidth="1"/>
    <x:col min="3" max="3" width="15.130000114440918" hidden="0" customWidth="1"/>
    <x:col min="4" max="4" width="12.630000114440918" hidden="0" customWidth="1"/>
    <x:col min="5" max="5" width="15.630000114440918" hidden="0" customWidth="1"/>
    <x:col min="6" max="6" width="14.5" hidden="0" customWidth="1"/>
    <x:col min="7" max="7" width="13.75" hidden="0" customWidth="1"/>
    <x:col min="8" max="8" width="10.380000114440918" hidden="0" customWidth="1"/>
    <x:col min="9" max="9" width="8.75" hidden="0" customWidth="1"/>
  </x:cols>
  <x:sheetData>
    <x:row r="1">
      <x:c r="A1" s="51" t="str">
        <x:v>month</x:v>
      </x:c>
      <x:c r="B1" s="27" t="str">
        <x:v>plan</x:v>
      </x:c>
      <x:c r="C1" s="27" t="str">
        <x:v>starting_customers</x:v>
      </x:c>
      <x:c r="D1" s="27" t="str">
        <x:v>new_customers</x:v>
      </x:c>
      <x:c r="E1" s="27" t="str">
        <x:v>churned_customers</x:v>
      </x:c>
      <x:c r="F1" s="27" t="str">
        <x:v>ending_customers</x:v>
      </x:c>
      <x:c r="G1" s="27" t="str">
        <x:v>price_per_month</x:v>
      </x:c>
      <x:c r="H1" s="27" t="str">
        <x:v>mrr</x:v>
      </x:c>
      <x:c r="I1" s="27" t="str">
        <x:v>is_forecast</x:v>
      </x:c>
    </x:row>
    <x:row r="2">
      <x:c r="A2" s="31" t="n">
        <x:v>44927</x:v>
      </x:c>
      <x:c r="B2" s="31" t="str">
        <x:v>Starter</x:v>
      </x:c>
      <x:c r="C2" s="31" t="n">
        <x:v>320</x:v>
      </x:c>
      <x:c r="D2" s="31" t="n">
        <x:v>12</x:v>
      </x:c>
      <x:c r="E2" s="31" t="n">
        <x:v>7</x:v>
      </x:c>
      <x:c r="F2" s="31" t="n">
        <x:v>325</x:v>
      </x:c>
      <x:c r="G2" s="31" t="n">
        <x:v>99</x:v>
      </x:c>
      <x:c r="H2" s="31" t="n">
        <x:v>32175</x:v>
      </x:c>
      <x:c r="I2" s="50" t="b">
        <x:v>0</x:v>
      </x:c>
    </x:row>
    <x:row r="3">
      <x:c r="A3" s="31" t="n">
        <x:v>44927</x:v>
      </x:c>
      <x:c r="B3" s="31" t="str">
        <x:v>Growth</x:v>
      </x:c>
      <x:c r="C3" s="31" t="n">
        <x:v>145</x:v>
      </x:c>
      <x:c r="D3" s="31" t="n">
        <x:v>7</x:v>
      </x:c>
      <x:c r="E3" s="31" t="n">
        <x:v>3</x:v>
      </x:c>
      <x:c r="F3" s="31" t="n">
        <x:v>149</x:v>
      </x:c>
      <x:c r="G3" s="31" t="n">
        <x:v>349</x:v>
      </x:c>
      <x:c r="H3" s="31" t="n">
        <x:v>52625.012</x:v>
      </x:c>
      <x:c r="I3" s="50" t="b">
        <x:v>0</x:v>
      </x:c>
    </x:row>
    <x:row r="4">
      <x:c r="A4" s="31" t="n">
        <x:v>44927</x:v>
      </x:c>
      <x:c r="B4" s="31" t="str">
        <x:v>Enterprise</x:v>
      </x:c>
      <x:c r="C4" s="31" t="n">
        <x:v>28</x:v>
      </x:c>
      <x:c r="D4" s="31" t="n">
        <x:v>1</x:v>
      </x:c>
      <x:c r="E4" s="31" t="n">
        <x:v>0</x:v>
      </x:c>
      <x:c r="F4" s="31" t="n">
        <x:v>29</x:v>
      </x:c>
      <x:c r="G4" s="31" t="n">
        <x:v>1499</x:v>
      </x:c>
      <x:c r="H4" s="31" t="n">
        <x:v>44427.362</x:v>
      </x:c>
      <x:c r="I4" s="50" t="b">
        <x:v>0</x:v>
      </x:c>
    </x:row>
    <x:row r="5">
      <x:c r="A5" s="31" t="n">
        <x:v>44958</x:v>
      </x:c>
      <x:c r="B5" s="31" t="str">
        <x:v>Starter</x:v>
      </x:c>
      <x:c r="C5" s="31" t="n">
        <x:v>325</x:v>
      </x:c>
      <x:c r="D5" s="31" t="n">
        <x:v>16</x:v>
      </x:c>
      <x:c r="E5" s="31" t="n">
        <x:v>9</x:v>
      </x:c>
      <x:c r="F5" s="31" t="n">
        <x:v>332</x:v>
      </x:c>
      <x:c r="G5" s="31" t="n">
        <x:v>99</x:v>
      </x:c>
      <x:c r="H5" s="31" t="n">
        <x:v>32868</x:v>
      </x:c>
      <x:c r="I5" s="50" t="b">
        <x:v>0</x:v>
      </x:c>
    </x:row>
    <x:row r="6">
      <x:c r="A6" s="31" t="n">
        <x:v>44958</x:v>
      </x:c>
      <x:c r="B6" s="31" t="str">
        <x:v>Growth</x:v>
      </x:c>
      <x:c r="C6" s="31" t="n">
        <x:v>149</x:v>
      </x:c>
      <x:c r="D6" s="31" t="n">
        <x:v>7</x:v>
      </x:c>
      <x:c r="E6" s="31" t="n">
        <x:v>2</x:v>
      </x:c>
      <x:c r="F6" s="31" t="n">
        <x:v>154</x:v>
      </x:c>
      <x:c r="G6" s="31" t="n">
        <x:v>349</x:v>
      </x:c>
      <x:c r="H6" s="31" t="n">
        <x:v>54390.952</x:v>
      </x:c>
      <x:c r="I6" s="50" t="b">
        <x:v>0</x:v>
      </x:c>
    </x:row>
    <x:row r="7">
      <x:c r="A7" s="31" t="n">
        <x:v>44958</x:v>
      </x:c>
      <x:c r="B7" s="31" t="str">
        <x:v>Enterprise</x:v>
      </x:c>
      <x:c r="C7" s="31" t="n">
        <x:v>29</x:v>
      </x:c>
      <x:c r="D7" s="31" t="n">
        <x:v>1</x:v>
      </x:c>
      <x:c r="E7" s="31" t="n">
        <x:v>0</x:v>
      </x:c>
      <x:c r="F7" s="31" t="n">
        <x:v>30</x:v>
      </x:c>
      <x:c r="G7" s="31" t="n">
        <x:v>1499</x:v>
      </x:c>
      <x:c r="H7" s="31" t="n">
        <x:v>45959.340000000004</x:v>
      </x:c>
      <x:c r="I7" s="50" t="b">
        <x:v>0</x:v>
      </x:c>
    </x:row>
    <x:row r="8">
      <x:c r="A8" s="31" t="n">
        <x:v>44986</x:v>
      </x:c>
      <x:c r="B8" s="31" t="str">
        <x:v>Starter</x:v>
      </x:c>
      <x:c r="C8" s="31" t="n">
        <x:v>332</x:v>
      </x:c>
      <x:c r="D8" s="31" t="n">
        <x:v>12</x:v>
      </x:c>
      <x:c r="E8" s="31" t="n">
        <x:v>7</x:v>
      </x:c>
      <x:c r="F8" s="31" t="n">
        <x:v>337</x:v>
      </x:c>
      <x:c r="G8" s="31" t="n">
        <x:v>99</x:v>
      </x:c>
      <x:c r="H8" s="31" t="n">
        <x:v>33363</x:v>
      </x:c>
      <x:c r="I8" s="50" t="b">
        <x:v>0</x:v>
      </x:c>
    </x:row>
    <x:row r="9">
      <x:c r="A9" s="31" t="n">
        <x:v>44986</x:v>
      </x:c>
      <x:c r="B9" s="31" t="str">
        <x:v>Growth</x:v>
      </x:c>
      <x:c r="C9" s="31" t="n">
        <x:v>154</x:v>
      </x:c>
      <x:c r="D9" s="31" t="n">
        <x:v>8</x:v>
      </x:c>
      <x:c r="E9" s="31" t="n">
        <x:v>2</x:v>
      </x:c>
      <x:c r="F9" s="31" t="n">
        <x:v>160</x:v>
      </x:c>
      <x:c r="G9" s="31" t="n">
        <x:v>349</x:v>
      </x:c>
      <x:c r="H9" s="31" t="n">
        <x:v>56510.08</x:v>
      </x:c>
      <x:c r="I9" s="50" t="b">
        <x:v>0</x:v>
      </x:c>
    </x:row>
    <x:row r="10">
      <x:c r="A10" s="31" t="n">
        <x:v>44986</x:v>
      </x:c>
      <x:c r="B10" s="31" t="str">
        <x:v>Enterprise</x:v>
      </x:c>
      <x:c r="C10" s="31" t="n">
        <x:v>30</x:v>
      </x:c>
      <x:c r="D10" s="31" t="n">
        <x:v>1</x:v>
      </x:c>
      <x:c r="E10" s="31" t="n">
        <x:v>0</x:v>
      </x:c>
      <x:c r="F10" s="31" t="n">
        <x:v>31</x:v>
      </x:c>
      <x:c r="G10" s="31" t="n">
        <x:v>1499</x:v>
      </x:c>
      <x:c r="H10" s="31" t="n">
        <x:v>47491.318</x:v>
      </x:c>
      <x:c r="I10" s="50" t="b">
        <x:v>0</x:v>
      </x:c>
    </x:row>
    <x:row r="11">
      <x:c r="A11" s="31" t="n">
        <x:v>45017</x:v>
      </x:c>
      <x:c r="B11" s="31" t="str">
        <x:v>Starter</x:v>
      </x:c>
      <x:c r="C11" s="31" t="n">
        <x:v>337</x:v>
      </x:c>
      <x:c r="D11" s="31" t="n">
        <x:v>14</x:v>
      </x:c>
      <x:c r="E11" s="31" t="n">
        <x:v>8</x:v>
      </x:c>
      <x:c r="F11" s="31" t="n">
        <x:v>343</x:v>
      </x:c>
      <x:c r="G11" s="31" t="n">
        <x:v>99</x:v>
      </x:c>
      <x:c r="H11" s="31" t="n">
        <x:v>33957</x:v>
      </x:c>
      <x:c r="I11" s="50" t="b">
        <x:v>0</x:v>
      </x:c>
    </x:row>
    <x:row r="12">
      <x:c r="A12" s="31" t="n">
        <x:v>45017</x:v>
      </x:c>
      <x:c r="B12" s="31" t="str">
        <x:v>Growth</x:v>
      </x:c>
      <x:c r="C12" s="31" t="n">
        <x:v>160</x:v>
      </x:c>
      <x:c r="D12" s="31" t="n">
        <x:v>9</x:v>
      </x:c>
      <x:c r="E12" s="31" t="n">
        <x:v>2</x:v>
      </x:c>
      <x:c r="F12" s="31" t="n">
        <x:v>167</x:v>
      </x:c>
      <x:c r="G12" s="31" t="n">
        <x:v>349</x:v>
      </x:c>
      <x:c r="H12" s="31" t="n">
        <x:v>58982.396</x:v>
      </x:c>
      <x:c r="I12" s="50" t="b">
        <x:v>0</x:v>
      </x:c>
    </x:row>
    <x:row r="13">
      <x:c r="A13" s="31" t="n">
        <x:v>45017</x:v>
      </x:c>
      <x:c r="B13" s="31" t="str">
        <x:v>Enterprise</x:v>
      </x:c>
      <x:c r="C13" s="31" t="n">
        <x:v>31</x:v>
      </x:c>
      <x:c r="D13" s="31" t="n">
        <x:v>1</x:v>
      </x:c>
      <x:c r="E13" s="31" t="n">
        <x:v>0</x:v>
      </x:c>
      <x:c r="F13" s="31" t="n">
        <x:v>32</x:v>
      </x:c>
      <x:c r="G13" s="31" t="n">
        <x:v>1499</x:v>
      </x:c>
      <x:c r="H13" s="31" t="n">
        <x:v>49023.296</x:v>
      </x:c>
      <x:c r="I13" s="50" t="b">
        <x:v>0</x:v>
      </x:c>
    </x:row>
    <x:row r="14">
      <x:c r="A14" s="31" t="n">
        <x:v>45047</x:v>
      </x:c>
      <x:c r="B14" s="31" t="str">
        <x:v>Starter</x:v>
      </x:c>
      <x:c r="C14" s="31" t="n">
        <x:v>343</x:v>
      </x:c>
      <x:c r="D14" s="31" t="n">
        <x:v>15</x:v>
      </x:c>
      <x:c r="E14" s="31" t="n">
        <x:v>8</x:v>
      </x:c>
      <x:c r="F14" s="31" t="n">
        <x:v>350</x:v>
      </x:c>
      <x:c r="G14" s="31" t="n">
        <x:v>99</x:v>
      </x:c>
      <x:c r="H14" s="31" t="n">
        <x:v>34650</x:v>
      </x:c>
      <x:c r="I14" s="50" t="b">
        <x:v>0</x:v>
      </x:c>
    </x:row>
    <x:row r="15">
      <x:c r="A15" s="31" t="n">
        <x:v>45047</x:v>
      </x:c>
      <x:c r="B15" s="31" t="str">
        <x:v>Growth</x:v>
      </x:c>
      <x:c r="C15" s="31" t="n">
        <x:v>167</x:v>
      </x:c>
      <x:c r="D15" s="31" t="n">
        <x:v>10</x:v>
      </x:c>
      <x:c r="E15" s="31" t="n">
        <x:v>3</x:v>
      </x:c>
      <x:c r="F15" s="31" t="n">
        <x:v>174</x:v>
      </x:c>
      <x:c r="G15" s="31" t="n">
        <x:v>349</x:v>
      </x:c>
      <x:c r="H15" s="31" t="n">
        <x:v>61454.712</x:v>
      </x:c>
      <x:c r="I15" s="50" t="b">
        <x:v>0</x:v>
      </x:c>
    </x:row>
    <x:row r="16">
      <x:c r="A16" s="31" t="n">
        <x:v>45047</x:v>
      </x:c>
      <x:c r="B16" s="31" t="str">
        <x:v>Enterprise</x:v>
      </x:c>
      <x:c r="C16" s="31" t="n">
        <x:v>32</x:v>
      </x:c>
      <x:c r="D16" s="31" t="n">
        <x:v>1</x:v>
      </x:c>
      <x:c r="E16" s="31" t="n">
        <x:v>0</x:v>
      </x:c>
      <x:c r="F16" s="31" t="n">
        <x:v>33</x:v>
      </x:c>
      <x:c r="G16" s="31" t="n">
        <x:v>1499</x:v>
      </x:c>
      <x:c r="H16" s="31" t="n">
        <x:v>50555.274</x:v>
      </x:c>
      <x:c r="I16" s="50" t="b">
        <x:v>0</x:v>
      </x:c>
    </x:row>
    <x:row r="17">
      <x:c r="A17" s="31" t="n">
        <x:v>45078</x:v>
      </x:c>
      <x:c r="B17" s="31" t="str">
        <x:v>Starter</x:v>
      </x:c>
      <x:c r="C17" s="31" t="n">
        <x:v>350</x:v>
      </x:c>
      <x:c r="D17" s="31" t="n">
        <x:v>13</x:v>
      </x:c>
      <x:c r="E17" s="31" t="n">
        <x:v>8</x:v>
      </x:c>
      <x:c r="F17" s="31" t="n">
        <x:v>355</x:v>
      </x:c>
      <x:c r="G17" s="31" t="n">
        <x:v>99</x:v>
      </x:c>
      <x:c r="H17" s="31" t="n">
        <x:v>35145</x:v>
      </x:c>
      <x:c r="I17" s="50" t="b">
        <x:v>0</x:v>
      </x:c>
    </x:row>
    <x:row r="18">
      <x:c r="A18" s="31" t="n">
        <x:v>45078</x:v>
      </x:c>
      <x:c r="B18" s="31" t="str">
        <x:v>Growth</x:v>
      </x:c>
      <x:c r="C18" s="31" t="n">
        <x:v>174</x:v>
      </x:c>
      <x:c r="D18" s="31" t="n">
        <x:v>7</x:v>
      </x:c>
      <x:c r="E18" s="31" t="n">
        <x:v>3</x:v>
      </x:c>
      <x:c r="F18" s="31" t="n">
        <x:v>178</x:v>
      </x:c>
      <x:c r="G18" s="31" t="n">
        <x:v>349</x:v>
      </x:c>
      <x:c r="H18" s="31" t="n">
        <x:v>62867.464</x:v>
      </x:c>
      <x:c r="I18" s="50" t="b">
        <x:v>0</x:v>
      </x:c>
    </x:row>
    <x:row r="19">
      <x:c r="A19" s="31" t="n">
        <x:v>45078</x:v>
      </x:c>
      <x:c r="B19" s="31" t="str">
        <x:v>Enterprise</x:v>
      </x:c>
      <x:c r="C19" s="31" t="n">
        <x:v>33</x:v>
      </x:c>
      <x:c r="D19" s="31" t="n">
        <x:v>1</x:v>
      </x:c>
      <x:c r="E19" s="31" t="n">
        <x:v>0</x:v>
      </x:c>
      <x:c r="F19" s="31" t="n">
        <x:v>34</x:v>
      </x:c>
      <x:c r="G19" s="31" t="n">
        <x:v>1499</x:v>
      </x:c>
      <x:c r="H19" s="31" t="n">
        <x:v>52087.252</x:v>
      </x:c>
      <x:c r="I19" s="50" t="b">
        <x:v>0</x:v>
      </x:c>
    </x:row>
    <x:row r="20">
      <x:c r="A20" s="31" t="n">
        <x:v>45108</x:v>
      </x:c>
      <x:c r="B20" s="31" t="str">
        <x:v>Starter</x:v>
      </x:c>
      <x:c r="C20" s="31" t="n">
        <x:v>355</x:v>
      </x:c>
      <x:c r="D20" s="31" t="n">
        <x:v>15</x:v>
      </x:c>
      <x:c r="E20" s="31" t="n">
        <x:v>8</x:v>
      </x:c>
      <x:c r="F20" s="31" t="n">
        <x:v>362</x:v>
      </x:c>
      <x:c r="G20" s="31" t="n">
        <x:v>99</x:v>
      </x:c>
      <x:c r="H20" s="31" t="n">
        <x:v>35838</x:v>
      </x:c>
      <x:c r="I20" s="50" t="b">
        <x:v>0</x:v>
      </x:c>
    </x:row>
    <x:row r="21">
      <x:c r="A21" s="31" t="n">
        <x:v>45108</x:v>
      </x:c>
      <x:c r="B21" s="31" t="str">
        <x:v>Growth</x:v>
      </x:c>
      <x:c r="C21" s="31" t="n">
        <x:v>178</x:v>
      </x:c>
      <x:c r="D21" s="31" t="n">
        <x:v>10</x:v>
      </x:c>
      <x:c r="E21" s="31" t="n">
        <x:v>2</x:v>
      </x:c>
      <x:c r="F21" s="31" t="n">
        <x:v>186</x:v>
      </x:c>
      <x:c r="G21" s="31" t="n">
        <x:v>349</x:v>
      </x:c>
      <x:c r="H21" s="31" t="n">
        <x:v>65692.968</x:v>
      </x:c>
      <x:c r="I21" s="50" t="b">
        <x:v>0</x:v>
      </x:c>
    </x:row>
    <x:row r="22">
      <x:c r="A22" s="31" t="n">
        <x:v>45108</x:v>
      </x:c>
      <x:c r="B22" s="31" t="str">
        <x:v>Enterprise</x:v>
      </x:c>
      <x:c r="C22" s="31" t="n">
        <x:v>34</x:v>
      </x:c>
      <x:c r="D22" s="31" t="n">
        <x:v>1</x:v>
      </x:c>
      <x:c r="E22" s="31" t="n">
        <x:v>0</x:v>
      </x:c>
      <x:c r="F22" s="31" t="n">
        <x:v>35</x:v>
      </x:c>
      <x:c r="G22" s="31" t="n">
        <x:v>1499</x:v>
      </x:c>
      <x:c r="H22" s="31" t="n">
        <x:v>53619.23</x:v>
      </x:c>
      <x:c r="I22" s="50" t="b">
        <x:v>0</x:v>
      </x:c>
    </x:row>
    <x:row r="23">
      <x:c r="A23" s="31" t="n">
        <x:v>45139</x:v>
      </x:c>
      <x:c r="B23" s="31" t="str">
        <x:v>Starter</x:v>
      </x:c>
      <x:c r="C23" s="31" t="n">
        <x:v>362</x:v>
      </x:c>
      <x:c r="D23" s="31" t="n">
        <x:v>14</x:v>
      </x:c>
      <x:c r="E23" s="31" t="n">
        <x:v>8</x:v>
      </x:c>
      <x:c r="F23" s="31" t="n">
        <x:v>368</x:v>
      </x:c>
      <x:c r="G23" s="31" t="n">
        <x:v>99</x:v>
      </x:c>
      <x:c r="H23" s="31" t="n">
        <x:v>36432</x:v>
      </x:c>
      <x:c r="I23" s="50" t="b">
        <x:v>0</x:v>
      </x:c>
    </x:row>
    <x:row r="24">
      <x:c r="A24" s="31" t="n">
        <x:v>45139</x:v>
      </x:c>
      <x:c r="B24" s="31" t="str">
        <x:v>Growth</x:v>
      </x:c>
      <x:c r="C24" s="31" t="n">
        <x:v>186</x:v>
      </x:c>
      <x:c r="D24" s="31" t="n">
        <x:v>9</x:v>
      </x:c>
      <x:c r="E24" s="31" t="n">
        <x:v>3</x:v>
      </x:c>
      <x:c r="F24" s="31" t="n">
        <x:v>192</x:v>
      </x:c>
      <x:c r="G24" s="31" t="n">
        <x:v>349</x:v>
      </x:c>
      <x:c r="H24" s="31" t="n">
        <x:v>67812.096</x:v>
      </x:c>
      <x:c r="I24" s="50" t="b">
        <x:v>0</x:v>
      </x:c>
    </x:row>
    <x:row r="25">
      <x:c r="A25" s="31" t="n">
        <x:v>45139</x:v>
      </x:c>
      <x:c r="B25" s="31" t="str">
        <x:v>Enterprise</x:v>
      </x:c>
      <x:c r="C25" s="31" t="n">
        <x:v>35</x:v>
      </x:c>
      <x:c r="D25" s="31" t="n">
        <x:v>1</x:v>
      </x:c>
      <x:c r="E25" s="31" t="n">
        <x:v>0</x:v>
      </x:c>
      <x:c r="F25" s="31" t="n">
        <x:v>36</x:v>
      </x:c>
      <x:c r="G25" s="31" t="n">
        <x:v>1499</x:v>
      </x:c>
      <x:c r="H25" s="31" t="n">
        <x:v>55151.208</x:v>
      </x:c>
      <x:c r="I25" s="50" t="b">
        <x:v>0</x:v>
      </x:c>
    </x:row>
    <x:row r="26">
      <x:c r="A26" s="31" t="n">
        <x:v>45170</x:v>
      </x:c>
      <x:c r="B26" s="31" t="str">
        <x:v>Starter</x:v>
      </x:c>
      <x:c r="C26" s="31" t="n">
        <x:v>368</x:v>
      </x:c>
      <x:c r="D26" s="31" t="n">
        <x:v>12</x:v>
      </x:c>
      <x:c r="E26" s="31" t="n">
        <x:v>10</x:v>
      </x:c>
      <x:c r="F26" s="31" t="n">
        <x:v>370</x:v>
      </x:c>
      <x:c r="G26" s="31" t="n">
        <x:v>99</x:v>
      </x:c>
      <x:c r="H26" s="31" t="n">
        <x:v>36630</x:v>
      </x:c>
      <x:c r="I26" s="50" t="b">
        <x:v>0</x:v>
      </x:c>
    </x:row>
    <x:row r="27">
      <x:c r="A27" s="31" t="n">
        <x:v>45170</x:v>
      </x:c>
      <x:c r="B27" s="31" t="str">
        <x:v>Growth</x:v>
      </x:c>
      <x:c r="C27" s="31" t="n">
        <x:v>192</x:v>
      </x:c>
      <x:c r="D27" s="31" t="n">
        <x:v>8</x:v>
      </x:c>
      <x:c r="E27" s="31" t="n">
        <x:v>4</x:v>
      </x:c>
      <x:c r="F27" s="31" t="n">
        <x:v>196</x:v>
      </x:c>
      <x:c r="G27" s="31" t="n">
        <x:v>349</x:v>
      </x:c>
      <x:c r="H27" s="31" t="n">
        <x:v>69224.848</x:v>
      </x:c>
      <x:c r="I27" s="50" t="b">
        <x:v>0</x:v>
      </x:c>
    </x:row>
    <x:row r="28">
      <x:c r="A28" s="31" t="n">
        <x:v>45170</x:v>
      </x:c>
      <x:c r="B28" s="31" t="str">
        <x:v>Enterprise</x:v>
      </x:c>
      <x:c r="C28" s="31" t="n">
        <x:v>36</x:v>
      </x:c>
      <x:c r="D28" s="31" t="n">
        <x:v>1</x:v>
      </x:c>
      <x:c r="E28" s="31" t="n">
        <x:v>0</x:v>
      </x:c>
      <x:c r="F28" s="31" t="n">
        <x:v>37</x:v>
      </x:c>
      <x:c r="G28" s="31" t="n">
        <x:v>1499</x:v>
      </x:c>
      <x:c r="H28" s="31" t="n">
        <x:v>56683.186</x:v>
      </x:c>
      <x:c r="I28" s="50" t="b">
        <x:v>0</x:v>
      </x:c>
    </x:row>
    <x:row r="29">
      <x:c r="A29" s="31" t="n">
        <x:v>45200</x:v>
      </x:c>
      <x:c r="B29" s="31" t="str">
        <x:v>Starter</x:v>
      </x:c>
      <x:c r="C29" s="31" t="n">
        <x:v>370</x:v>
      </x:c>
      <x:c r="D29" s="31" t="n">
        <x:v>10</x:v>
      </x:c>
      <x:c r="E29" s="31" t="n">
        <x:v>8</x:v>
      </x:c>
      <x:c r="F29" s="31" t="n">
        <x:v>372</x:v>
      </x:c>
      <x:c r="G29" s="31" t="n">
        <x:v>99</x:v>
      </x:c>
      <x:c r="H29" s="31" t="n">
        <x:v>36828</x:v>
      </x:c>
      <x:c r="I29" s="50" t="b">
        <x:v>0</x:v>
      </x:c>
    </x:row>
    <x:row r="30">
      <x:c r="A30" s="31" t="n">
        <x:v>45200</x:v>
      </x:c>
      <x:c r="B30" s="31" t="str">
        <x:v>Growth</x:v>
      </x:c>
      <x:c r="C30" s="31" t="n">
        <x:v>196</x:v>
      </x:c>
      <x:c r="D30" s="31" t="n">
        <x:v>7</x:v>
      </x:c>
      <x:c r="E30" s="31" t="n">
        <x:v>2</x:v>
      </x:c>
      <x:c r="F30" s="31" t="n">
        <x:v>201</x:v>
      </x:c>
      <x:c r="G30" s="31" t="n">
        <x:v>349</x:v>
      </x:c>
      <x:c r="H30" s="31" t="n">
        <x:v>70990.788</x:v>
      </x:c>
      <x:c r="I30" s="50" t="b">
        <x:v>0</x:v>
      </x:c>
    </x:row>
    <x:row r="31">
      <x:c r="A31" s="31" t="n">
        <x:v>45200</x:v>
      </x:c>
      <x:c r="B31" s="31" t="str">
        <x:v>Enterprise</x:v>
      </x:c>
      <x:c r="C31" s="31" t="n">
        <x:v>37</x:v>
      </x:c>
      <x:c r="D31" s="31" t="n">
        <x:v>1</x:v>
      </x:c>
      <x:c r="E31" s="31" t="n">
        <x:v>0</x:v>
      </x:c>
      <x:c r="F31" s="31" t="n">
        <x:v>38</x:v>
      </x:c>
      <x:c r="G31" s="31" t="n">
        <x:v>1499</x:v>
      </x:c>
      <x:c r="H31" s="31" t="n">
        <x:v>58215.164000000004</x:v>
      </x:c>
      <x:c r="I31" s="50" t="b">
        <x:v>0</x:v>
      </x:c>
    </x:row>
    <x:row r="32">
      <x:c r="A32" s="31" t="n">
        <x:v>45231</x:v>
      </x:c>
      <x:c r="B32" s="31" t="str">
        <x:v>Starter</x:v>
      </x:c>
      <x:c r="C32" s="31" t="n">
        <x:v>372</x:v>
      </x:c>
      <x:c r="D32" s="31" t="n">
        <x:v>14</x:v>
      </x:c>
      <x:c r="E32" s="31" t="n">
        <x:v>10</x:v>
      </x:c>
      <x:c r="F32" s="31" t="n">
        <x:v>376</x:v>
      </x:c>
      <x:c r="G32" s="31" t="n">
        <x:v>99</x:v>
      </x:c>
      <x:c r="H32" s="31" t="n">
        <x:v>37224</x:v>
      </x:c>
      <x:c r="I32" s="50" t="b">
        <x:v>0</x:v>
      </x:c>
    </x:row>
    <x:row r="33">
      <x:c r="A33" s="31" t="n">
        <x:v>45231</x:v>
      </x:c>
      <x:c r="B33" s="31" t="str">
        <x:v>Growth</x:v>
      </x:c>
      <x:c r="C33" s="31" t="n">
        <x:v>201</x:v>
      </x:c>
      <x:c r="D33" s="31" t="n">
        <x:v>10</x:v>
      </x:c>
      <x:c r="E33" s="31" t="n">
        <x:v>3</x:v>
      </x:c>
      <x:c r="F33" s="31" t="n">
        <x:v>208</x:v>
      </x:c>
      <x:c r="G33" s="31" t="n">
        <x:v>349</x:v>
      </x:c>
      <x:c r="H33" s="31" t="n">
        <x:v>73463.104</x:v>
      </x:c>
      <x:c r="I33" s="50" t="b">
        <x:v>0</x:v>
      </x:c>
    </x:row>
    <x:row r="34">
      <x:c r="A34" s="31" t="n">
        <x:v>45231</x:v>
      </x:c>
      <x:c r="B34" s="31" t="str">
        <x:v>Enterprise</x:v>
      </x:c>
      <x:c r="C34" s="31" t="n">
        <x:v>38</x:v>
      </x:c>
      <x:c r="D34" s="31" t="n">
        <x:v>1</x:v>
      </x:c>
      <x:c r="E34" s="31" t="n">
        <x:v>0</x:v>
      </x:c>
      <x:c r="F34" s="31" t="n">
        <x:v>39</x:v>
      </x:c>
      <x:c r="G34" s="31" t="n">
        <x:v>1499</x:v>
      </x:c>
      <x:c r="H34" s="31" t="n">
        <x:v>59747.142</x:v>
      </x:c>
      <x:c r="I34" s="50" t="b">
        <x:v>0</x:v>
      </x:c>
    </x:row>
    <x:row r="35">
      <x:c r="A35" s="31" t="n">
        <x:v>45261</x:v>
      </x:c>
      <x:c r="B35" s="31" t="str">
        <x:v>Starter</x:v>
      </x:c>
      <x:c r="C35" s="31" t="n">
        <x:v>376</x:v>
      </x:c>
      <x:c r="D35" s="31" t="n">
        <x:v>15</x:v>
      </x:c>
      <x:c r="E35" s="31" t="n">
        <x:v>8</x:v>
      </x:c>
      <x:c r="F35" s="31" t="n">
        <x:v>383</x:v>
      </x:c>
      <x:c r="G35" s="31" t="n">
        <x:v>99</x:v>
      </x:c>
      <x:c r="H35" s="31" t="n">
        <x:v>37917</x:v>
      </x:c>
      <x:c r="I35" s="50" t="b">
        <x:v>0</x:v>
      </x:c>
    </x:row>
    <x:row r="36">
      <x:c r="A36" s="31" t="n">
        <x:v>45261</x:v>
      </x:c>
      <x:c r="B36" s="31" t="str">
        <x:v>Growth</x:v>
      </x:c>
      <x:c r="C36" s="31" t="n">
        <x:v>208</x:v>
      </x:c>
      <x:c r="D36" s="31" t="n">
        <x:v>10</x:v>
      </x:c>
      <x:c r="E36" s="31" t="n">
        <x:v>3</x:v>
      </x:c>
      <x:c r="F36" s="31" t="n">
        <x:v>215</x:v>
      </x:c>
      <x:c r="G36" s="31" t="n">
        <x:v>349</x:v>
      </x:c>
      <x:c r="H36" s="31" t="n">
        <x:v>75935.42</x:v>
      </x:c>
      <x:c r="I36" s="50" t="b">
        <x:v>0</x:v>
      </x:c>
    </x:row>
    <x:row r="37">
      <x:c r="A37" s="31" t="n">
        <x:v>45261</x:v>
      </x:c>
      <x:c r="B37" s="31" t="str">
        <x:v>Enterprise</x:v>
      </x:c>
      <x:c r="C37" s="31" t="n">
        <x:v>39</x:v>
      </x:c>
      <x:c r="D37" s="31" t="n">
        <x:v>1</x:v>
      </x:c>
      <x:c r="E37" s="31" t="n">
        <x:v>0</x:v>
      </x:c>
      <x:c r="F37" s="31" t="n">
        <x:v>40</x:v>
      </x:c>
      <x:c r="G37" s="31" t="n">
        <x:v>1499</x:v>
      </x:c>
      <x:c r="H37" s="31" t="n">
        <x:v>61279.12</x:v>
      </x:c>
      <x:c r="I37" s="50" t="b">
        <x:v>0</x:v>
      </x:c>
    </x:row>
    <x:row r="38">
      <x:c r="A38" s="31" t="n">
        <x:v>45292</x:v>
      </x:c>
      <x:c r="B38" s="31" t="str">
        <x:v>Starter</x:v>
      </x:c>
      <x:c r="C38" s="31" t="n">
        <x:v>383</x:v>
      </x:c>
      <x:c r="D38" s="31" t="n">
        <x:v>15</x:v>
      </x:c>
      <x:c r="E38" s="31" t="n">
        <x:v>10</x:v>
      </x:c>
      <x:c r="F38" s="31" t="n">
        <x:v>388</x:v>
      </x:c>
      <x:c r="G38" s="31" t="n">
        <x:v>102.46499999999999</x:v>
      </x:c>
      <x:c r="H38" s="31" t="n">
        <x:v>39756.42</x:v>
      </x:c>
      <x:c r="I38" s="50" t="b">
        <x:v>0</x:v>
      </x:c>
    </x:row>
    <x:row r="39">
      <x:c r="A39" s="31" t="n">
        <x:v>45292</x:v>
      </x:c>
      <x:c r="B39" s="31" t="str">
        <x:v>Growth</x:v>
      </x:c>
      <x:c r="C39" s="31" t="n">
        <x:v>215</x:v>
      </x:c>
      <x:c r="D39" s="31" t="n">
        <x:v>10</x:v>
      </x:c>
      <x:c r="E39" s="31" t="n">
        <x:v>4</x:v>
      </x:c>
      <x:c r="F39" s="31" t="n">
        <x:v>221</x:v>
      </x:c>
      <x:c r="G39" s="31" t="n">
        <x:v>361.215</x:v>
      </x:c>
      <x:c r="H39" s="31" t="n">
        <x:v>80786.45718</x:v>
      </x:c>
      <x:c r="I39" s="50" t="b">
        <x:v>0</x:v>
      </x:c>
    </x:row>
    <x:row r="40">
      <x:c r="A40" s="31" t="n">
        <x:v>45292</x:v>
      </x:c>
      <x:c r="B40" s="31" t="str">
        <x:v>Enterprise</x:v>
      </x:c>
      <x:c r="C40" s="31" t="n">
        <x:v>40</x:v>
      </x:c>
      <x:c r="D40" s="31" t="n">
        <x:v>1</x:v>
      </x:c>
      <x:c r="E40" s="31" t="n">
        <x:v>0</x:v>
      </x:c>
      <x:c r="F40" s="31" t="n">
        <x:v>41</x:v>
      </x:c>
      <x:c r="G40" s="31" t="n">
        <x:v>1551.465</x:v>
      </x:c>
      <x:c r="H40" s="31" t="n">
        <x:v>65009.48643</x:v>
      </x:c>
      <x:c r="I40" s="50" t="b">
        <x:v>0</x:v>
      </x:c>
    </x:row>
    <x:row r="41">
      <x:c r="A41" s="31" t="n">
        <x:v>45323</x:v>
      </x:c>
      <x:c r="B41" s="31" t="str">
        <x:v>Starter</x:v>
      </x:c>
      <x:c r="C41" s="31" t="n">
        <x:v>388</x:v>
      </x:c>
      <x:c r="D41" s="31" t="n">
        <x:v>15</x:v>
      </x:c>
      <x:c r="E41" s="31" t="n">
        <x:v>9</x:v>
      </x:c>
      <x:c r="F41" s="31" t="n">
        <x:v>394</x:v>
      </x:c>
      <x:c r="G41" s="31" t="n">
        <x:v>102.46499999999999</x:v>
      </x:c>
      <x:c r="H41" s="31" t="n">
        <x:v>40371.21</x:v>
      </x:c>
      <x:c r="I41" s="50" t="b">
        <x:v>0</x:v>
      </x:c>
    </x:row>
    <x:row r="42">
      <x:c r="A42" s="31" t="n">
        <x:v>45323</x:v>
      </x:c>
      <x:c r="B42" s="31" t="str">
        <x:v>Growth</x:v>
      </x:c>
      <x:c r="C42" s="31" t="n">
        <x:v>221</x:v>
      </x:c>
      <x:c r="D42" s="31" t="n">
        <x:v>11</x:v>
      </x:c>
      <x:c r="E42" s="31" t="n">
        <x:v>4</x:v>
      </x:c>
      <x:c r="F42" s="31" t="n">
        <x:v>228</x:v>
      </x:c>
      <x:c r="G42" s="31" t="n">
        <x:v>361.215</x:v>
      </x:c>
      <x:c r="H42" s="31" t="n">
        <x:v>83345.30423999998</x:v>
      </x:c>
      <x:c r="I42" s="50" t="b">
        <x:v>0</x:v>
      </x:c>
    </x:row>
    <x:row r="43">
      <x:c r="A43" s="31" t="n">
        <x:v>45323</x:v>
      </x:c>
      <x:c r="B43" s="31" t="str">
        <x:v>Enterprise</x:v>
      </x:c>
      <x:c r="C43" s="31" t="n">
        <x:v>41</x:v>
      </x:c>
      <x:c r="D43" s="31" t="n">
        <x:v>1</x:v>
      </x:c>
      <x:c r="E43" s="31" t="n">
        <x:v>0</x:v>
      </x:c>
      <x:c r="F43" s="31" t="n">
        <x:v>42</x:v>
      </x:c>
      <x:c r="G43" s="31" t="n">
        <x:v>1551.465</x:v>
      </x:c>
      <x:c r="H43" s="31" t="n">
        <x:v>66595.08366</x:v>
      </x:c>
      <x:c r="I43" s="50" t="b">
        <x:v>0</x:v>
      </x:c>
    </x:row>
    <x:row r="44">
      <x:c r="A44" s="31" t="n">
        <x:v>45352</x:v>
      </x:c>
      <x:c r="B44" s="31" t="str">
        <x:v>Starter</x:v>
      </x:c>
      <x:c r="C44" s="31" t="n">
        <x:v>394</x:v>
      </x:c>
      <x:c r="D44" s="31" t="n">
        <x:v>17</x:v>
      </x:c>
      <x:c r="E44" s="31" t="n">
        <x:v>7</x:v>
      </x:c>
      <x:c r="F44" s="31" t="n">
        <x:v>404</x:v>
      </x:c>
      <x:c r="G44" s="31" t="n">
        <x:v>102.46499999999999</x:v>
      </x:c>
      <x:c r="H44" s="31" t="n">
        <x:v>41395.85999999999</x:v>
      </x:c>
      <x:c r="I44" s="50" t="b">
        <x:v>0</x:v>
      </x:c>
    </x:row>
    <x:row r="45">
      <x:c r="A45" s="31" t="n">
        <x:v>45352</x:v>
      </x:c>
      <x:c r="B45" s="31" t="str">
        <x:v>Growth</x:v>
      </x:c>
      <x:c r="C45" s="31" t="n">
        <x:v>228</x:v>
      </x:c>
      <x:c r="D45" s="31" t="n">
        <x:v>13</x:v>
      </x:c>
      <x:c r="E45" s="31" t="n">
        <x:v>4</x:v>
      </x:c>
      <x:c r="F45" s="31" t="n">
        <x:v>237</x:v>
      </x:c>
      <x:c r="G45" s="31" t="n">
        <x:v>361.215</x:v>
      </x:c>
      <x:c r="H45" s="31" t="n">
        <x:v>86635.25045999998</x:v>
      </x:c>
      <x:c r="I45" s="50" t="b">
        <x:v>0</x:v>
      </x:c>
    </x:row>
    <x:row r="46">
      <x:c r="A46" s="31" t="n">
        <x:v>45352</x:v>
      </x:c>
      <x:c r="B46" s="31" t="str">
        <x:v>Enterprise</x:v>
      </x:c>
      <x:c r="C46" s="31" t="n">
        <x:v>42</x:v>
      </x:c>
      <x:c r="D46" s="31" t="n">
        <x:v>1</x:v>
      </x:c>
      <x:c r="E46" s="31" t="n">
        <x:v>0</x:v>
      </x:c>
      <x:c r="F46" s="31" t="n">
        <x:v>43</x:v>
      </x:c>
      <x:c r="G46" s="31" t="n">
        <x:v>1551.465</x:v>
      </x:c>
      <x:c r="H46" s="31" t="n">
        <x:v>68180.68089</x:v>
      </x:c>
      <x:c r="I46" s="50" t="b">
        <x:v>0</x:v>
      </x:c>
    </x:row>
    <x:row r="47">
      <x:c r="A47" s="31" t="n">
        <x:v>45383</x:v>
      </x:c>
      <x:c r="B47" s="31" t="str">
        <x:v>Starter</x:v>
      </x:c>
      <x:c r="C47" s="31" t="n">
        <x:v>404</x:v>
      </x:c>
      <x:c r="D47" s="31" t="n">
        <x:v>19</x:v>
      </x:c>
      <x:c r="E47" s="31" t="n">
        <x:v>9</x:v>
      </x:c>
      <x:c r="F47" s="31" t="n">
        <x:v>414</x:v>
      </x:c>
      <x:c r="G47" s="31" t="n">
        <x:v>102.46499999999999</x:v>
      </x:c>
      <x:c r="H47" s="31" t="n">
        <x:v>42420.509999999995</x:v>
      </x:c>
      <x:c r="I47" s="50" t="b">
        <x:v>0</x:v>
      </x:c>
    </x:row>
    <x:row r="48">
      <x:c r="A48" s="31" t="n">
        <x:v>45383</x:v>
      </x:c>
      <x:c r="B48" s="31" t="str">
        <x:v>Growth</x:v>
      </x:c>
      <x:c r="C48" s="31" t="n">
        <x:v>237</x:v>
      </x:c>
      <x:c r="D48" s="31" t="n">
        <x:v>12</x:v>
      </x:c>
      <x:c r="E48" s="31" t="n">
        <x:v>4</x:v>
      </x:c>
      <x:c r="F48" s="31" t="n">
        <x:v>245</x:v>
      </x:c>
      <x:c r="G48" s="31" t="n">
        <x:v>361.215</x:v>
      </x:c>
      <x:c r="H48" s="31" t="n">
        <x:v>89559.64709999999</x:v>
      </x:c>
      <x:c r="I48" s="50" t="b">
        <x:v>0</x:v>
      </x:c>
    </x:row>
    <x:row r="49">
      <x:c r="A49" s="31" t="n">
        <x:v>45383</x:v>
      </x:c>
      <x:c r="B49" s="31" t="str">
        <x:v>Enterprise</x:v>
      </x:c>
      <x:c r="C49" s="31" t="n">
        <x:v>43</x:v>
      </x:c>
      <x:c r="D49" s="31" t="n">
        <x:v>2</x:v>
      </x:c>
      <x:c r="E49" s="31" t="n">
        <x:v>0</x:v>
      </x:c>
      <x:c r="F49" s="31" t="n">
        <x:v>45</x:v>
      </x:c>
      <x:c r="G49" s="31" t="n">
        <x:v>1551.465</x:v>
      </x:c>
      <x:c r="H49" s="31" t="n">
        <x:v>71351.87535</x:v>
      </x:c>
      <x:c r="I49" s="50" t="b">
        <x:v>0</x:v>
      </x:c>
    </x:row>
    <x:row r="50">
      <x:c r="A50" s="31" t="n">
        <x:v>45413</x:v>
      </x:c>
      <x:c r="B50" s="31" t="str">
        <x:v>Starter</x:v>
      </x:c>
      <x:c r="C50" s="31" t="n">
        <x:v>414</x:v>
      </x:c>
      <x:c r="D50" s="31" t="n">
        <x:v>17</x:v>
      </x:c>
      <x:c r="E50" s="31" t="n">
        <x:v>11</x:v>
      </x:c>
      <x:c r="F50" s="31" t="n">
        <x:v>420</x:v>
      </x:c>
      <x:c r="G50" s="31" t="n">
        <x:v>102.46499999999999</x:v>
      </x:c>
      <x:c r="H50" s="31" t="n">
        <x:v>43035.299999999996</x:v>
      </x:c>
      <x:c r="I50" s="50" t="b">
        <x:v>0</x:v>
      </x:c>
    </x:row>
    <x:row r="51">
      <x:c r="A51" s="31" t="n">
        <x:v>45413</x:v>
      </x:c>
      <x:c r="B51" s="31" t="str">
        <x:v>Growth</x:v>
      </x:c>
      <x:c r="C51" s="31" t="n">
        <x:v>245</x:v>
      </x:c>
      <x:c r="D51" s="31" t="n">
        <x:v>11</x:v>
      </x:c>
      <x:c r="E51" s="31" t="n">
        <x:v>4</x:v>
      </x:c>
      <x:c r="F51" s="31" t="n">
        <x:v>252</x:v>
      </x:c>
      <x:c r="G51" s="31" t="n">
        <x:v>361.215</x:v>
      </x:c>
      <x:c r="H51" s="31" t="n">
        <x:v>92118.49415999999</x:v>
      </x:c>
      <x:c r="I51" s="50" t="b">
        <x:v>0</x:v>
      </x:c>
    </x:row>
    <x:row r="52">
      <x:c r="A52" s="31" t="n">
        <x:v>45413</x:v>
      </x:c>
      <x:c r="B52" s="31" t="str">
        <x:v>Enterprise</x:v>
      </x:c>
      <x:c r="C52" s="31" t="n">
        <x:v>45</x:v>
      </x:c>
      <x:c r="D52" s="31" t="n">
        <x:v>2</x:v>
      </x:c>
      <x:c r="E52" s="31" t="n">
        <x:v>0</x:v>
      </x:c>
      <x:c r="F52" s="31" t="n">
        <x:v>47</x:v>
      </x:c>
      <x:c r="G52" s="31" t="n">
        <x:v>1551.465</x:v>
      </x:c>
      <x:c r="H52" s="31" t="n">
        <x:v>74523.06981</x:v>
      </x:c>
      <x:c r="I52" s="50" t="b">
        <x:v>0</x:v>
      </x:c>
    </x:row>
    <x:row r="53">
      <x:c r="A53" s="31" t="n">
        <x:v>45444</x:v>
      </x:c>
      <x:c r="B53" s="31" t="str">
        <x:v>Starter</x:v>
      </x:c>
      <x:c r="C53" s="31" t="n">
        <x:v>420</x:v>
      </x:c>
      <x:c r="D53" s="31" t="n">
        <x:v>17</x:v>
      </x:c>
      <x:c r="E53" s="31" t="n">
        <x:v>12</x:v>
      </x:c>
      <x:c r="F53" s="31" t="n">
        <x:v>425</x:v>
      </x:c>
      <x:c r="G53" s="31" t="n">
        <x:v>102.46499999999999</x:v>
      </x:c>
      <x:c r="H53" s="31" t="n">
        <x:v>43547.62499999999</x:v>
      </x:c>
      <x:c r="I53" s="50" t="b">
        <x:v>0</x:v>
      </x:c>
    </x:row>
    <x:row r="54">
      <x:c r="A54" s="31" t="n">
        <x:v>45444</x:v>
      </x:c>
      <x:c r="B54" s="31" t="str">
        <x:v>Growth</x:v>
      </x:c>
      <x:c r="C54" s="31" t="n">
        <x:v>252</x:v>
      </x:c>
      <x:c r="D54" s="31" t="n">
        <x:v>13</x:v>
      </x:c>
      <x:c r="E54" s="31" t="n">
        <x:v>3</x:v>
      </x:c>
      <x:c r="F54" s="31" t="n">
        <x:v>262</x:v>
      </x:c>
      <x:c r="G54" s="31" t="n">
        <x:v>361.215</x:v>
      </x:c>
      <x:c r="H54" s="31" t="n">
        <x:v>95773.98995999999</x:v>
      </x:c>
      <x:c r="I54" s="50" t="b">
        <x:v>0</x:v>
      </x:c>
    </x:row>
    <x:row r="55">
      <x:c r="A55" s="31" t="n">
        <x:v>45444</x:v>
      </x:c>
      <x:c r="B55" s="31" t="str">
        <x:v>Enterprise</x:v>
      </x:c>
      <x:c r="C55" s="31" t="n">
        <x:v>47</x:v>
      </x:c>
      <x:c r="D55" s="31" t="n">
        <x:v>2</x:v>
      </x:c>
      <x:c r="E55" s="31" t="n">
        <x:v>0</x:v>
      </x:c>
      <x:c r="F55" s="31" t="n">
        <x:v>49</x:v>
      </x:c>
      <x:c r="G55" s="31" t="n">
        <x:v>1551.465</x:v>
      </x:c>
      <x:c r="H55" s="31" t="n">
        <x:v>77694.26426999999</x:v>
      </x:c>
      <x:c r="I55" s="50" t="b">
        <x:v>0</x:v>
      </x:c>
    </x:row>
    <x:row r="56">
      <x:c r="A56" s="31" t="n">
        <x:v>45474</x:v>
      </x:c>
      <x:c r="B56" s="31" t="str">
        <x:v>Starter</x:v>
      </x:c>
      <x:c r="C56" s="31" t="n">
        <x:v>425</x:v>
      </x:c>
      <x:c r="D56" s="31" t="n">
        <x:v>17</x:v>
      </x:c>
      <x:c r="E56" s="31" t="n">
        <x:v>7</x:v>
      </x:c>
      <x:c r="F56" s="31" t="n">
        <x:v>435</x:v>
      </x:c>
      <x:c r="G56" s="31" t="n">
        <x:v>102.46499999999999</x:v>
      </x:c>
      <x:c r="H56" s="31" t="n">
        <x:v>44572.274999999994</x:v>
      </x:c>
      <x:c r="I56" s="50" t="b">
        <x:v>0</x:v>
      </x:c>
    </x:row>
    <x:row r="57">
      <x:c r="A57" s="31" t="n">
        <x:v>45474</x:v>
      </x:c>
      <x:c r="B57" s="31" t="str">
        <x:v>Growth</x:v>
      </x:c>
      <x:c r="C57" s="31" t="n">
        <x:v>262</x:v>
      </x:c>
      <x:c r="D57" s="31" t="n">
        <x:v>11</x:v>
      </x:c>
      <x:c r="E57" s="31" t="n">
        <x:v>4</x:v>
      </x:c>
      <x:c r="F57" s="31" t="n">
        <x:v>269</x:v>
      </x:c>
      <x:c r="G57" s="31" t="n">
        <x:v>361.215</x:v>
      </x:c>
      <x:c r="H57" s="31" t="n">
        <x:v>98332.83701999999</x:v>
      </x:c>
      <x:c r="I57" s="50" t="b">
        <x:v>0</x:v>
      </x:c>
    </x:row>
    <x:row r="58">
      <x:c r="A58" s="31" t="n">
        <x:v>45474</x:v>
      </x:c>
      <x:c r="B58" s="31" t="str">
        <x:v>Enterprise</x:v>
      </x:c>
      <x:c r="C58" s="31" t="n">
        <x:v>49</x:v>
      </x:c>
      <x:c r="D58" s="31" t="n">
        <x:v>2</x:v>
      </x:c>
      <x:c r="E58" s="31" t="n">
        <x:v>0</x:v>
      </x:c>
      <x:c r="F58" s="31" t="n">
        <x:v>51</x:v>
      </x:c>
      <x:c r="G58" s="31" t="n">
        <x:v>1551.465</x:v>
      </x:c>
      <x:c r="H58" s="31" t="n">
        <x:v>80865.45873</x:v>
      </x:c>
      <x:c r="I58" s="50" t="b">
        <x:v>0</x:v>
      </x:c>
    </x:row>
    <x:row r="59">
      <x:c r="A59" s="31" t="n">
        <x:v>45505</x:v>
      </x:c>
      <x:c r="B59" s="31" t="str">
        <x:v>Starter</x:v>
      </x:c>
      <x:c r="C59" s="31" t="n">
        <x:v>435</x:v>
      </x:c>
      <x:c r="D59" s="31" t="n">
        <x:v>16</x:v>
      </x:c>
      <x:c r="E59" s="31" t="n">
        <x:v>10</x:v>
      </x:c>
      <x:c r="F59" s="31" t="n">
        <x:v>441</x:v>
      </x:c>
      <x:c r="G59" s="31" t="n">
        <x:v>102.46499999999999</x:v>
      </x:c>
      <x:c r="H59" s="31" t="n">
        <x:v>45187.064999999995</x:v>
      </x:c>
      <x:c r="I59" s="50" t="b">
        <x:v>0</x:v>
      </x:c>
    </x:row>
    <x:row r="60">
      <x:c r="A60" s="31" t="n">
        <x:v>45505</x:v>
      </x:c>
      <x:c r="B60" s="31" t="str">
        <x:v>Growth</x:v>
      </x:c>
      <x:c r="C60" s="31" t="n">
        <x:v>269</x:v>
      </x:c>
      <x:c r="D60" s="31" t="n">
        <x:v>12</x:v>
      </x:c>
      <x:c r="E60" s="31" t="n">
        <x:v>4</x:v>
      </x:c>
      <x:c r="F60" s="31" t="n">
        <x:v>277</x:v>
      </x:c>
      <x:c r="G60" s="31" t="n">
        <x:v>361.215</x:v>
      </x:c>
      <x:c r="H60" s="31" t="n">
        <x:v>101257.23366</x:v>
      </x:c>
      <x:c r="I60" s="50" t="b">
        <x:v>0</x:v>
      </x:c>
    </x:row>
    <x:row r="61">
      <x:c r="A61" s="31" t="n">
        <x:v>45505</x:v>
      </x:c>
      <x:c r="B61" s="31" t="str">
        <x:v>Enterprise</x:v>
      </x:c>
      <x:c r="C61" s="31" t="n">
        <x:v>51</x:v>
      </x:c>
      <x:c r="D61" s="31" t="n">
        <x:v>2</x:v>
      </x:c>
      <x:c r="E61" s="31" t="n">
        <x:v>0</x:v>
      </x:c>
      <x:c r="F61" s="31" t="n">
        <x:v>53</x:v>
      </x:c>
      <x:c r="G61" s="31" t="n">
        <x:v>1551.465</x:v>
      </x:c>
      <x:c r="H61" s="31" t="n">
        <x:v>84036.65319</x:v>
      </x:c>
      <x:c r="I61" s="50" t="b">
        <x:v>0</x:v>
      </x:c>
    </x:row>
    <x:row r="62">
      <x:c r="A62" s="31" t="n">
        <x:v>45536</x:v>
      </x:c>
      <x:c r="B62" s="31" t="str">
        <x:v>Starter</x:v>
      </x:c>
      <x:c r="C62" s="31" t="n">
        <x:v>441</x:v>
      </x:c>
      <x:c r="D62" s="31" t="n">
        <x:v>16</x:v>
      </x:c>
      <x:c r="E62" s="31" t="n">
        <x:v>11</x:v>
      </x:c>
      <x:c r="F62" s="31" t="n">
        <x:v>446</x:v>
      </x:c>
      <x:c r="G62" s="31" t="n">
        <x:v>102.46499999999999</x:v>
      </x:c>
      <x:c r="H62" s="31" t="n">
        <x:v>45699.38999999999</x:v>
      </x:c>
      <x:c r="I62" s="50" t="b">
        <x:v>0</x:v>
      </x:c>
    </x:row>
    <x:row r="63">
      <x:c r="A63" s="31" t="n">
        <x:v>45536</x:v>
      </x:c>
      <x:c r="B63" s="31" t="str">
        <x:v>Growth</x:v>
      </x:c>
      <x:c r="C63" s="31" t="n">
        <x:v>277</x:v>
      </x:c>
      <x:c r="D63" s="31" t="n">
        <x:v>13</x:v>
      </x:c>
      <x:c r="E63" s="31" t="n">
        <x:v>4</x:v>
      </x:c>
      <x:c r="F63" s="31" t="n">
        <x:v>286</x:v>
      </x:c>
      <x:c r="G63" s="31" t="n">
        <x:v>361.215</x:v>
      </x:c>
      <x:c r="H63" s="31" t="n">
        <x:v>104547.17988</x:v>
      </x:c>
      <x:c r="I63" s="50" t="b">
        <x:v>0</x:v>
      </x:c>
    </x:row>
    <x:row r="64">
      <x:c r="A64" s="31" t="n">
        <x:v>45536</x:v>
      </x:c>
      <x:c r="B64" s="31" t="str">
        <x:v>Enterprise</x:v>
      </x:c>
      <x:c r="C64" s="31" t="n">
        <x:v>53</x:v>
      </x:c>
      <x:c r="D64" s="31" t="n">
        <x:v>1</x:v>
      </x:c>
      <x:c r="E64" s="31" t="n">
        <x:v>0</x:v>
      </x:c>
      <x:c r="F64" s="31" t="n">
        <x:v>54</x:v>
      </x:c>
      <x:c r="G64" s="31" t="n">
        <x:v>1551.465</x:v>
      </x:c>
      <x:c r="H64" s="31" t="n">
        <x:v>85622.25042</x:v>
      </x:c>
      <x:c r="I64" s="50" t="b">
        <x:v>0</x:v>
      </x:c>
    </x:row>
    <x:row r="65">
      <x:c r="A65" s="31" t="n">
        <x:v>45566</x:v>
      </x:c>
      <x:c r="B65" s="31" t="str">
        <x:v>Starter</x:v>
      </x:c>
      <x:c r="C65" s="31" t="n">
        <x:v>446</x:v>
      </x:c>
      <x:c r="D65" s="31" t="n">
        <x:v>18</x:v>
      </x:c>
      <x:c r="E65" s="31" t="n">
        <x:v>11</x:v>
      </x:c>
      <x:c r="F65" s="31" t="n">
        <x:v>453</x:v>
      </x:c>
      <x:c r="G65" s="31" t="n">
        <x:v>102.46499999999999</x:v>
      </x:c>
      <x:c r="H65" s="31" t="n">
        <x:v>46416.645</x:v>
      </x:c>
      <x:c r="I65" s="50" t="b">
        <x:v>0</x:v>
      </x:c>
    </x:row>
    <x:row r="66">
      <x:c r="A66" s="31" t="n">
        <x:v>45566</x:v>
      </x:c>
      <x:c r="B66" s="31" t="str">
        <x:v>Growth</x:v>
      </x:c>
      <x:c r="C66" s="31" t="n">
        <x:v>286</x:v>
      </x:c>
      <x:c r="D66" s="31" t="n">
        <x:v>14</x:v>
      </x:c>
      <x:c r="E66" s="31" t="n">
        <x:v>5</x:v>
      </x:c>
      <x:c r="F66" s="31" t="n">
        <x:v>295</x:v>
      </x:c>
      <x:c r="G66" s="31" t="n">
        <x:v>361.215</x:v>
      </x:c>
      <x:c r="H66" s="31" t="n">
        <x:v>107837.1261</x:v>
      </x:c>
      <x:c r="I66" s="50" t="b">
        <x:v>0</x:v>
      </x:c>
    </x:row>
    <x:row r="67">
      <x:c r="A67" s="31" t="n">
        <x:v>45566</x:v>
      </x:c>
      <x:c r="B67" s="31" t="str">
        <x:v>Enterprise</x:v>
      </x:c>
      <x:c r="C67" s="31" t="n">
        <x:v>54</x:v>
      </x:c>
      <x:c r="D67" s="31" t="n">
        <x:v>1</x:v>
      </x:c>
      <x:c r="E67" s="31" t="n">
        <x:v>0</x:v>
      </x:c>
      <x:c r="F67" s="31" t="n">
        <x:v>55</x:v>
      </x:c>
      <x:c r="G67" s="31" t="n">
        <x:v>1551.465</x:v>
      </x:c>
      <x:c r="H67" s="31" t="n">
        <x:v>87207.84765</x:v>
      </x:c>
      <x:c r="I67" s="50" t="b">
        <x:v>0</x:v>
      </x:c>
    </x:row>
    <x:row r="68">
      <x:c r="A68" s="31" t="n">
        <x:v>45597</x:v>
      </x:c>
      <x:c r="B68" s="31" t="str">
        <x:v>Starter</x:v>
      </x:c>
      <x:c r="C68" s="31" t="n">
        <x:v>453</x:v>
      </x:c>
      <x:c r="D68" s="31" t="n">
        <x:v>17</x:v>
      </x:c>
      <x:c r="E68" s="31" t="n">
        <x:v>11</x:v>
      </x:c>
      <x:c r="F68" s="31" t="n">
        <x:v>459</x:v>
      </x:c>
      <x:c r="G68" s="31" t="n">
        <x:v>102.46499999999999</x:v>
      </x:c>
      <x:c r="H68" s="31" t="n">
        <x:v>47031.435</x:v>
      </x:c>
      <x:c r="I68" s="50" t="b">
        <x:v>0</x:v>
      </x:c>
    </x:row>
    <x:row r="69">
      <x:c r="A69" s="31" t="n">
        <x:v>45597</x:v>
      </x:c>
      <x:c r="B69" s="31" t="str">
        <x:v>Growth</x:v>
      </x:c>
      <x:c r="C69" s="31" t="n">
        <x:v>295</x:v>
      </x:c>
      <x:c r="D69" s="31" t="n">
        <x:v>14</x:v>
      </x:c>
      <x:c r="E69" s="31" t="n">
        <x:v>5</x:v>
      </x:c>
      <x:c r="F69" s="31" t="n">
        <x:v>304</x:v>
      </x:c>
      <x:c r="G69" s="31" t="n">
        <x:v>361.215</x:v>
      </x:c>
      <x:c r="H69" s="31" t="n">
        <x:v>111127.07231999999</x:v>
      </x:c>
      <x:c r="I69" s="50" t="b">
        <x:v>0</x:v>
      </x:c>
    </x:row>
    <x:row r="70">
      <x:c r="A70" s="31" t="n">
        <x:v>45597</x:v>
      </x:c>
      <x:c r="B70" s="31" t="str">
        <x:v>Enterprise</x:v>
      </x:c>
      <x:c r="C70" s="31" t="n">
        <x:v>55</x:v>
      </x:c>
      <x:c r="D70" s="31" t="n">
        <x:v>1</x:v>
      </x:c>
      <x:c r="E70" s="31" t="n">
        <x:v>0</x:v>
      </x:c>
      <x:c r="F70" s="31" t="n">
        <x:v>56</x:v>
      </x:c>
      <x:c r="G70" s="31" t="n">
        <x:v>1551.465</x:v>
      </x:c>
      <x:c r="H70" s="31" t="n">
        <x:v>88793.44488</x:v>
      </x:c>
      <x:c r="I70" s="50" t="b">
        <x:v>0</x:v>
      </x:c>
    </x:row>
    <x:row r="71">
      <x:c r="A71" s="31" t="n">
        <x:v>45627</x:v>
      </x:c>
      <x:c r="B71" s="31" t="str">
        <x:v>Starter</x:v>
      </x:c>
      <x:c r="C71" s="31" t="n">
        <x:v>459</x:v>
      </x:c>
      <x:c r="D71" s="31" t="n">
        <x:v>18</x:v>
      </x:c>
      <x:c r="E71" s="31" t="n">
        <x:v>11</x:v>
      </x:c>
      <x:c r="F71" s="31" t="n">
        <x:v>466</x:v>
      </x:c>
      <x:c r="G71" s="31" t="n">
        <x:v>102.46499999999999</x:v>
      </x:c>
      <x:c r="H71" s="31" t="n">
        <x:v>47748.689999999995</x:v>
      </x:c>
      <x:c r="I71" s="50" t="b">
        <x:v>0</x:v>
      </x:c>
    </x:row>
    <x:row r="72">
      <x:c r="A72" s="31" t="n">
        <x:v>45627</x:v>
      </x:c>
      <x:c r="B72" s="31" t="str">
        <x:v>Growth</x:v>
      </x:c>
      <x:c r="C72" s="31" t="n">
        <x:v>304</x:v>
      </x:c>
      <x:c r="D72" s="31" t="n">
        <x:v>13</x:v>
      </x:c>
      <x:c r="E72" s="31" t="n">
        <x:v>5</x:v>
      </x:c>
      <x:c r="F72" s="31" t="n">
        <x:v>312</x:v>
      </x:c>
      <x:c r="G72" s="31" t="n">
        <x:v>361.215</x:v>
      </x:c>
      <x:c r="H72" s="31" t="n">
        <x:v>114051.46895999998</x:v>
      </x:c>
      <x:c r="I72" s="50" t="b">
        <x:v>0</x:v>
      </x:c>
    </x:row>
    <x:row r="73">
      <x:c r="A73" s="31" t="n">
        <x:v>45627</x:v>
      </x:c>
      <x:c r="B73" s="31" t="str">
        <x:v>Enterprise</x:v>
      </x:c>
      <x:c r="C73" s="31" t="n">
        <x:v>56</x:v>
      </x:c>
      <x:c r="D73" s="31" t="n">
        <x:v>1</x:v>
      </x:c>
      <x:c r="E73" s="31" t="n">
        <x:v>0</x:v>
      </x:c>
      <x:c r="F73" s="31" t="n">
        <x:v>57</x:v>
      </x:c>
      <x:c r="G73" s="31" t="n">
        <x:v>1551.465</x:v>
      </x:c>
      <x:c r="H73" s="31" t="n">
        <x:v>90379.04211</x:v>
      </x:c>
      <x:c r="I73" s="50" t="b">
        <x:v>0</x:v>
      </x:c>
    </x:row>
    <x:row r="74">
      <x:c r="A74" s="31" t="n">
        <x:v>45658</x:v>
      </x:c>
      <x:c r="B74" s="31" t="str">
        <x:v>Starter</x:v>
      </x:c>
      <x:c r="C74" s="31" t="n">
        <x:v>466</x:v>
      </x:c>
      <x:c r="D74" s="31" t="n">
        <x:v>19</x:v>
      </x:c>
      <x:c r="E74" s="31" t="n">
        <x:v>10</x:v>
      </x:c>
      <x:c r="F74" s="31" t="n">
        <x:v>475</x:v>
      </x:c>
      <x:c r="G74" s="31" t="n">
        <x:v>106.05127499999999</x:v>
      </x:c>
      <x:c r="H74" s="31" t="n">
        <x:v>50374.355625</x:v>
      </x:c>
      <x:c r="I74" s="50" t="b">
        <x:v>0</x:v>
      </x:c>
    </x:row>
    <x:row r="75">
      <x:c r="A75" s="31" t="n">
        <x:v>45658</x:v>
      </x:c>
      <x:c r="B75" s="31" t="str">
        <x:v>Growth</x:v>
      </x:c>
      <x:c r="C75" s="31" t="n">
        <x:v>312</x:v>
      </x:c>
      <x:c r="D75" s="31" t="n">
        <x:v>13</x:v>
      </x:c>
      <x:c r="E75" s="31" t="n">
        <x:v>5</x:v>
      </x:c>
      <x:c r="F75" s="31" t="n">
        <x:v>320</x:v>
      </x:c>
      <x:c r="G75" s="31" t="n">
        <x:v>373.85752499999995</x:v>
      </x:c>
      <x:c r="H75" s="31" t="n">
        <x:v>121070.02089599999</x:v>
      </x:c>
      <x:c r="I75" s="50" t="b">
        <x:v>0</x:v>
      </x:c>
    </x:row>
    <x:row r="76">
      <x:c r="A76" s="31" t="n">
        <x:v>45658</x:v>
      </x:c>
      <x:c r="B76" s="31" t="str">
        <x:v>Enterprise</x:v>
      </x:c>
      <x:c r="C76" s="31" t="n">
        <x:v>57</x:v>
      </x:c>
      <x:c r="D76" s="31" t="n">
        <x:v>2</x:v>
      </x:c>
      <x:c r="E76" s="31" t="n">
        <x:v>0</x:v>
      </x:c>
      <x:c r="F76" s="31" t="n">
        <x:v>59</x:v>
      </x:c>
      <x:c r="G76" s="31" t="n">
        <x:v>1605.7662749999997</x:v>
      </x:c>
      <x:c r="H76" s="31" t="n">
        <x:v>96824.49484994999</x:v>
      </x:c>
      <x:c r="I76" s="50" t="b">
        <x:v>0</x:v>
      </x:c>
    </x:row>
    <x:row r="77">
      <x:c r="A77" s="31" t="n">
        <x:v>45689</x:v>
      </x:c>
      <x:c r="B77" s="31" t="str">
        <x:v>Starter</x:v>
      </x:c>
      <x:c r="C77" s="31" t="n">
        <x:v>475</x:v>
      </x:c>
      <x:c r="D77" s="31" t="n">
        <x:v>20</x:v>
      </x:c>
      <x:c r="E77" s="31" t="n">
        <x:v>14</x:v>
      </x:c>
      <x:c r="F77" s="31" t="n">
        <x:v>481</x:v>
      </x:c>
      <x:c r="G77" s="31" t="n">
        <x:v>106.05127499999999</x:v>
      </x:c>
      <x:c r="H77" s="31" t="n">
        <x:v>51010.66327499999</x:v>
      </x:c>
      <x:c r="I77" s="50" t="b">
        <x:v>0</x:v>
      </x:c>
    </x:row>
    <x:row r="78">
      <x:c r="A78" s="31" t="n">
        <x:v>45689</x:v>
      </x:c>
      <x:c r="B78" s="31" t="str">
        <x:v>Growth</x:v>
      </x:c>
      <x:c r="C78" s="31" t="n">
        <x:v>320</x:v>
      </x:c>
      <x:c r="D78" s="31" t="n">
        <x:v>16</x:v>
      </x:c>
      <x:c r="E78" s="31" t="n">
        <x:v>5</x:v>
      </x:c>
      <x:c r="F78" s="31" t="n">
        <x:v>331</x:v>
      </x:c>
      <x:c r="G78" s="31" t="n">
        <x:v>373.85752499999995</x:v>
      </x:c>
      <x:c r="H78" s="31" t="n">
        <x:v>125231.80286429999</x:v>
      </x:c>
      <x:c r="I78" s="50" t="b">
        <x:v>0</x:v>
      </x:c>
    </x:row>
    <x:row r="79">
      <x:c r="A79" s="31" t="n">
        <x:v>45689</x:v>
      </x:c>
      <x:c r="B79" s="31" t="str">
        <x:v>Enterprise</x:v>
      </x:c>
      <x:c r="C79" s="31" t="n">
        <x:v>59</x:v>
      </x:c>
      <x:c r="D79" s="31" t="n">
        <x:v>2</x:v>
      </x:c>
      <x:c r="E79" s="31" t="n">
        <x:v>0</x:v>
      </x:c>
      <x:c r="F79" s="31" t="n">
        <x:v>61</x:v>
      </x:c>
      <x:c r="G79" s="31" t="n">
        <x:v>1605.7662749999997</x:v>
      </x:c>
      <x:c r="H79" s="31" t="n">
        <x:v>100106.68111604998</x:v>
      </x:c>
      <x:c r="I79" s="50" t="b">
        <x:v>0</x:v>
      </x:c>
    </x:row>
    <x:row r="80">
      <x:c r="A80" s="31" t="n">
        <x:v>45717</x:v>
      </x:c>
      <x:c r="B80" s="31" t="str">
        <x:v>Starter</x:v>
      </x:c>
      <x:c r="C80" s="31" t="n">
        <x:v>481</x:v>
      </x:c>
      <x:c r="D80" s="31" t="n">
        <x:v>21</x:v>
      </x:c>
      <x:c r="E80" s="31" t="n">
        <x:v>11</x:v>
      </x:c>
      <x:c r="F80" s="31" t="n">
        <x:v>491</x:v>
      </x:c>
      <x:c r="G80" s="31" t="n">
        <x:v>106.05127499999999</x:v>
      </x:c>
      <x:c r="H80" s="31" t="n">
        <x:v>52071.17602499999</x:v>
      </x:c>
      <x:c r="I80" s="50" t="b">
        <x:v>0</x:v>
      </x:c>
    </x:row>
    <x:row r="81">
      <x:c r="A81" s="31" t="n">
        <x:v>45717</x:v>
      </x:c>
      <x:c r="B81" s="31" t="str">
        <x:v>Growth</x:v>
      </x:c>
      <x:c r="C81" s="31" t="n">
        <x:v>331</x:v>
      </x:c>
      <x:c r="D81" s="31" t="n">
        <x:v>17</x:v>
      </x:c>
      <x:c r="E81" s="31" t="n">
        <x:v>5</x:v>
      </x:c>
      <x:c r="F81" s="31" t="n">
        <x:v>343</x:v>
      </x:c>
      <x:c r="G81" s="31" t="n">
        <x:v>373.85752499999995</x:v>
      </x:c>
      <x:c r="H81" s="31" t="n">
        <x:v>129771.92864789999</x:v>
      </x:c>
      <x:c r="I81" s="50" t="b">
        <x:v>0</x:v>
      </x:c>
    </x:row>
    <x:row r="82">
      <x:c r="A82" s="31" t="n">
        <x:v>45717</x:v>
      </x:c>
      <x:c r="B82" s="31" t="str">
        <x:v>Enterprise</x:v>
      </x:c>
      <x:c r="C82" s="31" t="n">
        <x:v>61</x:v>
      </x:c>
      <x:c r="D82" s="31" t="n">
        <x:v>2</x:v>
      </x:c>
      <x:c r="E82" s="31" t="n">
        <x:v>0</x:v>
      </x:c>
      <x:c r="F82" s="31" t="n">
        <x:v>63</x:v>
      </x:c>
      <x:c r="G82" s="31" t="n">
        <x:v>1605.7662749999997</x:v>
      </x:c>
      <x:c r="H82" s="31" t="n">
        <x:v>103388.86738214998</x:v>
      </x:c>
      <x:c r="I82" s="50" t="b">
        <x:v>0</x:v>
      </x:c>
    </x:row>
    <x:row r="83">
      <x:c r="A83" s="31" t="n">
        <x:v>45748</x:v>
      </x:c>
      <x:c r="B83" s="31" t="str">
        <x:v>Starter</x:v>
      </x:c>
      <x:c r="C83" s="31" t="n">
        <x:v>491</x:v>
      </x:c>
      <x:c r="D83" s="31" t="n">
        <x:v>20</x:v>
      </x:c>
      <x:c r="E83" s="31" t="n">
        <x:v>8</x:v>
      </x:c>
      <x:c r="F83" s="31" t="n">
        <x:v>503</x:v>
      </x:c>
      <x:c r="G83" s="31" t="n">
        <x:v>106.05127499999999</x:v>
      </x:c>
      <x:c r="H83" s="31" t="n">
        <x:v>53343.791325</x:v>
      </x:c>
      <x:c r="I83" s="50" t="b">
        <x:v>0</x:v>
      </x:c>
    </x:row>
    <x:row r="84">
      <x:c r="A84" s="31" t="n">
        <x:v>45748</x:v>
      </x:c>
      <x:c r="B84" s="31" t="str">
        <x:v>Growth</x:v>
      </x:c>
      <x:c r="C84" s="31" t="n">
        <x:v>343</x:v>
      </x:c>
      <x:c r="D84" s="31" t="n">
        <x:v>18</x:v>
      </x:c>
      <x:c r="E84" s="31" t="n">
        <x:v>6</x:v>
      </x:c>
      <x:c r="F84" s="31" t="n">
        <x:v>355</x:v>
      </x:c>
      <x:c r="G84" s="31" t="n">
        <x:v>373.85752499999995</x:v>
      </x:c>
      <x:c r="H84" s="31" t="n">
        <x:v>134312.05443149997</x:v>
      </x:c>
      <x:c r="I84" s="50" t="b">
        <x:v>0</x:v>
      </x:c>
    </x:row>
    <x:row r="85">
      <x:c r="A85" s="31" t="n">
        <x:v>45748</x:v>
      </x:c>
      <x:c r="B85" s="31" t="str">
        <x:v>Enterprise</x:v>
      </x:c>
      <x:c r="C85" s="31" t="n">
        <x:v>63</x:v>
      </x:c>
      <x:c r="D85" s="31" t="n">
        <x:v>2</x:v>
      </x:c>
      <x:c r="E85" s="31" t="n">
        <x:v>1</x:v>
      </x:c>
      <x:c r="F85" s="31" t="n">
        <x:v>64</x:v>
      </x:c>
      <x:c r="G85" s="31" t="n">
        <x:v>1605.7662749999997</x:v>
      </x:c>
      <x:c r="H85" s="31" t="n">
        <x:v>105029.96051519999</x:v>
      </x:c>
      <x:c r="I85" s="50" t="b">
        <x:v>0</x:v>
      </x:c>
    </x:row>
    <x:row r="86">
      <x:c r="A86" s="31" t="n">
        <x:v>45778</x:v>
      </x:c>
      <x:c r="B86" s="31" t="str">
        <x:v>Starter</x:v>
      </x:c>
      <x:c r="C86" s="31" t="n">
        <x:v>503</x:v>
      </x:c>
      <x:c r="D86" s="31" t="n">
        <x:v>23</x:v>
      </x:c>
      <x:c r="E86" s="31" t="n">
        <x:v>16</x:v>
      </x:c>
      <x:c r="F86" s="31" t="n">
        <x:v>510</x:v>
      </x:c>
      <x:c r="G86" s="31" t="n">
        <x:v>106.05127499999999</x:v>
      </x:c>
      <x:c r="H86" s="31" t="n">
        <x:v>54086.15024999999</x:v>
      </x:c>
      <x:c r="I86" s="50" t="b">
        <x:v>0</x:v>
      </x:c>
    </x:row>
    <x:row r="87">
      <x:c r="A87" s="31" t="n">
        <x:v>45778</x:v>
      </x:c>
      <x:c r="B87" s="31" t="str">
        <x:v>Growth</x:v>
      </x:c>
      <x:c r="C87" s="31" t="n">
        <x:v>355</x:v>
      </x:c>
      <x:c r="D87" s="31" t="n">
        <x:v>21</x:v>
      </x:c>
      <x:c r="E87" s="31" t="n">
        <x:v>6</x:v>
      </x:c>
      <x:c r="F87" s="31" t="n">
        <x:v>370</x:v>
      </x:c>
      <x:c r="G87" s="31" t="n">
        <x:v>373.85752499999995</x:v>
      </x:c>
      <x:c r="H87" s="31" t="n">
        <x:v>139987.211661</x:v>
      </x:c>
      <x:c r="I87" s="50" t="b">
        <x:v>0</x:v>
      </x:c>
    </x:row>
    <x:row r="88">
      <x:c r="A88" s="31" t="n">
        <x:v>45778</x:v>
      </x:c>
      <x:c r="B88" s="31" t="str">
        <x:v>Enterprise</x:v>
      </x:c>
      <x:c r="C88" s="31" t="n">
        <x:v>64</x:v>
      </x:c>
      <x:c r="D88" s="31" t="n">
        <x:v>2</x:v>
      </x:c>
      <x:c r="E88" s="31" t="n">
        <x:v>0</x:v>
      </x:c>
      <x:c r="F88" s="31" t="n">
        <x:v>66</x:v>
      </x:c>
      <x:c r="G88" s="31" t="n">
        <x:v>1605.7662749999997</x:v>
      </x:c>
      <x:c r="H88" s="31" t="n">
        <x:v>108312.14678129999</x:v>
      </x:c>
      <x:c r="I88" s="50" t="b">
        <x:v>0</x:v>
      </x:c>
    </x:row>
    <x:row r="89">
      <x:c r="A89" s="31" t="n">
        <x:v>45809</x:v>
      </x:c>
      <x:c r="B89" s="31" t="str">
        <x:v>Starter</x:v>
      </x:c>
      <x:c r="C89" s="31" t="n">
        <x:v>510</x:v>
      </x:c>
      <x:c r="D89" s="31" t="n">
        <x:v>21</x:v>
      </x:c>
      <x:c r="E89" s="31" t="n">
        <x:v>13</x:v>
      </x:c>
      <x:c r="F89" s="31" t="n">
        <x:v>518</x:v>
      </x:c>
      <x:c r="G89" s="31" t="n">
        <x:v>106.05127499999999</x:v>
      </x:c>
      <x:c r="H89" s="31" t="n">
        <x:v>54934.56045</x:v>
      </x:c>
      <x:c r="I89" s="50" t="b">
        <x:v>0</x:v>
      </x:c>
    </x:row>
    <x:row r="90">
      <x:c r="A90" s="31" t="n">
        <x:v>45809</x:v>
      </x:c>
      <x:c r="B90" s="31" t="str">
        <x:v>Growth</x:v>
      </x:c>
      <x:c r="C90" s="31" t="n">
        <x:v>370</x:v>
      </x:c>
      <x:c r="D90" s="31" t="n">
        <x:v>20</x:v>
      </x:c>
      <x:c r="E90" s="31" t="n">
        <x:v>5</x:v>
      </x:c>
      <x:c r="F90" s="31" t="n">
        <x:v>385</x:v>
      </x:c>
      <x:c r="G90" s="31" t="n">
        <x:v>373.85752499999995</x:v>
      </x:c>
      <x:c r="H90" s="31" t="n">
        <x:v>145662.3688905</x:v>
      </x:c>
      <x:c r="I90" s="50" t="b">
        <x:v>0</x:v>
      </x:c>
    </x:row>
    <x:row r="91">
      <x:c r="A91" s="31" t="n">
        <x:v>45809</x:v>
      </x:c>
      <x:c r="B91" s="31" t="str">
        <x:v>Enterprise</x:v>
      </x:c>
      <x:c r="C91" s="31" t="n">
        <x:v>66</x:v>
      </x:c>
      <x:c r="D91" s="31" t="n">
        <x:v>2</x:v>
      </x:c>
      <x:c r="E91" s="31" t="n">
        <x:v>1</x:v>
      </x:c>
      <x:c r="F91" s="31" t="n">
        <x:v>67</x:v>
      </x:c>
      <x:c r="G91" s="31" t="n">
        <x:v>1605.7662749999997</x:v>
      </x:c>
      <x:c r="H91" s="31" t="n">
        <x:v>109953.23991435</x:v>
      </x:c>
      <x:c r="I91" s="50" t="b">
        <x:v>0</x:v>
      </x:c>
    </x:row>
    <x:row r="92">
      <x:c r="A92" s="31" t="n">
        <x:v>45839</x:v>
      </x:c>
      <x:c r="B92" s="31" t="str">
        <x:v>Starter</x:v>
      </x:c>
      <x:c r="C92" s="31" t="n">
        <x:v>518</x:v>
      </x:c>
      <x:c r="D92" s="31" t="n">
        <x:v>21</x:v>
      </x:c>
      <x:c r="E92" s="31" t="n">
        <x:v>15</x:v>
      </x:c>
      <x:c r="F92" s="31" t="n">
        <x:v>524</x:v>
      </x:c>
      <x:c r="G92" s="31" t="n">
        <x:v>106.05127499999999</x:v>
      </x:c>
      <x:c r="H92" s="31" t="n">
        <x:v>55570.86809999999</x:v>
      </x:c>
      <x:c r="I92" s="50" t="b">
        <x:v>0</x:v>
      </x:c>
    </x:row>
    <x:row r="93">
      <x:c r="A93" s="31" t="n">
        <x:v>45839</x:v>
      </x:c>
      <x:c r="B93" s="31" t="str">
        <x:v>Growth</x:v>
      </x:c>
      <x:c r="C93" s="31" t="n">
        <x:v>385</x:v>
      </x:c>
      <x:c r="D93" s="31" t="n">
        <x:v>21</x:v>
      </x:c>
      <x:c r="E93" s="31" t="n">
        <x:v>5</x:v>
      </x:c>
      <x:c r="F93" s="31" t="n">
        <x:v>401</x:v>
      </x:c>
      <x:c r="G93" s="31" t="n">
        <x:v>373.85752499999995</x:v>
      </x:c>
      <x:c r="H93" s="31" t="n">
        <x:v>151715.86993529997</x:v>
      </x:c>
      <x:c r="I93" s="50" t="b">
        <x:v>0</x:v>
      </x:c>
    </x:row>
    <x:row r="94">
      <x:c r="A94" s="31" t="n">
        <x:v>45839</x:v>
      </x:c>
      <x:c r="B94" s="31" t="str">
        <x:v>Enterprise</x:v>
      </x:c>
      <x:c r="C94" s="31" t="n">
        <x:v>67</x:v>
      </x:c>
      <x:c r="D94" s="31" t="n">
        <x:v>2</x:v>
      </x:c>
      <x:c r="E94" s="31" t="n">
        <x:v>1</x:v>
      </x:c>
      <x:c r="F94" s="31" t="n">
        <x:v>68</x:v>
      </x:c>
      <x:c r="G94" s="31" t="n">
        <x:v>1605.7662749999997</x:v>
      </x:c>
      <x:c r="H94" s="31" t="n">
        <x:v>111594.33304739998</x:v>
      </x:c>
      <x:c r="I94" s="50" t="b">
        <x:v>0</x:v>
      </x:c>
    </x:row>
    <x:row r="95">
      <x:c r="A95" s="31" t="n">
        <x:v>45870</x:v>
      </x:c>
      <x:c r="B95" s="31" t="str">
        <x:v>Starter</x:v>
      </x:c>
      <x:c r="C95" s="31" t="n">
        <x:v>524</x:v>
      </x:c>
      <x:c r="D95" s="31" t="n">
        <x:v>21</x:v>
      </x:c>
      <x:c r="E95" s="31" t="n">
        <x:v>10</x:v>
      </x:c>
      <x:c r="F95" s="31" t="n">
        <x:v>535</x:v>
      </x:c>
      <x:c r="G95" s="31" t="n">
        <x:v>106.05127499999999</x:v>
      </x:c>
      <x:c r="H95" s="31" t="n">
        <x:v>56737.43212499999</x:v>
      </x:c>
      <x:c r="I95" s="50" t="b">
        <x:v>0</x:v>
      </x:c>
    </x:row>
    <x:row r="96">
      <x:c r="A96" s="31" t="n">
        <x:v>45870</x:v>
      </x:c>
      <x:c r="B96" s="31" t="str">
        <x:v>Growth</x:v>
      </x:c>
      <x:c r="C96" s="31" t="n">
        <x:v>401</x:v>
      </x:c>
      <x:c r="D96" s="31" t="n">
        <x:v>16</x:v>
      </x:c>
      <x:c r="E96" s="31" t="n">
        <x:v>7</x:v>
      </x:c>
      <x:c r="F96" s="31" t="n">
        <x:v>410</x:v>
      </x:c>
      <x:c r="G96" s="31" t="n">
        <x:v>373.85752499999995</x:v>
      </x:c>
      <x:c r="H96" s="31" t="n">
        <x:v>155120.964273</x:v>
      </x:c>
      <x:c r="I96" s="50" t="b">
        <x:v>0</x:v>
      </x:c>
    </x:row>
    <x:row r="97">
      <x:c r="A97" s="31" t="n">
        <x:v>45870</x:v>
      </x:c>
      <x:c r="B97" s="31" t="str">
        <x:v>Enterprise</x:v>
      </x:c>
      <x:c r="C97" s="31" t="n">
        <x:v>68</x:v>
      </x:c>
      <x:c r="D97" s="31" t="n">
        <x:v>2</x:v>
      </x:c>
      <x:c r="E97" s="31" t="n">
        <x:v>0</x:v>
      </x:c>
      <x:c r="F97" s="31" t="n">
        <x:v>70</x:v>
      </x:c>
      <x:c r="G97" s="31" t="n">
        <x:v>1605.7662749999997</x:v>
      </x:c>
      <x:c r="H97" s="31" t="n">
        <x:v>114876.51931349999</x:v>
      </x:c>
      <x:c r="I97" s="50" t="b">
        <x:v>0</x:v>
      </x:c>
    </x:row>
    <x:row r="98">
      <x:c r="A98" s="31" t="n">
        <x:v>45901</x:v>
      </x:c>
      <x:c r="B98" s="31" t="str">
        <x:v>Starter</x:v>
      </x:c>
      <x:c r="C98" s="31" t="n">
        <x:v>535</x:v>
      </x:c>
      <x:c r="D98" s="31" t="n">
        <x:v>16</x:v>
      </x:c>
      <x:c r="E98" s="31" t="n">
        <x:v>12</x:v>
      </x:c>
      <x:c r="F98" s="31" t="n">
        <x:v>539</x:v>
      </x:c>
      <x:c r="G98" s="31" t="n">
        <x:v>106.05127499999999</x:v>
      </x:c>
      <x:c r="H98" s="31" t="n">
        <x:v>57161.63722499999</x:v>
      </x:c>
      <x:c r="I98" s="50" t="b">
        <x:v>0</x:v>
      </x:c>
    </x:row>
    <x:row r="99">
      <x:c r="A99" s="31" t="n">
        <x:v>45901</x:v>
      </x:c>
      <x:c r="B99" s="31" t="str">
        <x:v>Growth</x:v>
      </x:c>
      <x:c r="C99" s="31" t="n">
        <x:v>410</x:v>
      </x:c>
      <x:c r="D99" s="31" t="n">
        <x:v>18</x:v>
      </x:c>
      <x:c r="E99" s="31" t="n">
        <x:v>7</x:v>
      </x:c>
      <x:c r="F99" s="31" t="n">
        <x:v>421</x:v>
      </x:c>
      <x:c r="G99" s="31" t="n">
        <x:v>373.85752499999995</x:v>
      </x:c>
      <x:c r="H99" s="31" t="n">
        <x:v>159282.74624129996</x:v>
      </x:c>
      <x:c r="I99" s="50" t="b">
        <x:v>0</x:v>
      </x:c>
    </x:row>
    <x:row r="100">
      <x:c r="A100" s="31" t="n">
        <x:v>45901</x:v>
      </x:c>
      <x:c r="B100" s="31" t="str">
        <x:v>Enterprise</x:v>
      </x:c>
      <x:c r="C100" s="31" t="n">
        <x:v>70</x:v>
      </x:c>
      <x:c r="D100" s="31" t="n">
        <x:v>2</x:v>
      </x:c>
      <x:c r="E100" s="31" t="n">
        <x:v>1</x:v>
      </x:c>
      <x:c r="F100" s="31" t="n">
        <x:v>71</x:v>
      </x:c>
      <x:c r="G100" s="31" t="n">
        <x:v>1605.7662749999997</x:v>
      </x:c>
      <x:c r="H100" s="31" t="n">
        <x:v>116517.61244654999</x:v>
      </x:c>
      <x:c r="I100" s="50" t="b">
        <x:v>0</x:v>
      </x:c>
    </x:row>
    <x:row r="101">
      <x:c r="A101" s="31" t="n">
        <x:v>45931</x:v>
      </x:c>
      <x:c r="B101" s="31" t="str">
        <x:v>Starter</x:v>
      </x:c>
      <x:c r="C101" s="31" t="n">
        <x:v>539</x:v>
      </x:c>
      <x:c r="D101" s="31" t="n">
        <x:v>21</x:v>
      </x:c>
      <x:c r="E101" s="31" t="n">
        <x:v>14</x:v>
      </x:c>
      <x:c r="F101" s="31" t="n">
        <x:v>546</x:v>
      </x:c>
      <x:c r="G101" s="31" t="n">
        <x:v>106.05127499999999</x:v>
      </x:c>
      <x:c r="H101" s="31" t="n">
        <x:v>57903.99614999999</x:v>
      </x:c>
      <x:c r="I101" s="50" t="b">
        <x:v>0</x:v>
      </x:c>
    </x:row>
    <x:row r="102">
      <x:c r="A102" s="31" t="n">
        <x:v>45931</x:v>
      </x:c>
      <x:c r="B102" s="31" t="str">
        <x:v>Growth</x:v>
      </x:c>
      <x:c r="C102" s="31" t="n">
        <x:v>421</x:v>
      </x:c>
      <x:c r="D102" s="31" t="n">
        <x:v>19</x:v>
      </x:c>
      <x:c r="E102" s="31" t="n">
        <x:v>7</x:v>
      </x:c>
      <x:c r="F102" s="31" t="n">
        <x:v>433</x:v>
      </x:c>
      <x:c r="G102" s="31" t="n">
        <x:v>373.85752499999995</x:v>
      </x:c>
      <x:c r="H102" s="31" t="n">
        <x:v>163822.8720249</x:v>
      </x:c>
      <x:c r="I102" s="50" t="b">
        <x:v>0</x:v>
      </x:c>
    </x:row>
    <x:row r="103">
      <x:c r="A103" s="31" t="n">
        <x:v>45931</x:v>
      </x:c>
      <x:c r="B103" s="31" t="str">
        <x:v>Enterprise</x:v>
      </x:c>
      <x:c r="C103" s="31" t="n">
        <x:v>71</x:v>
      </x:c>
      <x:c r="D103" s="31" t="n">
        <x:v>2</x:v>
      </x:c>
      <x:c r="E103" s="31" t="n">
        <x:v>1</x:v>
      </x:c>
      <x:c r="F103" s="31" t="n">
        <x:v>72</x:v>
      </x:c>
      <x:c r="G103" s="31" t="n">
        <x:v>1605.7662749999997</x:v>
      </x:c>
      <x:c r="H103" s="31" t="n">
        <x:v>118158.70557959998</x:v>
      </x:c>
      <x:c r="I103" s="50" t="b">
        <x:v>0</x:v>
      </x:c>
    </x:row>
    <x:row r="104">
      <x:c r="A104" s="31" t="n">
        <x:v>45962</x:v>
      </x:c>
      <x:c r="B104" s="31" t="str">
        <x:v>Starter</x:v>
      </x:c>
      <x:c r="C104" s="31" t="n">
        <x:v>546</x:v>
      </x:c>
      <x:c r="D104" s="31" t="n">
        <x:v>22</x:v>
      </x:c>
      <x:c r="E104" s="31" t="n">
        <x:v>12</x:v>
      </x:c>
      <x:c r="F104" s="31" t="n">
        <x:v>556</x:v>
      </x:c>
      <x:c r="G104" s="31" t="n">
        <x:v>106.05127499999999</x:v>
      </x:c>
      <x:c r="H104" s="31" t="n">
        <x:v>58964.50889999999</x:v>
      </x:c>
      <x:c r="I104" s="50" t="b">
        <x:v>0</x:v>
      </x:c>
    </x:row>
    <x:row r="105">
      <x:c r="A105" s="31" t="n">
        <x:v>45962</x:v>
      </x:c>
      <x:c r="B105" s="31" t="str">
        <x:v>Growth</x:v>
      </x:c>
      <x:c r="C105" s="31" t="n">
        <x:v>433</x:v>
      </x:c>
      <x:c r="D105" s="31" t="n">
        <x:v>17</x:v>
      </x:c>
      <x:c r="E105" s="31" t="n">
        <x:v>5</x:v>
      </x:c>
      <x:c r="F105" s="31" t="n">
        <x:v>445</x:v>
      </x:c>
      <x:c r="G105" s="31" t="n">
        <x:v>373.85752499999995</x:v>
      </x:c>
      <x:c r="H105" s="31" t="n">
        <x:v>168362.9978085</x:v>
      </x:c>
      <x:c r="I105" s="50" t="b">
        <x:v>0</x:v>
      </x:c>
    </x:row>
    <x:row r="106">
      <x:c r="A106" s="31" t="n">
        <x:v>45962</x:v>
      </x:c>
      <x:c r="B106" s="31" t="str">
        <x:v>Enterprise</x:v>
      </x:c>
      <x:c r="C106" s="31" t="n">
        <x:v>72</x:v>
      </x:c>
      <x:c r="D106" s="31" t="n">
        <x:v>2</x:v>
      </x:c>
      <x:c r="E106" s="31" t="n">
        <x:v>1</x:v>
      </x:c>
      <x:c r="F106" s="31" t="n">
        <x:v>73</x:v>
      </x:c>
      <x:c r="G106" s="31" t="n">
        <x:v>1605.7662749999997</x:v>
      </x:c>
      <x:c r="H106" s="31" t="n">
        <x:v>119799.79871264998</x:v>
      </x:c>
      <x:c r="I106" s="50" t="b">
        <x:v>0</x:v>
      </x:c>
    </x:row>
    <x:row r="107">
      <x:c r="A107" s="31" t="n">
        <x:v>45992</x:v>
      </x:c>
      <x:c r="B107" s="31" t="str">
        <x:v>Starter</x:v>
      </x:c>
      <x:c r="C107" s="31" t="n">
        <x:v>556</x:v>
      </x:c>
      <x:c r="D107" s="31" t="n">
        <x:v>21</x:v>
      </x:c>
      <x:c r="E107" s="31" t="n">
        <x:v>17</x:v>
      </x:c>
      <x:c r="F107" s="31" t="n">
        <x:v>560</x:v>
      </x:c>
      <x:c r="G107" s="31" t="n">
        <x:v>106.05127499999999</x:v>
      </x:c>
      <x:c r="H107" s="31" t="n">
        <x:v>59388.71399999999</x:v>
      </x:c>
      <x:c r="I107" s="50" t="b">
        <x:v>0</x:v>
      </x:c>
    </x:row>
    <x:row r="108">
      <x:c r="A108" s="31" t="n">
        <x:v>45992</x:v>
      </x:c>
      <x:c r="B108" s="31" t="str">
        <x:v>Growth</x:v>
      </x:c>
      <x:c r="C108" s="31" t="n">
        <x:v>445</x:v>
      </x:c>
      <x:c r="D108" s="31" t="n">
        <x:v>16</x:v>
      </x:c>
      <x:c r="E108" s="31" t="n">
        <x:v>7</x:v>
      </x:c>
      <x:c r="F108" s="31" t="n">
        <x:v>454</x:v>
      </x:c>
      <x:c r="G108" s="31" t="n">
        <x:v>373.85752499999995</x:v>
      </x:c>
      <x:c r="H108" s="31" t="n">
        <x:v>171768.09214619998</x:v>
      </x:c>
      <x:c r="I108" s="50" t="b">
        <x:v>0</x:v>
      </x:c>
    </x:row>
    <x:row r="109">
      <x:c r="A109" s="31" t="n">
        <x:v>45992</x:v>
      </x:c>
      <x:c r="B109" s="31" t="str">
        <x:v>Enterprise</x:v>
      </x:c>
      <x:c r="C109" s="31" t="n">
        <x:v>73</x:v>
      </x:c>
      <x:c r="D109" s="31" t="n">
        <x:v>2</x:v>
      </x:c>
      <x:c r="E109" s="31" t="n">
        <x:v>1</x:v>
      </x:c>
      <x:c r="F109" s="31" t="n">
        <x:v>74</x:v>
      </x:c>
      <x:c r="G109" s="31" t="n">
        <x:v>1605.7662749999997</x:v>
      </x:c>
      <x:c r="H109" s="31" t="n">
        <x:v>121440.89184569998</x:v>
      </x:c>
      <x:c r="I109" s="50" t="b">
        <x:v>0</x:v>
      </x:c>
    </x:row>
    <x:row r="110">
      <x:c r="A110" s="31" t="n">
        <x:v>46023</x:v>
      </x:c>
      <x:c r="B110" s="31" t="str">
        <x:v>Starter</x:v>
      </x:c>
      <x:c r="C110" s="31" t="n">
        <x:v>560</x:v>
      </x:c>
      <x:c r="D110" s="31" t="n">
        <x:v>24</x:v>
      </x:c>
      <x:c r="E110" s="31" t="n">
        <x:v>10</x:v>
      </x:c>
      <x:c r="F110" s="31" t="n">
        <x:v>574</x:v>
      </x:c>
      <x:c r="G110" s="31" t="n">
        <x:v>109.76306962499997</x:v>
      </x:c>
      <x:c r="H110" s="31" t="n">
        <x:v>63004.00196474999</x:v>
      </x:c>
      <x:c r="I110" s="50" t="b">
        <x:v>0</x:v>
      </x:c>
    </x:row>
    <x:row r="111">
      <x:c r="A111" s="31" t="n">
        <x:v>46023</x:v>
      </x:c>
      <x:c r="B111" s="31" t="str">
        <x:v>Growth</x:v>
      </x:c>
      <x:c r="C111" s="31" t="n">
        <x:v>454</x:v>
      </x:c>
      <x:c r="D111" s="31" t="n">
        <x:v>21</x:v>
      </x:c>
      <x:c r="E111" s="31" t="n">
        <x:v>6</x:v>
      </x:c>
      <x:c r="F111" s="31" t="n">
        <x:v>469</x:v>
      </x:c>
      <x:c r="G111" s="31" t="n">
        <x:v>386.9425383749999</x:v>
      </x:c>
      <x:c r="H111" s="31" t="n">
        <x:v>183653.76310384946</x:v>
      </x:c>
      <x:c r="I111" s="50" t="b">
        <x:v>0</x:v>
      </x:c>
    </x:row>
    <x:row r="112">
      <x:c r="A112" s="31" t="n">
        <x:v>46023</x:v>
      </x:c>
      <x:c r="B112" s="31" t="str">
        <x:v>Enterprise</x:v>
      </x:c>
      <x:c r="C112" s="31" t="n">
        <x:v>74</x:v>
      </x:c>
      <x:c r="D112" s="31" t="n">
        <x:v>2</x:v>
      </x:c>
      <x:c r="E112" s="31" t="n">
        <x:v>1</x:v>
      </x:c>
      <x:c r="F112" s="31" t="n">
        <x:v>75</x:v>
      </x:c>
      <x:c r="G112" s="31" t="n">
        <x:v>1661.9680946249996</x:v>
      </x:c>
      <x:c r="H112" s="31" t="n">
        <x:v>127389.85445300622</x:v>
      </x:c>
      <x:c r="I112" s="50" t="b">
        <x:v>0</x:v>
      </x:c>
    </x:row>
    <x:row r="113">
      <x:c r="A113" s="31" t="n">
        <x:v>46054</x:v>
      </x:c>
      <x:c r="B113" s="31" t="str">
        <x:v>Starter</x:v>
      </x:c>
      <x:c r="C113" s="31" t="n">
        <x:v>574</x:v>
      </x:c>
      <x:c r="D113" s="31" t="n">
        <x:v>27</x:v>
      </x:c>
      <x:c r="E113" s="31" t="n">
        <x:v>12</x:v>
      </x:c>
      <x:c r="F113" s="31" t="n">
        <x:v>589</x:v>
      </x:c>
      <x:c r="G113" s="31" t="n">
        <x:v>109.76306962499997</x:v>
      </x:c>
      <x:c r="H113" s="31" t="n">
        <x:v>64650.448009124986</x:v>
      </x:c>
      <x:c r="I113" s="50" t="b">
        <x:v>0</x:v>
      </x:c>
    </x:row>
    <x:row r="114">
      <x:c r="A114" s="31" t="n">
        <x:v>46054</x:v>
      </x:c>
      <x:c r="B114" s="31" t="str">
        <x:v>Growth</x:v>
      </x:c>
      <x:c r="C114" s="31" t="n">
        <x:v>469</x:v>
      </x:c>
      <x:c r="D114" s="31" t="n">
        <x:v>25</x:v>
      </x:c>
      <x:c r="E114" s="31" t="n">
        <x:v>7</x:v>
      </x:c>
      <x:c r="F114" s="31" t="n">
        <x:v>487</x:v>
      </x:c>
      <x:c r="G114" s="31" t="n">
        <x:v>386.9425383749999</x:v>
      </x:c>
      <x:c r="H114" s="31" t="n">
        <x:v>190702.30838288847</x:v>
      </x:c>
      <x:c r="I114" s="50" t="b">
        <x:v>0</x:v>
      </x:c>
    </x:row>
    <x:row r="115">
      <x:c r="A115" s="31" t="n">
        <x:v>46054</x:v>
      </x:c>
      <x:c r="B115" s="31" t="str">
        <x:v>Enterprise</x:v>
      </x:c>
      <x:c r="C115" s="31" t="n">
        <x:v>75</x:v>
      </x:c>
      <x:c r="D115" s="31" t="n">
        <x:v>3</x:v>
      </x:c>
      <x:c r="E115" s="31" t="n">
        <x:v>1</x:v>
      </x:c>
      <x:c r="F115" s="31" t="n">
        <x:v>77</x:v>
      </x:c>
      <x:c r="G115" s="31" t="n">
        <x:v>1661.9680946249996</x:v>
      </x:c>
      <x:c r="H115" s="31" t="n">
        <x:v>130786.91723841973</x:v>
      </x:c>
      <x:c r="I115" s="50" t="b">
        <x:v>0</x:v>
      </x:c>
    </x:row>
    <x:row r="116">
      <x:c r="A116" s="31" t="n">
        <x:v>46082</x:v>
      </x:c>
      <x:c r="B116" s="31" t="str">
        <x:v>Starter</x:v>
      </x:c>
      <x:c r="C116" s="31" t="n">
        <x:v>589</x:v>
      </x:c>
      <x:c r="D116" s="31" t="n">
        <x:v>22</x:v>
      </x:c>
      <x:c r="E116" s="31" t="n">
        <x:v>13</x:v>
      </x:c>
      <x:c r="F116" s="31" t="n">
        <x:v>598</x:v>
      </x:c>
      <x:c r="G116" s="31" t="n">
        <x:v>109.76306962499997</x:v>
      </x:c>
      <x:c r="H116" s="31" t="n">
        <x:v>65638.31563574998</x:v>
      </x:c>
      <x:c r="I116" s="50" t="b">
        <x:v>0</x:v>
      </x:c>
    </x:row>
    <x:row r="117">
      <x:c r="A117" s="31" t="n">
        <x:v>46082</x:v>
      </x:c>
      <x:c r="B117" s="31" t="str">
        <x:v>Growth</x:v>
      </x:c>
      <x:c r="C117" s="31" t="n">
        <x:v>487</x:v>
      </x:c>
      <x:c r="D117" s="31" t="n">
        <x:v>25</x:v>
      </x:c>
      <x:c r="E117" s="31" t="n">
        <x:v>8</x:v>
      </x:c>
      <x:c r="F117" s="31" t="n">
        <x:v>504</x:v>
      </x:c>
      <x:c r="G117" s="31" t="n">
        <x:v>386.9425383749999</x:v>
      </x:c>
      <x:c r="H117" s="31" t="n">
        <x:v>197359.26781309198</x:v>
      </x:c>
      <x:c r="I117" s="50" t="b">
        <x:v>0</x:v>
      </x:c>
    </x:row>
    <x:row r="118">
      <x:c r="A118" s="31" t="n">
        <x:v>46082</x:v>
      </x:c>
      <x:c r="B118" s="31" t="str">
        <x:v>Enterprise</x:v>
      </x:c>
      <x:c r="C118" s="31" t="n">
        <x:v>77</x:v>
      </x:c>
      <x:c r="D118" s="31" t="n">
        <x:v>3</x:v>
      </x:c>
      <x:c r="E118" s="31" t="n">
        <x:v>1</x:v>
      </x:c>
      <x:c r="F118" s="31" t="n">
        <x:v>79</x:v>
      </x:c>
      <x:c r="G118" s="31" t="n">
        <x:v>1661.9680946249996</x:v>
      </x:c>
      <x:c r="H118" s="31" t="n">
        <x:v>134183.98002383322</x:v>
      </x:c>
      <x:c r="I118" s="50" t="b">
        <x:v>0</x:v>
      </x:c>
    </x:row>
    <x:row r="119">
      <x:c r="A119" s="31" t="n">
        <x:v>46113</x:v>
      </x:c>
      <x:c r="B119" s="31" t="str">
        <x:v>Starter</x:v>
      </x:c>
      <x:c r="C119" s="31" t="n">
        <x:v>598</x:v>
      </x:c>
      <x:c r="D119" s="31" t="n">
        <x:v>27</x:v>
      </x:c>
      <x:c r="E119" s="31" t="n">
        <x:v>12</x:v>
      </x:c>
      <x:c r="F119" s="31" t="n">
        <x:v>613</x:v>
      </x:c>
      <x:c r="G119" s="31" t="n">
        <x:v>109.76306962499997</x:v>
      </x:c>
      <x:c r="H119" s="31" t="n">
        <x:v>67284.76168012498</x:v>
      </x:c>
      <x:c r="I119" s="50" t="b">
        <x:v>0</x:v>
      </x:c>
    </x:row>
    <x:row r="120">
      <x:c r="A120" s="31" t="n">
        <x:v>46113</x:v>
      </x:c>
      <x:c r="B120" s="31" t="str">
        <x:v>Growth</x:v>
      </x:c>
      <x:c r="C120" s="31" t="n">
        <x:v>504</x:v>
      </x:c>
      <x:c r="D120" s="31" t="n">
        <x:v>29</x:v>
      </x:c>
      <x:c r="E120" s="31" t="n">
        <x:v>8</x:v>
      </x:c>
      <x:c r="F120" s="31" t="n">
        <x:v>525</x:v>
      </x:c>
      <x:c r="G120" s="31" t="n">
        <x:v>386.9425383749999</x:v>
      </x:c>
      <x:c r="H120" s="31" t="n">
        <x:v>205582.57063863744</x:v>
      </x:c>
      <x:c r="I120" s="50" t="b">
        <x:v>0</x:v>
      </x:c>
    </x:row>
    <x:row r="121">
      <x:c r="A121" s="31" t="n">
        <x:v>46113</x:v>
      </x:c>
      <x:c r="B121" s="31" t="str">
        <x:v>Enterprise</x:v>
      </x:c>
      <x:c r="C121" s="31" t="n">
        <x:v>79</x:v>
      </x:c>
      <x:c r="D121" s="31" t="n">
        <x:v>3</x:v>
      </x:c>
      <x:c r="E121" s="31" t="n">
        <x:v>1</x:v>
      </x:c>
      <x:c r="F121" s="31" t="n">
        <x:v>81</x:v>
      </x:c>
      <x:c r="G121" s="31" t="n">
        <x:v>1661.9680946249996</x:v>
      </x:c>
      <x:c r="H121" s="31" t="n">
        <x:v>137581.04280924672</x:v>
      </x:c>
      <x:c r="I121" s="50" t="b">
        <x:v>0</x:v>
      </x:c>
    </x:row>
    <x:row r="122">
      <x:c r="A122" s="31" t="n">
        <x:v>46143</x:v>
      </x:c>
      <x:c r="B122" s="31" t="str">
        <x:v>Starter</x:v>
      </x:c>
      <x:c r="C122" s="31" t="n">
        <x:v>613</x:v>
      </x:c>
      <x:c r="D122" s="31" t="n">
        <x:v>24</x:v>
      </x:c>
      <x:c r="E122" s="31" t="n">
        <x:v>15</x:v>
      </x:c>
      <x:c r="F122" s="31" t="n">
        <x:v>622</x:v>
      </x:c>
      <x:c r="G122" s="31" t="n">
        <x:v>109.76306962499997</x:v>
      </x:c>
      <x:c r="H122" s="31" t="n">
        <x:v>68272.62930674998</x:v>
      </x:c>
      <x:c r="I122" s="50" t="b">
        <x:v>0</x:v>
      </x:c>
    </x:row>
    <x:row r="123">
      <x:c r="A123" s="31" t="n">
        <x:v>46143</x:v>
      </x:c>
      <x:c r="B123" s="31" t="str">
        <x:v>Growth</x:v>
      </x:c>
      <x:c r="C123" s="31" t="n">
        <x:v>525</x:v>
      </x:c>
      <x:c r="D123" s="31" t="n">
        <x:v>27</x:v>
      </x:c>
      <x:c r="E123" s="31" t="n">
        <x:v>8</x:v>
      </x:c>
      <x:c r="F123" s="31" t="n">
        <x:v>544</x:v>
      </x:c>
      <x:c r="G123" s="31" t="n">
        <x:v>386.9425383749999</x:v>
      </x:c>
      <x:c r="H123" s="31" t="n">
        <x:v>213022.70176651198</x:v>
      </x:c>
      <x:c r="I123" s="50" t="b">
        <x:v>0</x:v>
      </x:c>
    </x:row>
    <x:row r="124">
      <x:c r="A124" s="31" t="n">
        <x:v>46143</x:v>
      </x:c>
      <x:c r="B124" s="31" t="str">
        <x:v>Enterprise</x:v>
      </x:c>
      <x:c r="C124" s="31" t="n">
        <x:v>81</x:v>
      </x:c>
      <x:c r="D124" s="31" t="n">
        <x:v>2</x:v>
      </x:c>
      <x:c r="E124" s="31" t="n">
        <x:v>1</x:v>
      </x:c>
      <x:c r="F124" s="31" t="n">
        <x:v>82</x:v>
      </x:c>
      <x:c r="G124" s="31" t="n">
        <x:v>1661.9680946249996</x:v>
      </x:c>
      <x:c r="H124" s="31" t="n">
        <x:v>139279.57420195345</x:v>
      </x:c>
      <x:c r="I124" s="50" t="b">
        <x:v>0</x:v>
      </x:c>
    </x:row>
    <x:row r="125">
      <x:c r="A125" s="31" t="n">
        <x:v>46174</x:v>
      </x:c>
      <x:c r="B125" s="31" t="str">
        <x:v>Starter</x:v>
      </x:c>
      <x:c r="C125" s="31" t="n">
        <x:v>622</x:v>
      </x:c>
      <x:c r="D125" s="31" t="n">
        <x:v>28</x:v>
      </x:c>
      <x:c r="E125" s="31" t="n">
        <x:v>15</x:v>
      </x:c>
      <x:c r="F125" s="31" t="n">
        <x:v>635</x:v>
      </x:c>
      <x:c r="G125" s="31" t="n">
        <x:v>109.76306962499997</x:v>
      </x:c>
      <x:c r="H125" s="31" t="n">
        <x:v>69699.54921187498</x:v>
      </x:c>
      <x:c r="I125" s="50" t="b">
        <x:v>0</x:v>
      </x:c>
    </x:row>
    <x:row r="126">
      <x:c r="A126" s="31" t="n">
        <x:v>46174</x:v>
      </x:c>
      <x:c r="B126" s="31" t="str">
        <x:v>Growth</x:v>
      </x:c>
      <x:c r="C126" s="31" t="n">
        <x:v>544</x:v>
      </x:c>
      <x:c r="D126" s="31" t="n">
        <x:v>26</x:v>
      </x:c>
      <x:c r="E126" s="31" t="n">
        <x:v>9</x:v>
      </x:c>
      <x:c r="F126" s="31" t="n">
        <x:v>561</x:v>
      </x:c>
      <x:c r="G126" s="31" t="n">
        <x:v>386.9425383749999</x:v>
      </x:c>
      <x:c r="H126" s="31" t="n">
        <x:v>219679.66119671546</x:v>
      </x:c>
      <x:c r="I126" s="50" t="b">
        <x:v>0</x:v>
      </x:c>
    </x:row>
    <x:row r="127">
      <x:c r="A127" s="31" t="n">
        <x:v>46174</x:v>
      </x:c>
      <x:c r="B127" s="31" t="str">
        <x:v>Enterprise</x:v>
      </x:c>
      <x:c r="C127" s="31" t="n">
        <x:v>82</x:v>
      </x:c>
      <x:c r="D127" s="31" t="n">
        <x:v>2</x:v>
      </x:c>
      <x:c r="E127" s="31" t="n">
        <x:v>1</x:v>
      </x:c>
      <x:c r="F127" s="31" t="n">
        <x:v>83</x:v>
      </x:c>
      <x:c r="G127" s="31" t="n">
        <x:v>1661.9680946249996</x:v>
      </x:c>
      <x:c r="H127" s="31" t="n">
        <x:v>140978.10559466024</x:v>
      </x:c>
      <x:c r="I127" s="50" t="b">
        <x:v>0</x:v>
      </x:c>
    </x:row>
    <x:row r="128">
      <x:c r="A128" s="31" t="n">
        <x:v>46204</x:v>
      </x:c>
      <x:c r="B128" s="31" t="str">
        <x:v>Starter</x:v>
      </x:c>
      <x:c r="C128" s="31" t="n">
        <x:v>635</x:v>
      </x:c>
      <x:c r="D128" s="31" t="n">
        <x:v>25</x:v>
      </x:c>
      <x:c r="E128" s="31" t="n">
        <x:v>15</x:v>
      </x:c>
      <x:c r="F128" s="31" t="n">
        <x:v>645</x:v>
      </x:c>
      <x:c r="G128" s="31" t="n">
        <x:v>109.76306962499997</x:v>
      </x:c>
      <x:c r="H128" s="31" t="n">
        <x:v>70797.17990812498</x:v>
      </x:c>
      <x:c r="I128" s="50" t="b">
        <x:v>1</x:v>
      </x:c>
    </x:row>
    <x:row r="129">
      <x:c r="A129" s="31" t="n">
        <x:v>46204</x:v>
      </x:c>
      <x:c r="B129" s="31" t="str">
        <x:v>Growth</x:v>
      </x:c>
      <x:c r="C129" s="31" t="n">
        <x:v>561</x:v>
      </x:c>
      <x:c r="D129" s="31" t="n">
        <x:v>27</x:v>
      </x:c>
      <x:c r="E129" s="31" t="n">
        <x:v>8</x:v>
      </x:c>
      <x:c r="F129" s="31" t="n">
        <x:v>580</x:v>
      </x:c>
      <x:c r="G129" s="31" t="n">
        <x:v>386.9425383749999</x:v>
      </x:c>
      <x:c r="H129" s="31" t="n">
        <x:v>227119.79232458994</x:v>
      </x:c>
      <x:c r="I129" s="50" t="b">
        <x:v>1</x:v>
      </x:c>
    </x:row>
    <x:row r="130">
      <x:c r="A130" s="31" t="n">
        <x:v>46204</x:v>
      </x:c>
      <x:c r="B130" s="31" t="str">
        <x:v>Enterprise</x:v>
      </x:c>
      <x:c r="C130" s="31" t="n">
        <x:v>83</x:v>
      </x:c>
      <x:c r="D130" s="31" t="n">
        <x:v>2</x:v>
      </x:c>
      <x:c r="E130" s="31" t="n">
        <x:v>1</x:v>
      </x:c>
      <x:c r="F130" s="31" t="n">
        <x:v>84</x:v>
      </x:c>
      <x:c r="G130" s="31" t="n">
        <x:v>1661.9680946249996</x:v>
      </x:c>
      <x:c r="H130" s="31" t="n">
        <x:v>142676.63698736698</x:v>
      </x:c>
      <x:c r="I130" s="50" t="b">
        <x:v>1</x:v>
      </x:c>
    </x:row>
    <x:row r="131">
      <x:c r="A131" s="31" t="n">
        <x:v>46235</x:v>
      </x:c>
      <x:c r="B131" s="31" t="str">
        <x:v>Starter</x:v>
      </x:c>
      <x:c r="C131" s="31" t="n">
        <x:v>645</x:v>
      </x:c>
      <x:c r="D131" s="31" t="n">
        <x:v>24</x:v>
      </x:c>
      <x:c r="E131" s="31" t="n">
        <x:v>15</x:v>
      </x:c>
      <x:c r="F131" s="31" t="n">
        <x:v>654</x:v>
      </x:c>
      <x:c r="G131" s="31" t="n">
        <x:v>109.76306962499997</x:v>
      </x:c>
      <x:c r="H131" s="31" t="n">
        <x:v>71785.04753474997</x:v>
      </x:c>
      <x:c r="I131" s="50" t="b">
        <x:v>1</x:v>
      </x:c>
    </x:row>
    <x:row r="132">
      <x:c r="A132" s="31" t="n">
        <x:v>46235</x:v>
      </x:c>
      <x:c r="B132" s="31" t="str">
        <x:v>Growth</x:v>
      </x:c>
      <x:c r="C132" s="31" t="n">
        <x:v>580</x:v>
      </x:c>
      <x:c r="D132" s="31" t="n">
        <x:v>26</x:v>
      </x:c>
      <x:c r="E132" s="31" t="n">
        <x:v>9</x:v>
      </x:c>
      <x:c r="F132" s="31" t="n">
        <x:v>597</x:v>
      </x:c>
      <x:c r="G132" s="31" t="n">
        <x:v>386.9425383749999</x:v>
      </x:c>
      <x:c r="H132" s="31" t="n">
        <x:v>233776.75175479345</x:v>
      </x:c>
      <x:c r="I132" s="50" t="b">
        <x:v>1</x:v>
      </x:c>
    </x:row>
    <x:row r="133">
      <x:c r="A133" s="31" t="n">
        <x:v>46235</x:v>
      </x:c>
      <x:c r="B133" s="31" t="str">
        <x:v>Enterprise</x:v>
      </x:c>
      <x:c r="C133" s="31" t="n">
        <x:v>84</x:v>
      </x:c>
      <x:c r="D133" s="31" t="n">
        <x:v>2</x:v>
      </x:c>
      <x:c r="E133" s="31" t="n">
        <x:v>1</x:v>
      </x:c>
      <x:c r="F133" s="31" t="n">
        <x:v>85</x:v>
      </x:c>
      <x:c r="G133" s="31" t="n">
        <x:v>1661.9680946249996</x:v>
      </x:c>
      <x:c r="H133" s="31" t="n">
        <x:v>144375.16838007374</x:v>
      </x:c>
      <x:c r="I133" s="50" t="b">
        <x:v>1</x:v>
      </x:c>
    </x:row>
    <x:row r="134">
      <x:c r="A134" s="31" t="n">
        <x:v>46266</x:v>
      </x:c>
      <x:c r="B134" s="31" t="str">
        <x:v>Starter</x:v>
      </x:c>
      <x:c r="C134" s="31" t="n">
        <x:v>654</x:v>
      </x:c>
      <x:c r="D134" s="31" t="n">
        <x:v>23</x:v>
      </x:c>
      <x:c r="E134" s="31" t="n">
        <x:v>16</x:v>
      </x:c>
      <x:c r="F134" s="31" t="n">
        <x:v>661</x:v>
      </x:c>
      <x:c r="G134" s="31" t="n">
        <x:v>109.76306962499997</x:v>
      </x:c>
      <x:c r="H134" s="31" t="n">
        <x:v>72553.38902212497</x:v>
      </x:c>
      <x:c r="I134" s="50" t="b">
        <x:v>1</x:v>
      </x:c>
    </x:row>
    <x:row r="135">
      <x:c r="A135" s="31" t="n">
        <x:v>46266</x:v>
      </x:c>
      <x:c r="B135" s="31" t="str">
        <x:v>Growth</x:v>
      </x:c>
      <x:c r="C135" s="31" t="n">
        <x:v>597</x:v>
      </x:c>
      <x:c r="D135" s="31" t="n">
        <x:v>26</x:v>
      </x:c>
      <x:c r="E135" s="31" t="n">
        <x:v>9</x:v>
      </x:c>
      <x:c r="F135" s="31" t="n">
        <x:v>614</x:v>
      </x:c>
      <x:c r="G135" s="31" t="n">
        <x:v>386.9425383749999</x:v>
      </x:c>
      <x:c r="H135" s="31" t="n">
        <x:v>240433.71118499694</x:v>
      </x:c>
      <x:c r="I135" s="50" t="b">
        <x:v>1</x:v>
      </x:c>
    </x:row>
    <x:row r="136">
      <x:c r="A136" s="31" t="n">
        <x:v>46266</x:v>
      </x:c>
      <x:c r="B136" s="31" t="str">
        <x:v>Enterprise</x:v>
      </x:c>
      <x:c r="C136" s="31" t="n">
        <x:v>85</x:v>
      </x:c>
      <x:c r="D136" s="31" t="n">
        <x:v>2</x:v>
      </x:c>
      <x:c r="E136" s="31" t="n">
        <x:v>1</x:v>
      </x:c>
      <x:c r="F136" s="31" t="n">
        <x:v>86</x:v>
      </x:c>
      <x:c r="G136" s="31" t="n">
        <x:v>1661.9680946249996</x:v>
      </x:c>
      <x:c r="H136" s="31" t="n">
        <x:v>146073.69977278047</x:v>
      </x:c>
      <x:c r="I136" s="50" t="b">
        <x:v>1</x:v>
      </x:c>
    </x:row>
    <x:row r="137">
      <x:c r="A137" s="31" t="n">
        <x:v>46296</x:v>
      </x:c>
      <x:c r="B137" s="31" t="str">
        <x:v>Starter</x:v>
      </x:c>
      <x:c r="C137" s="31" t="n">
        <x:v>661</x:v>
      </x:c>
      <x:c r="D137" s="31" t="n">
        <x:v>23</x:v>
      </x:c>
      <x:c r="E137" s="31" t="n">
        <x:v>16</x:v>
      </x:c>
      <x:c r="F137" s="31" t="n">
        <x:v>668</x:v>
      </x:c>
      <x:c r="G137" s="31" t="n">
        <x:v>109.76306962499997</x:v>
      </x:c>
      <x:c r="H137" s="31" t="n">
        <x:v>73321.73050949998</x:v>
      </x:c>
      <x:c r="I137" s="50" t="b">
        <x:v>1</x:v>
      </x:c>
    </x:row>
    <x:row r="138">
      <x:c r="A138" s="31" t="n">
        <x:v>46296</x:v>
      </x:c>
      <x:c r="B138" s="31" t="str">
        <x:v>Growth</x:v>
      </x:c>
      <x:c r="C138" s="31" t="n">
        <x:v>614</x:v>
      </x:c>
      <x:c r="D138" s="31" t="n">
        <x:v>26</x:v>
      </x:c>
      <x:c r="E138" s="31" t="n">
        <x:v>9</x:v>
      </x:c>
      <x:c r="F138" s="31" t="n">
        <x:v>631</x:v>
      </x:c>
      <x:c r="G138" s="31" t="n">
        <x:v>386.9425383749999</x:v>
      </x:c>
      <x:c r="H138" s="31" t="n">
        <x:v>247090.67061520045</x:v>
      </x:c>
      <x:c r="I138" s="50" t="b">
        <x:v>1</x:v>
      </x:c>
    </x:row>
    <x:row r="139">
      <x:c r="A139" s="31" t="n">
        <x:v>46296</x:v>
      </x:c>
      <x:c r="B139" s="31" t="str">
        <x:v>Enterprise</x:v>
      </x:c>
      <x:c r="C139" s="31" t="n">
        <x:v>86</x:v>
      </x:c>
      <x:c r="D139" s="31" t="n">
        <x:v>2</x:v>
      </x:c>
      <x:c r="E139" s="31" t="n">
        <x:v>1</x:v>
      </x:c>
      <x:c r="F139" s="31" t="n">
        <x:v>87</x:v>
      </x:c>
      <x:c r="G139" s="31" t="n">
        <x:v>1661.9680946249996</x:v>
      </x:c>
      <x:c r="H139" s="31" t="n">
        <x:v>147772.2311654872</x:v>
      </x:c>
      <x:c r="I139" s="50" t="b">
        <x:v>1</x:v>
      </x:c>
    </x:row>
    <x:row r="140">
      <x:c r="A140" s="31" t="n">
        <x:v>46327</x:v>
      </x:c>
      <x:c r="B140" s="31" t="str">
        <x:v>Starter</x:v>
      </x:c>
      <x:c r="C140" s="31" t="n">
        <x:v>668</x:v>
      </x:c>
      <x:c r="D140" s="31" t="n">
        <x:v>24</x:v>
      </x:c>
      <x:c r="E140" s="31" t="n">
        <x:v>16</x:v>
      </x:c>
      <x:c r="F140" s="31" t="n">
        <x:v>676</x:v>
      </x:c>
      <x:c r="G140" s="31" t="n">
        <x:v>109.76306962499997</x:v>
      </x:c>
      <x:c r="H140" s="31" t="n">
        <x:v>74199.83506649997</x:v>
      </x:c>
      <x:c r="I140" s="50" t="b">
        <x:v>1</x:v>
      </x:c>
    </x:row>
    <x:row r="141">
      <x:c r="A141" s="31" t="n">
        <x:v>46327</x:v>
      </x:c>
      <x:c r="B141" s="31" t="str">
        <x:v>Growth</x:v>
      </x:c>
      <x:c r="C141" s="31" t="n">
        <x:v>631</x:v>
      </x:c>
      <x:c r="D141" s="31" t="n">
        <x:v>27</x:v>
      </x:c>
      <x:c r="E141" s="31" t="n">
        <x:v>9</x:v>
      </x:c>
      <x:c r="F141" s="31" t="n">
        <x:v>649</x:v>
      </x:c>
      <x:c r="G141" s="31" t="n">
        <x:v>386.9425383749999</x:v>
      </x:c>
      <x:c r="H141" s="31" t="n">
        <x:v>254139.21589423943</x:v>
      </x:c>
      <x:c r="I141" s="50" t="b">
        <x:v>1</x:v>
      </x:c>
    </x:row>
    <x:row r="142">
      <x:c r="A142" s="31" t="n">
        <x:v>46327</x:v>
      </x:c>
      <x:c r="B142" s="31" t="str">
        <x:v>Enterprise</x:v>
      </x:c>
      <x:c r="C142" s="31" t="n">
        <x:v>87</x:v>
      </x:c>
      <x:c r="D142" s="31" t="n">
        <x:v>2</x:v>
      </x:c>
      <x:c r="E142" s="31" t="n">
        <x:v>1</x:v>
      </x:c>
      <x:c r="F142" s="31" t="n">
        <x:v>88</x:v>
      </x:c>
      <x:c r="G142" s="31" t="n">
        <x:v>1661.9680946249996</x:v>
      </x:c>
      <x:c r="H142" s="31" t="n">
        <x:v>149470.76255819396</x:v>
      </x:c>
      <x:c r="I142" s="50" t="b">
        <x:v>1</x:v>
      </x:c>
    </x:row>
    <x:row r="143">
      <x:c r="A143" s="31" t="n">
        <x:v>46357</x:v>
      </x:c>
      <x:c r="B143" s="31" t="str">
        <x:v>Starter</x:v>
      </x:c>
      <x:c r="C143" s="31" t="n">
        <x:v>676</x:v>
      </x:c>
      <x:c r="D143" s="31" t="n">
        <x:v>25</x:v>
      </x:c>
      <x:c r="E143" s="31" t="n">
        <x:v>16</x:v>
      </x:c>
      <x:c r="F143" s="31" t="n">
        <x:v>685</x:v>
      </x:c>
      <x:c r="G143" s="31" t="n">
        <x:v>109.76306962499997</x:v>
      </x:c>
      <x:c r="H143" s="31" t="n">
        <x:v>75187.70269312499</x:v>
      </x:c>
      <x:c r="I143" s="50" t="b">
        <x:v>1</x:v>
      </x:c>
    </x:row>
    <x:row r="144">
      <x:c r="A144" s="31" t="n">
        <x:v>46357</x:v>
      </x:c>
      <x:c r="B144" s="31" t="str">
        <x:v>Growth</x:v>
      </x:c>
      <x:c r="C144" s="31" t="n">
        <x:v>649</x:v>
      </x:c>
      <x:c r="D144" s="31" t="n">
        <x:v>29</x:v>
      </x:c>
      <x:c r="E144" s="31" t="n">
        <x:v>10</x:v>
      </x:c>
      <x:c r="F144" s="31" t="n">
        <x:v>668</x:v>
      </x:c>
      <x:c r="G144" s="31" t="n">
        <x:v>386.9425383749999</x:v>
      </x:c>
      <x:c r="H144" s="31" t="n">
        <x:v>261579.34702211394</x:v>
      </x:c>
      <x:c r="I144" s="50" t="b">
        <x:v>1</x:v>
      </x:c>
    </x:row>
    <x:row r="145">
      <x:c r="A145" s="31" t="n">
        <x:v>46357</x:v>
      </x:c>
      <x:c r="B145" s="31" t="str">
        <x:v>Enterprise</x:v>
      </x:c>
      <x:c r="C145" s="31" t="n">
        <x:v>88</x:v>
      </x:c>
      <x:c r="D145" s="31" t="n">
        <x:v>2</x:v>
      </x:c>
      <x:c r="E145" s="31" t="n">
        <x:v>1</x:v>
      </x:c>
      <x:c r="F145" s="31" t="n">
        <x:v>89</x:v>
      </x:c>
      <x:c r="G145" s="31" t="n">
        <x:v>1661.9680946249996</x:v>
      </x:c>
      <x:c r="H145" s="31" t="n">
        <x:v>151169.2939509007</x:v>
      </x:c>
      <x:c r="I145" s="5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e5cefc53f274e90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.380000114440918" hidden="0" customWidth="1"/>
    <x:col min="2" max="2" width="13.880000114440918" hidden="0" customWidth="1"/>
    <x:col min="3" max="3" width="15" hidden="0" customWidth="1"/>
    <x:col min="4" max="4" width="13.380000114440918" hidden="0" customWidth="1"/>
    <x:col min="5" max="5" width="11.25" hidden="0" customWidth="1"/>
    <x:col min="6" max="6" width="10.75" hidden="0" customWidth="1"/>
  </x:cols>
  <x:sheetData>
    <x:row r="1">
      <x:c r="A1" s="51" t="str">
        <x:v>employee_id</x:v>
      </x:c>
      <x:c r="B1" s="27" t="str">
        <x:v>department</x:v>
      </x:c>
      <x:c r="C1" s="27" t="str">
        <x:v>planned_hire_date</x:v>
      </x:c>
      <x:c r="D1" s="27" t="str">
        <x:v>actual_hire_date</x:v>
      </x:c>
      <x:c r="E1" s="27" t="str">
        <x:v>annual_salary</x:v>
      </x:c>
      <x:c r="F1" s="27" t="str">
        <x:v>benefits_rate</x:v>
      </x:c>
    </x:row>
    <x:row r="2">
      <x:c r="A2" s="31" t="str">
        <x:v>E1001</x:v>
      </x:c>
      <x:c r="B2" s="31" t="str">
        <x:v>Engineering</x:v>
      </x:c>
      <x:c r="C2" s="31" t="n">
        <x:v>45200</x:v>
      </x:c>
      <x:c r="D2" s="31" t="n">
        <x:v>45217</x:v>
      </x:c>
      <x:c r="E2" s="31" t="n">
        <x:v>138100</x:v>
      </x:c>
      <x:c r="F2" s="31" t="n">
        <x:v>0.22</x:v>
      </x:c>
    </x:row>
    <x:row r="3">
      <x:c r="A3" s="31" t="str">
        <x:v>E1002</x:v>
      </x:c>
      <x:c r="B3" s="31" t="str">
        <x:v>Engineering</x:v>
      </x:c>
      <x:c r="C3" s="31" t="n">
        <x:v>45689</x:v>
      </x:c>
      <x:c r="D3" s="31" t="n">
        <x:v>45714</x:v>
      </x:c>
      <x:c r="E3" s="31" t="n">
        <x:v>175900</x:v>
      </x:c>
      <x:c r="F3" s="31" t="n">
        <x:v>0.22</x:v>
      </x:c>
    </x:row>
    <x:row r="4">
      <x:c r="A4" s="31" t="str">
        <x:v>E1003</x:v>
      </x:c>
      <x:c r="B4" s="31" t="str">
        <x:v>Engineering</x:v>
      </x:c>
      <x:c r="C4" s="31" t="n">
        <x:v>44958</x:v>
      </x:c>
      <x:c r="D4" s="31" t="n">
        <x:v>44948</x:v>
      </x:c>
      <x:c r="E4" s="31" t="n">
        <x:v>144100</x:v>
      </x:c>
      <x:c r="F4" s="31" t="n">
        <x:v>0.22</x:v>
      </x:c>
    </x:row>
    <x:row r="5">
      <x:c r="A5" s="31" t="str">
        <x:v>E1004</x:v>
      </x:c>
      <x:c r="B5" s="31" t="str">
        <x:v>Engineering</x:v>
      </x:c>
      <x:c r="C5" s="31" t="n">
        <x:v>45323</x:v>
      </x:c>
      <x:c r="D5" s="31" t="n">
        <x:v>45314</x:v>
      </x:c>
      <x:c r="E5" s="31" t="n">
        <x:v>140400</x:v>
      </x:c>
      <x:c r="F5" s="31" t="n">
        <x:v>0.22</x:v>
      </x:c>
    </x:row>
    <x:row r="6">
      <x:c r="A6" s="31" t="str">
        <x:v>E1005</x:v>
      </x:c>
      <x:c r="B6" s="31" t="str">
        <x:v>Engineering</x:v>
      </x:c>
      <x:c r="C6" s="31" t="n">
        <x:v>44986</x:v>
      </x:c>
      <x:c r="D6" s="31" t="n">
        <x:v>44987</x:v>
      </x:c>
      <x:c r="E6" s="31" t="n">
        <x:v>115200</x:v>
      </x:c>
      <x:c r="F6" s="31" t="n">
        <x:v>0.22</x:v>
      </x:c>
    </x:row>
    <x:row r="7">
      <x:c r="A7" s="31" t="str">
        <x:v>E1006</x:v>
      </x:c>
      <x:c r="B7" s="31" t="str">
        <x:v>Engineering</x:v>
      </x:c>
      <x:c r="C7" s="31" t="n">
        <x:v>45597</x:v>
      </x:c>
      <x:c r="D7" s="31" t="n">
        <x:v>45642</x:v>
      </x:c>
      <x:c r="E7" s="31" t="n">
        <x:v>162600</x:v>
      </x:c>
      <x:c r="F7" s="31" t="n">
        <x:v>0.22</x:v>
      </x:c>
    </x:row>
    <x:row r="8">
      <x:c r="A8" s="31" t="str">
        <x:v>E1007</x:v>
      </x:c>
      <x:c r="B8" s="31" t="str">
        <x:v>Engineering</x:v>
      </x:c>
      <x:c r="C8" s="31" t="n">
        <x:v>45383</x:v>
      </x:c>
      <x:c r="D8" s="31" t="n">
        <x:v>45399</x:v>
      </x:c>
      <x:c r="E8" s="31" t="n">
        <x:v>146800</x:v>
      </x:c>
      <x:c r="F8" s="31" t="n">
        <x:v>0.22</x:v>
      </x:c>
    </x:row>
    <x:row r="9">
      <x:c r="A9" s="31" t="str">
        <x:v>E1008</x:v>
      </x:c>
      <x:c r="B9" s="31" t="str">
        <x:v>Engineering</x:v>
      </x:c>
      <x:c r="C9" s="31" t="n">
        <x:v>45170</x:v>
      </x:c>
      <x:c r="D9" s="31" t="n">
        <x:v>45197</x:v>
      </x:c>
      <x:c r="E9" s="31" t="n">
        <x:v>175200</x:v>
      </x:c>
      <x:c r="F9" s="31" t="n">
        <x:v>0.22</x:v>
      </x:c>
    </x:row>
    <x:row r="10">
      <x:c r="A10" s="31" t="str">
        <x:v>E1009</x:v>
      </x:c>
      <x:c r="B10" s="31" t="str">
        <x:v>Engineering</x:v>
      </x:c>
      <x:c r="C10" s="31" t="n">
        <x:v>45139</x:v>
      </x:c>
      <x:c r="D10" s="31" t="n">
        <x:v>45164</x:v>
      </x:c>
      <x:c r="E10" s="31" t="n">
        <x:v>175400</x:v>
      </x:c>
      <x:c r="F10" s="31" t="n">
        <x:v>0.22</x:v>
      </x:c>
    </x:row>
    <x:row r="11">
      <x:c r="A11" s="31" t="str">
        <x:v>E1010</x:v>
      </x:c>
      <x:c r="B11" s="31" t="str">
        <x:v>Engineering</x:v>
      </x:c>
      <x:c r="C11" s="31" t="n">
        <x:v>45536</x:v>
      </x:c>
      <x:c r="D11" s="31" t="n">
        <x:v>45536</x:v>
      </x:c>
      <x:c r="E11" s="31" t="n">
        <x:v>141300</x:v>
      </x:c>
      <x:c r="F11" s="31" t="n">
        <x:v>0.22</x:v>
      </x:c>
    </x:row>
    <x:row r="12">
      <x:c r="A12" s="31" t="str">
        <x:v>E1011</x:v>
      </x:c>
      <x:c r="B12" s="31" t="str">
        <x:v>Engineering</x:v>
      </x:c>
      <x:c r="C12" s="31" t="n">
        <x:v>45962</x:v>
      </x:c>
      <x:c r="D12" s="31" t="n">
        <x:v>45995</x:v>
      </x:c>
      <x:c r="E12" s="31" t="n">
        <x:v>175300</x:v>
      </x:c>
      <x:c r="F12" s="31" t="n">
        <x:v>0.22</x:v>
      </x:c>
    </x:row>
    <x:row r="13">
      <x:c r="A13" s="31" t="str">
        <x:v>E1012</x:v>
      </x:c>
      <x:c r="B13" s="31" t="str">
        <x:v>Engineering</x:v>
      </x:c>
      <x:c r="C13" s="31" t="n">
        <x:v>45170</x:v>
      </x:c>
      <x:c r="D13" s="31" t="n">
        <x:v>45188</x:v>
      </x:c>
      <x:c r="E13" s="31" t="n">
        <x:v>159700</x:v>
      </x:c>
      <x:c r="F13" s="31" t="n">
        <x:v>0.22</x:v>
      </x:c>
    </x:row>
    <x:row r="14">
      <x:c r="A14" s="31" t="str">
        <x:v>E1013</x:v>
      </x:c>
      <x:c r="B14" s="31" t="str">
        <x:v>Engineering</x:v>
      </x:c>
      <x:c r="C14" s="31" t="n">
        <x:v>45566</x:v>
      </x:c>
      <x:c r="D14" s="31" t="n">
        <x:v>45566</x:v>
      </x:c>
      <x:c r="E14" s="31" t="n">
        <x:v>171500</x:v>
      </x:c>
      <x:c r="F14" s="31" t="n">
        <x:v>0.22</x:v>
      </x:c>
    </x:row>
    <x:row r="15">
      <x:c r="A15" s="31" t="str">
        <x:v>E1014</x:v>
      </x:c>
      <x:c r="B15" s="31" t="str">
        <x:v>Engineering</x:v>
      </x:c>
      <x:c r="C15" s="31" t="n">
        <x:v>45170</x:v>
      </x:c>
      <x:c r="D15" s="31" t="n">
        <x:v>45175</x:v>
      </x:c>
      <x:c r="E15" s="31" t="n">
        <x:v>113100</x:v>
      </x:c>
      <x:c r="F15" s="31" t="n">
        <x:v>0.22</x:v>
      </x:c>
    </x:row>
    <x:row r="16">
      <x:c r="A16" s="31" t="str">
        <x:v>E1015</x:v>
      </x:c>
      <x:c r="B16" s="31" t="str">
        <x:v>Engineering</x:v>
      </x:c>
      <x:c r="C16" s="31" t="n">
        <x:v>46054</x:v>
      </x:c>
      <x:c r="D16" s="31" t="n">
        <x:v>46069</x:v>
      </x:c>
      <x:c r="E16" s="31" t="n">
        <x:v>171900</x:v>
      </x:c>
      <x:c r="F16" s="31" t="n">
        <x:v>0.22</x:v>
      </x:c>
    </x:row>
    <x:row r="17">
      <x:c r="A17" s="31" t="str">
        <x:v>E1016</x:v>
      </x:c>
      <x:c r="B17" s="31" t="str">
        <x:v>Engineering</x:v>
      </x:c>
      <x:c r="C17" s="31" t="n">
        <x:v>45413</x:v>
      </x:c>
      <x:c r="D17" s="31" t="n">
        <x:v>45400</x:v>
      </x:c>
      <x:c r="E17" s="31" t="n">
        <x:v>129100</x:v>
      </x:c>
      <x:c r="F17" s="31" t="n">
        <x:v>0.22</x:v>
      </x:c>
    </x:row>
    <x:row r="18">
      <x:c r="A18" s="31" t="str">
        <x:v>E1017</x:v>
      </x:c>
      <x:c r="B18" s="31" t="str">
        <x:v>Engineering</x:v>
      </x:c>
      <x:c r="C18" s="31" t="n">
        <x:v>45261</x:v>
      </x:c>
      <x:c r="D18" s="31" t="n">
        <x:v>45243</x:v>
      </x:c>
      <x:c r="E18" s="31" t="n">
        <x:v>129700</x:v>
      </x:c>
      <x:c r="F18" s="31" t="n">
        <x:v>0.22</x:v>
      </x:c>
    </x:row>
    <x:row r="19">
      <x:c r="A19" s="31" t="str">
        <x:v>E1018</x:v>
      </x:c>
      <x:c r="B19" s="31" t="str">
        <x:v>Engineering</x:v>
      </x:c>
      <x:c r="C19" s="31" t="n">
        <x:v>45383</x:v>
      </x:c>
      <x:c r="D19" s="31" t="n">
        <x:v>45373</x:v>
      </x:c>
      <x:c r="E19" s="31" t="n">
        <x:v>160500</x:v>
      </x:c>
      <x:c r="F19" s="31" t="n">
        <x:v>0.22</x:v>
      </x:c>
    </x:row>
    <x:row r="20">
      <x:c r="A20" s="31" t="str">
        <x:v>E1019</x:v>
      </x:c>
      <x:c r="B20" s="31" t="str">
        <x:v>Engineering</x:v>
      </x:c>
      <x:c r="C20" s="31" t="n">
        <x:v>45658</x:v>
      </x:c>
      <x:c r="D20" s="31" t="n">
        <x:v>45676</x:v>
      </x:c>
      <x:c r="E20" s="31" t="n">
        <x:v>147100</x:v>
      </x:c>
      <x:c r="F20" s="31" t="n">
        <x:v>0.22</x:v>
      </x:c>
    </x:row>
    <x:row r="21">
      <x:c r="A21" s="31" t="str">
        <x:v>E1020</x:v>
      </x:c>
      <x:c r="B21" s="31" t="str">
        <x:v>Sales</x:v>
      </x:c>
      <x:c r="C21" s="31" t="n">
        <x:v>45748</x:v>
      </x:c>
      <x:c r="D21" s="31" t="n">
        <x:v>45747</x:v>
      </x:c>
      <x:c r="E21" s="31" t="n">
        <x:v>111900</x:v>
      </x:c>
      <x:c r="F21" s="31" t="n">
        <x:v>0.22</x:v>
      </x:c>
    </x:row>
    <x:row r="22">
      <x:c r="A22" s="31" t="str">
        <x:v>E1021</x:v>
      </x:c>
      <x:c r="B22" s="31" t="str">
        <x:v>Sales</x:v>
      </x:c>
      <x:c r="C22" s="31" t="n">
        <x:v>45170</x:v>
      </x:c>
      <x:c r="D22" s="31" t="n">
        <x:v>45184</x:v>
      </x:c>
      <x:c r="E22" s="31" t="n">
        <x:v>105300</x:v>
      </x:c>
      <x:c r="F22" s="31" t="n">
        <x:v>0.22</x:v>
      </x:c>
    </x:row>
    <x:row r="23">
      <x:c r="A23" s="31" t="str">
        <x:v>E1022</x:v>
      </x:c>
      <x:c r="B23" s="31" t="str">
        <x:v>Sales</x:v>
      </x:c>
      <x:c r="C23" s="31" t="n">
        <x:v>45017</x:v>
      </x:c>
      <x:c r="D23" s="31" t="n">
        <x:v>45004</x:v>
      </x:c>
      <x:c r="E23" s="31" t="n">
        <x:v>133200</x:v>
      </x:c>
      <x:c r="F23" s="31" t="n">
        <x:v>0.22</x:v>
      </x:c>
    </x:row>
    <x:row r="24">
      <x:c r="A24" s="31" t="str">
        <x:v>E1023</x:v>
      </x:c>
      <x:c r="B24" s="31" t="str">
        <x:v>Sales</x:v>
      </x:c>
      <x:c r="C24" s="31" t="n">
        <x:v>45658</x:v>
      </x:c>
      <x:c r="D24" s="31" t="n">
        <x:v>45698</x:v>
      </x:c>
      <x:c r="E24" s="31" t="n">
        <x:v>141700</x:v>
      </x:c>
      <x:c r="F24" s="31" t="n">
        <x:v>0.22</x:v>
      </x:c>
    </x:row>
    <x:row r="25">
      <x:c r="A25" s="31" t="str">
        <x:v>E1024</x:v>
      </x:c>
      <x:c r="B25" s="31" t="str">
        <x:v>Sales</x:v>
      </x:c>
      <x:c r="C25" s="31" t="n">
        <x:v>46113</x:v>
      </x:c>
      <x:c r="D25" s="31" t="n">
        <x:v>46124</x:v>
      </x:c>
      <x:c r="E25" s="31" t="n">
        <x:v>98400</x:v>
      </x:c>
      <x:c r="F25" s="31" t="n">
        <x:v>0.22</x:v>
      </x:c>
    </x:row>
    <x:row r="26">
      <x:c r="A26" s="31" t="str">
        <x:v>E1025</x:v>
      </x:c>
      <x:c r="B26" s="31" t="str">
        <x:v>Sales</x:v>
      </x:c>
      <x:c r="C26" s="31" t="n">
        <x:v>45352</x:v>
      </x:c>
      <x:c r="D26" s="31" t="n">
        <x:v>45367</x:v>
      </x:c>
      <x:c r="E26" s="31" t="n">
        <x:v>101600</x:v>
      </x:c>
      <x:c r="F26" s="31" t="n">
        <x:v>0.22</x:v>
      </x:c>
    </x:row>
    <x:row r="27">
      <x:c r="A27" s="31" t="str">
        <x:v>E1026</x:v>
      </x:c>
      <x:c r="B27" s="31" t="str">
        <x:v>Sales</x:v>
      </x:c>
      <x:c r="C27" s="31" t="n">
        <x:v>45748</x:v>
      </x:c>
      <x:c r="D27" s="31" t="n">
        <x:v>45776</x:v>
      </x:c>
      <x:c r="E27" s="31" t="n">
        <x:v>110800</x:v>
      </x:c>
      <x:c r="F27" s="31" t="n">
        <x:v>0.22</x:v>
      </x:c>
    </x:row>
    <x:row r="28">
      <x:c r="A28" s="31" t="str">
        <x:v>E1027</x:v>
      </x:c>
      <x:c r="B28" s="31" t="str">
        <x:v>Sales</x:v>
      </x:c>
      <x:c r="C28" s="31" t="n">
        <x:v>45323</x:v>
      </x:c>
      <x:c r="D28" s="31" t="n">
        <x:v>45327</x:v>
      </x:c>
      <x:c r="E28" s="31" t="n">
        <x:v>88600</x:v>
      </x:c>
      <x:c r="F28" s="31" t="n">
        <x:v>0.22</x:v>
      </x:c>
    </x:row>
    <x:row r="29">
      <x:c r="A29" s="31" t="str">
        <x:v>E1028</x:v>
      </x:c>
      <x:c r="B29" s="31" t="str">
        <x:v>Sales</x:v>
      </x:c>
      <x:c r="C29" s="31" t="n">
        <x:v>45352</x:v>
      </x:c>
      <x:c r="D29" s="31" t="n">
        <x:v>45350</x:v>
      </x:c>
      <x:c r="E29" s="31" t="n">
        <x:v>117500</x:v>
      </x:c>
      <x:c r="F29" s="31" t="n">
        <x:v>0.22</x:v>
      </x:c>
    </x:row>
    <x:row r="30">
      <x:c r="A30" s="31" t="str">
        <x:v>E1029</x:v>
      </x:c>
      <x:c r="B30" s="31" t="str">
        <x:v>Sales</x:v>
      </x:c>
      <x:c r="C30" s="31" t="n">
        <x:v>46054</x:v>
      </x:c>
      <x:c r="D30" s="31" t="n">
        <x:v>46083</x:v>
      </x:c>
      <x:c r="E30" s="31" t="n">
        <x:v>123900</x:v>
      </x:c>
      <x:c r="F30" s="31" t="n">
        <x:v>0.22</x:v>
      </x:c>
    </x:row>
    <x:row r="31">
      <x:c r="A31" s="31" t="str">
        <x:v>E1030</x:v>
      </x:c>
      <x:c r="B31" s="31" t="str">
        <x:v>Sales</x:v>
      </x:c>
      <x:c r="C31" s="31" t="n">
        <x:v>46143</x:v>
      </x:c>
      <x:c r="D31" s="31" t="n">
        <x:v>46180</x:v>
      </x:c>
      <x:c r="E31" s="31" t="n">
        <x:v>136700</x:v>
      </x:c>
      <x:c r="F31" s="31" t="n">
        <x:v>0.22</x:v>
      </x:c>
    </x:row>
    <x:row r="32">
      <x:c r="A32" s="31" t="str">
        <x:v>E1031</x:v>
      </x:c>
      <x:c r="B32" s="31" t="str">
        <x:v>Sales</x:v>
      </x:c>
      <x:c r="C32" s="31" t="n">
        <x:v>45505</x:v>
      </x:c>
      <x:c r="D32" s="31" t="n">
        <x:v>45521</x:v>
      </x:c>
      <x:c r="E32" s="31" t="n">
        <x:v>113100</x:v>
      </x:c>
      <x:c r="F32" s="31" t="n">
        <x:v>0.22</x:v>
      </x:c>
    </x:row>
    <x:row r="33">
      <x:c r="A33" s="31" t="str">
        <x:v>E1032</x:v>
      </x:c>
      <x:c r="B33" s="31" t="str">
        <x:v>Marketing</x:v>
      </x:c>
      <x:c r="C33" s="31" t="n">
        <x:v>46023</x:v>
      </x:c>
      <x:c r="D33" s="31" t="n">
        <x:v>46028</x:v>
      </x:c>
      <x:c r="E33" s="31" t="n">
        <x:v>103700</x:v>
      </x:c>
      <x:c r="F33" s="31" t="n">
        <x:v>0.22</x:v>
      </x:c>
    </x:row>
    <x:row r="34">
      <x:c r="A34" s="31" t="str">
        <x:v>E1033</x:v>
      </x:c>
      <x:c r="B34" s="31" t="str">
        <x:v>Marketing</x:v>
      </x:c>
      <x:c r="C34" s="31" t="n">
        <x:v>45566</x:v>
      </x:c>
      <x:c r="D34" s="31" t="n">
        <x:v>45562</x:v>
      </x:c>
      <x:c r="E34" s="31" t="n">
        <x:v>118800</x:v>
      </x:c>
      <x:c r="F34" s="31" t="n">
        <x:v>0.22</x:v>
      </x:c>
    </x:row>
    <x:row r="35">
      <x:c r="A35" s="31" t="str">
        <x:v>E1034</x:v>
      </x:c>
      <x:c r="B35" s="31" t="str">
        <x:v>Marketing</x:v>
      </x:c>
      <x:c r="C35" s="31" t="n">
        <x:v>45901</x:v>
      </x:c>
      <x:c r="D35" s="31" t="n">
        <x:v>45923</x:v>
      </x:c>
      <x:c r="E35" s="31" t="n">
        <x:v>107000</x:v>
      </x:c>
      <x:c r="F35" s="31" t="n">
        <x:v>0.22</x:v>
      </x:c>
    </x:row>
    <x:row r="36">
      <x:c r="A36" s="31" t="str">
        <x:v>E1035</x:v>
      </x:c>
      <x:c r="B36" s="31" t="str">
        <x:v>Marketing</x:v>
      </x:c>
      <x:c r="C36" s="31" t="n">
        <x:v>46054</x:v>
      </x:c>
      <x:c r="D36" s="31" t="n">
        <x:v>46088</x:v>
      </x:c>
      <x:c r="E36" s="31" t="n">
        <x:v>92400</x:v>
      </x:c>
      <x:c r="F36" s="31" t="n">
        <x:v>0.22</x:v>
      </x:c>
    </x:row>
    <x:row r="37">
      <x:c r="A37" s="31" t="str">
        <x:v>E1036</x:v>
      </x:c>
      <x:c r="B37" s="31" t="str">
        <x:v>Marketing</x:v>
      </x:c>
      <x:c r="C37" s="31" t="n">
        <x:v>45413</x:v>
      </x:c>
      <x:c r="D37" s="31" t="n">
        <x:v>45423</x:v>
      </x:c>
      <x:c r="E37" s="31" t="n">
        <x:v>118400</x:v>
      </x:c>
      <x:c r="F37" s="31" t="n">
        <x:v>0.22</x:v>
      </x:c>
    </x:row>
    <x:row r="38">
      <x:c r="A38" s="31" t="str">
        <x:v>E1037</x:v>
      </x:c>
      <x:c r="B38" s="31" t="str">
        <x:v>Marketing</x:v>
      </x:c>
      <x:c r="C38" s="31" t="n">
        <x:v>45931</x:v>
      </x:c>
      <x:c r="D38" s="31" t="n">
        <x:v>45925</x:v>
      </x:c>
      <x:c r="E38" s="31" t="n">
        <x:v>123600</x:v>
      </x:c>
      <x:c r="F38" s="31" t="n">
        <x:v>0.22</x:v>
      </x:c>
    </x:row>
    <x:row r="39">
      <x:c r="A39" s="31" t="str">
        <x:v>E1038</x:v>
      </x:c>
      <x:c r="B39" s="31" t="str">
        <x:v>Marketing</x:v>
      </x:c>
      <x:c r="C39" s="31" t="n">
        <x:v>45047</x:v>
      </x:c>
      <x:c r="D39" s="31" t="n">
        <x:v>45091</x:v>
      </x:c>
      <x:c r="E39" s="31" t="n">
        <x:v>86700</x:v>
      </x:c>
      <x:c r="F39" s="31" t="n">
        <x:v>0.22</x:v>
      </x:c>
    </x:row>
    <x:row r="40">
      <x:c r="A40" s="31" t="str">
        <x:v>E1039</x:v>
      </x:c>
      <x:c r="B40" s="31" t="str">
        <x:v>Customer Success</x:v>
      </x:c>
      <x:c r="C40" s="31" t="n">
        <x:v>45078</x:v>
      </x:c>
      <x:c r="D40" s="31" t="n">
        <x:v>45074</x:v>
      </x:c>
      <x:c r="E40" s="31" t="n">
        <x:v>82900</x:v>
      </x:c>
      <x:c r="F40" s="31" t="n">
        <x:v>0.22</x:v>
      </x:c>
    </x:row>
    <x:row r="41">
      <x:c r="A41" s="31" t="str">
        <x:v>E1040</x:v>
      </x:c>
      <x:c r="B41" s="31" t="str">
        <x:v>Customer Success</x:v>
      </x:c>
      <x:c r="C41" s="31" t="n">
        <x:v>46023</x:v>
      </x:c>
      <x:c r="D41" s="31" t="n">
        <x:v>46039</x:v>
      </x:c>
      <x:c r="E41" s="31" t="n">
        <x:v>104100</x:v>
      </x:c>
      <x:c r="F41" s="31" t="n">
        <x:v>0.22</x:v>
      </x:c>
    </x:row>
    <x:row r="42">
      <x:c r="A42" s="31" t="str">
        <x:v>E1041</x:v>
      </x:c>
      <x:c r="B42" s="31" t="str">
        <x:v>Customer Success</x:v>
      </x:c>
      <x:c r="C42" s="31" t="n">
        <x:v>44805</x:v>
      </x:c>
      <x:c r="D42" s="31" t="n">
        <x:v>44804</x:v>
      </x:c>
      <x:c r="E42" s="31" t="n">
        <x:v>107100</x:v>
      </x:c>
      <x:c r="F42" s="31" t="n">
        <x:v>0.22</x:v>
      </x:c>
    </x:row>
    <x:row r="43">
      <x:c r="A43" s="31" t="str">
        <x:v>E1042</x:v>
      </x:c>
      <x:c r="B43" s="31" t="str">
        <x:v>Customer Success</x:v>
      </x:c>
      <x:c r="C43" s="31" t="n">
        <x:v>45078</x:v>
      </x:c>
      <x:c r="D43" s="31" t="n">
        <x:v>45117</x:v>
      </x:c>
      <x:c r="E43" s="31" t="n">
        <x:v>106900</x:v>
      </x:c>
      <x:c r="F43" s="31" t="n">
        <x:v>0.22</x:v>
      </x:c>
    </x:row>
    <x:row r="44">
      <x:c r="A44" s="31" t="str">
        <x:v>E1043</x:v>
      </x:c>
      <x:c r="B44" s="31" t="str">
        <x:v>Customer Success</x:v>
      </x:c>
      <x:c r="C44" s="31" t="n">
        <x:v>45139</x:v>
      </x:c>
      <x:c r="D44" s="31" t="n">
        <x:v>45165</x:v>
      </x:c>
      <x:c r="E44" s="31" t="n">
        <x:v>87200</x:v>
      </x:c>
      <x:c r="F44" s="31" t="n">
        <x:v>0.22</x:v>
      </x:c>
    </x:row>
    <x:row r="45">
      <x:c r="A45" s="31" t="str">
        <x:v>E1044</x:v>
      </x:c>
      <x:c r="B45" s="31" t="str">
        <x:v>Customer Success</x:v>
      </x:c>
      <x:c r="C45" s="31" t="n">
        <x:v>45352</x:v>
      </x:c>
      <x:c r="D45" s="31" t="n">
        <x:v>45388</x:v>
      </x:c>
      <x:c r="E45" s="31" t="n">
        <x:v>99300</x:v>
      </x:c>
      <x:c r="F45" s="31" t="n">
        <x:v>0.22</x:v>
      </x:c>
    </x:row>
    <x:row r="46">
      <x:c r="A46" s="31" t="str">
        <x:v>E1045</x:v>
      </x:c>
      <x:c r="B46" s="31" t="str">
        <x:v>Customer Success</x:v>
      </x:c>
      <x:c r="C46" s="31" t="n">
        <x:v>46113</x:v>
      </x:c>
      <x:c r="D46" s="31" t="n">
        <x:v>46158</x:v>
      </x:c>
      <x:c r="E46" s="31" t="n">
        <x:v>101500</x:v>
      </x:c>
      <x:c r="F46" s="31" t="n">
        <x:v>0.22</x:v>
      </x:c>
    </x:row>
    <x:row r="47">
      <x:c r="A47" s="31" t="str">
        <x:v>E1046</x:v>
      </x:c>
      <x:c r="B47" s="31" t="str">
        <x:v>Customer Success</x:v>
      </x:c>
      <x:c r="C47" s="31" t="n">
        <x:v>45047</x:v>
      </x:c>
      <x:c r="D47" s="31" t="n">
        <x:v>45044</x:v>
      </x:c>
      <x:c r="E47" s="31" t="n">
        <x:v>116300</x:v>
      </x:c>
      <x:c r="F47" s="31" t="n">
        <x:v>0.22</x:v>
      </x:c>
    </x:row>
    <x:row r="48">
      <x:c r="A48" s="31" t="str">
        <x:v>E1047</x:v>
      </x:c>
      <x:c r="B48" s="31" t="str">
        <x:v>G&amp;A</x:v>
      </x:c>
      <x:c r="C48" s="31" t="n">
        <x:v>45474</x:v>
      </x:c>
      <x:c r="D48" s="31" t="n">
        <x:v>45510</x:v>
      </x:c>
      <x:c r="E48" s="31" t="n">
        <x:v>117700</x:v>
      </x:c>
      <x:c r="F48" s="31" t="n">
        <x:v>0.22</x:v>
      </x:c>
    </x:row>
    <x:row r="49">
      <x:c r="A49" s="31" t="str">
        <x:v>E1048</x:v>
      </x:c>
      <x:c r="B49" s="31" t="str">
        <x:v>G&amp;A</x:v>
      </x:c>
      <x:c r="C49" s="31" t="n">
        <x:v>45689</x:v>
      </x:c>
      <x:c r="D49" s="31" t="n">
        <x:v>45715</x:v>
      </x:c>
      <x:c r="E49" s="31" t="n">
        <x:v>157900</x:v>
      </x:c>
      <x:c r="F49" s="31" t="n">
        <x:v>0.22</x:v>
      </x:c>
    </x:row>
    <x:row r="50">
      <x:c r="A50" s="31" t="str">
        <x:v>E1049</x:v>
      </x:c>
      <x:c r="B50" s="31" t="str">
        <x:v>G&amp;A</x:v>
      </x:c>
      <x:c r="C50" s="31" t="n">
        <x:v>45474</x:v>
      </x:c>
      <x:c r="D50" s="31" t="n">
        <x:v>45459</x:v>
      </x:c>
      <x:c r="E50" s="31" t="n">
        <x:v>99500</x:v>
      </x:c>
      <x:c r="F50" s="31" t="n">
        <x:v>0.22</x:v>
      </x:c>
    </x:row>
    <x:row r="51">
      <x:c r="A51" s="31" t="str">
        <x:v>E1050</x:v>
      </x:c>
      <x:c r="B51" s="31" t="str">
        <x:v>G&amp;A</x:v>
      </x:c>
      <x:c r="C51" s="31" t="n">
        <x:v>46023</x:v>
      </x:c>
      <x:c r="D51" s="31" t="n">
        <x:v>46063</x:v>
      </x:c>
      <x:c r="E51" s="31" t="n">
        <x:v>101200</x:v>
      </x:c>
      <x:c r="F51" s="31" t="n">
        <x:v>0.22</x:v>
      </x:c>
    </x:row>
    <x:row r="52">
      <x:c r="A52" s="31" t="str">
        <x:v>E1051</x:v>
      </x:c>
      <x:c r="B52" s="31" t="str">
        <x:v>G&amp;A</x:v>
      </x:c>
      <x:c r="C52" s="31" t="n">
        <x:v>46113</x:v>
      </x:c>
      <x:c r="D52" s="31" t="n">
        <x:v>46145</x:v>
      </x:c>
      <x:c r="E52" s="31" t="n">
        <x:v>124600</x:v>
      </x:c>
      <x:c r="F52" s="31" t="n">
        <x:v>0.22</x:v>
      </x:c>
    </x:row>
    <x:row r="53">
      <x:c r="A53" s="31" t="str">
        <x:v>E1052</x:v>
      </x:c>
      <x:c r="B53" s="31" t="str">
        <x:v>G&amp;A</x:v>
      </x:c>
      <x:c r="C53" s="31" t="n">
        <x:v>44986</x:v>
      </x:c>
      <x:c r="D53" s="31" t="n">
        <x:v>45020</x:v>
      </x:c>
      <x:c r="E53" s="31" t="n">
        <x:v>139700</x:v>
      </x:c>
      <x:c r="F53" s="31" t="n">
        <x:v>0.22</x:v>
      </x:c>
    </x:row>
  </x:sheetData>
  <x:pageMargins left="0.7" right="0.7" top="0.75" bottom="0.75" header="0.3" footer="0.3"/>
  <x:tableParts count="1">
    <x:tablePart xmlns:r="http://schemas.openxmlformats.org/officeDocument/2006/relationships" r:id="R1f7a1911851c45f2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16.1299991607666" hidden="0" customWidth="1"/>
    <x:col min="3" max="3" width="7.5" hidden="0" customWidth="1"/>
    <x:col min="4" max="4" width="8.5" hidden="0" customWidth="1"/>
    <x:col min="5" max="5" width="8" hidden="0" customWidth="1"/>
  </x:cols>
  <x:sheetData>
    <x:row r="1">
      <x:c r="A1" s="51" t="str">
        <x:v>month</x:v>
      </x:c>
      <x:c r="B1" s="27" t="str">
        <x:v>category</x:v>
      </x:c>
      <x:c r="C1" s="27" t="str">
        <x:v>budget</x:v>
      </x:c>
      <x:c r="D1" s="27" t="str">
        <x:v>actual</x:v>
      </x:c>
      <x:c r="E1" s="27" t="str">
        <x:v>cost_type</x:v>
      </x:c>
    </x:row>
    <x:row r="2">
      <x:c r="A2" s="31" t="n">
        <x:v>44927</x:v>
      </x:c>
      <x:c r="B2" s="31" t="str">
        <x:v>Marketing</x:v>
      </x:c>
      <x:c r="C2" s="31" t="n">
        <x:v>90000</x:v>
      </x:c>
      <x:c r="D2" s="31" t="n">
        <x:v>96347.05</x:v>
      </x:c>
      <x:c r="E2" s="31" t="str">
        <x:v>Variable</x:v>
      </x:c>
    </x:row>
    <x:row r="3">
      <x:c r="A3" s="31" t="n">
        <x:v>44927</x:v>
      </x:c>
      <x:c r="B3" s="31" t="str">
        <x:v>Cloud &amp; API</x:v>
      </x:c>
      <x:c r="C3" s="31" t="n">
        <x:v>14861.15</x:v>
      </x:c>
      <x:c r="D3" s="31" t="n">
        <x:v>17194.55</x:v>
      </x:c>
      <x:c r="E3" s="31" t="str">
        <x:v>Variable</x:v>
      </x:c>
    </x:row>
    <x:row r="4">
      <x:c r="A4" s="31" t="n">
        <x:v>44927</x:v>
      </x:c>
      <x:c r="B4" s="31" t="str">
        <x:v>Software</x:v>
      </x:c>
      <x:c r="C4" s="31" t="n">
        <x:v>26000</x:v>
      </x:c>
      <x:c r="D4" s="31" t="n">
        <x:v>28176.08</x:v>
      </x:c>
      <x:c r="E4" s="31" t="str">
        <x:v>Fixed</x:v>
      </x:c>
    </x:row>
    <x:row r="5">
      <x:c r="A5" s="31" t="n">
        <x:v>44927</x:v>
      </x:c>
      <x:c r="B5" s="31" t="str">
        <x:v>Office &amp; Admin</x:v>
      </x:c>
      <x:c r="C5" s="31" t="n">
        <x:v>31000</x:v>
      </x:c>
      <x:c r="D5" s="31" t="n">
        <x:v>32335.15</x:v>
      </x:c>
      <x:c r="E5" s="31" t="str">
        <x:v>Fixed</x:v>
      </x:c>
    </x:row>
    <x:row r="6">
      <x:c r="A6" s="31" t="n">
        <x:v>44927</x:v>
      </x:c>
      <x:c r="B6" s="31" t="str">
        <x:v>Professional Services</x:v>
      </x:c>
      <x:c r="C6" s="31" t="n">
        <x:v>18000</x:v>
      </x:c>
      <x:c r="D6" s="31" t="n">
        <x:v>18341.94</x:v>
      </x:c>
      <x:c r="E6" s="31" t="str">
        <x:v>Fixed</x:v>
      </x:c>
    </x:row>
    <x:row r="7">
      <x:c r="A7" s="31" t="n">
        <x:v>44958</x:v>
      </x:c>
      <x:c r="B7" s="31" t="str">
        <x:v>Marketing</x:v>
      </x:c>
      <x:c r="C7" s="31" t="n">
        <x:v>91080</x:v>
      </x:c>
      <x:c r="D7" s="31" t="n">
        <x:v>92636.06</x:v>
      </x:c>
      <x:c r="E7" s="31" t="str">
        <x:v>Variable</x:v>
      </x:c>
    </x:row>
    <x:row r="8">
      <x:c r="A8" s="31" t="n">
        <x:v>44958</x:v>
      </x:c>
      <x:c r="B8" s="31" t="str">
        <x:v>Cloud &amp; API</x:v>
      </x:c>
      <x:c r="C8" s="31" t="n">
        <x:v>15320.1</x:v>
      </x:c>
      <x:c r="D8" s="31" t="n">
        <x:v>16912.23</x:v>
      </x:c>
      <x:c r="E8" s="31" t="str">
        <x:v>Variable</x:v>
      </x:c>
    </x:row>
    <x:row r="9">
      <x:c r="A9" s="31" t="n">
        <x:v>44958</x:v>
      </x:c>
      <x:c r="B9" s="31" t="str">
        <x:v>Software</x:v>
      </x:c>
      <x:c r="C9" s="31" t="n">
        <x:v>26312</x:v>
      </x:c>
      <x:c r="D9" s="31" t="n">
        <x:v>27224.84</x:v>
      </x:c>
      <x:c r="E9" s="31" t="str">
        <x:v>Fixed</x:v>
      </x:c>
    </x:row>
    <x:row r="10">
      <x:c r="A10" s="31" t="n">
        <x:v>44958</x:v>
      </x:c>
      <x:c r="B10" s="31" t="str">
        <x:v>Office &amp; Admin</x:v>
      </x:c>
      <x:c r="C10" s="31" t="n">
        <x:v>31372</x:v>
      </x:c>
      <x:c r="D10" s="31" t="n">
        <x:v>32886.64</x:v>
      </x:c>
      <x:c r="E10" s="31" t="str">
        <x:v>Fixed</x:v>
      </x:c>
    </x:row>
    <x:row r="11">
      <x:c r="A11" s="31" t="n">
        <x:v>44958</x:v>
      </x:c>
      <x:c r="B11" s="31" t="str">
        <x:v>Professional Services</x:v>
      </x:c>
      <x:c r="C11" s="31" t="n">
        <x:v>18216</x:v>
      </x:c>
      <x:c r="D11" s="31" t="n">
        <x:v>20069.62</x:v>
      </x:c>
      <x:c r="E11" s="31" t="str">
        <x:v>Fixed</x:v>
      </x:c>
    </x:row>
    <x:row r="12">
      <x:c r="A12" s="31" t="n">
        <x:v>44986</x:v>
      </x:c>
      <x:c r="B12" s="31" t="str">
        <x:v>Marketing</x:v>
      </x:c>
      <x:c r="C12" s="31" t="n">
        <x:v>92160</x:v>
      </x:c>
      <x:c r="D12" s="31" t="n">
        <x:v>107534.07</x:v>
      </x:c>
      <x:c r="E12" s="31" t="str">
        <x:v>Variable</x:v>
      </x:c>
    </x:row>
    <x:row r="13">
      <x:c r="A13" s="31" t="n">
        <x:v>44986</x:v>
      </x:c>
      <x:c r="B13" s="31" t="str">
        <x:v>Cloud &amp; API</x:v>
      </x:c>
      <x:c r="C13" s="31" t="n">
        <x:v>15796.91</x:v>
      </x:c>
      <x:c r="D13" s="31" t="n">
        <x:v>17614.49</x:v>
      </x:c>
      <x:c r="E13" s="31" t="str">
        <x:v>Variable</x:v>
      </x:c>
    </x:row>
    <x:row r="14">
      <x:c r="A14" s="31" t="n">
        <x:v>44986</x:v>
      </x:c>
      <x:c r="B14" s="31" t="str">
        <x:v>Software</x:v>
      </x:c>
      <x:c r="C14" s="31" t="n">
        <x:v>26624</x:v>
      </x:c>
      <x:c r="D14" s="31" t="n">
        <x:v>28086.27</x:v>
      </x:c>
      <x:c r="E14" s="31" t="str">
        <x:v>Fixed</x:v>
      </x:c>
    </x:row>
    <x:row r="15">
      <x:c r="A15" s="31" t="n">
        <x:v>44986</x:v>
      </x:c>
      <x:c r="B15" s="31" t="str">
        <x:v>Office &amp; Admin</x:v>
      </x:c>
      <x:c r="C15" s="31" t="n">
        <x:v>31744</x:v>
      </x:c>
      <x:c r="D15" s="31" t="n">
        <x:v>30473.09</x:v>
      </x:c>
      <x:c r="E15" s="31" t="str">
        <x:v>Fixed</x:v>
      </x:c>
    </x:row>
    <x:row r="16">
      <x:c r="A16" s="31" t="n">
        <x:v>44986</x:v>
      </x:c>
      <x:c r="B16" s="31" t="str">
        <x:v>Professional Services</x:v>
      </x:c>
      <x:c r="C16" s="31" t="n">
        <x:v>18432</x:v>
      </x:c>
      <x:c r="D16" s="31" t="n">
        <x:v>18666.23</x:v>
      </x:c>
      <x:c r="E16" s="31" t="str">
        <x:v>Fixed</x:v>
      </x:c>
    </x:row>
    <x:row r="17">
      <x:c r="A17" s="31" t="n">
        <x:v>45017</x:v>
      </x:c>
      <x:c r="B17" s="31" t="str">
        <x:v>Marketing</x:v>
      </x:c>
      <x:c r="C17" s="31" t="n">
        <x:v>93240</x:v>
      </x:c>
      <x:c r="D17" s="31" t="n">
        <x:v>98850</x:v>
      </x:c>
      <x:c r="E17" s="31" t="str">
        <x:v>Variable</x:v>
      </x:c>
    </x:row>
    <x:row r="18">
      <x:c r="A18" s="31" t="n">
        <x:v>45017</x:v>
      </x:c>
      <x:c r="B18" s="31" t="str">
        <x:v>Cloud &amp; API</x:v>
      </x:c>
      <x:c r="C18" s="31" t="n">
        <x:v>16325.71</x:v>
      </x:c>
      <x:c r="D18" s="31" t="n">
        <x:v>16780.59</x:v>
      </x:c>
      <x:c r="E18" s="31" t="str">
        <x:v>Variable</x:v>
      </x:c>
    </x:row>
    <x:row r="19">
      <x:c r="A19" s="31" t="n">
        <x:v>45017</x:v>
      </x:c>
      <x:c r="B19" s="31" t="str">
        <x:v>Software</x:v>
      </x:c>
      <x:c r="C19" s="31" t="n">
        <x:v>26936</x:v>
      </x:c>
      <x:c r="D19" s="31" t="n">
        <x:v>29314.91</x:v>
      </x:c>
      <x:c r="E19" s="31" t="str">
        <x:v>Fixed</x:v>
      </x:c>
    </x:row>
    <x:row r="20">
      <x:c r="A20" s="31" t="n">
        <x:v>45017</x:v>
      </x:c>
      <x:c r="B20" s="31" t="str">
        <x:v>Office &amp; Admin</x:v>
      </x:c>
      <x:c r="C20" s="31" t="n">
        <x:v>32116</x:v>
      </x:c>
      <x:c r="D20" s="31" t="n">
        <x:v>30343.99</x:v>
      </x:c>
      <x:c r="E20" s="31" t="str">
        <x:v>Fixed</x:v>
      </x:c>
    </x:row>
    <x:row r="21">
      <x:c r="A21" s="31" t="n">
        <x:v>45017</x:v>
      </x:c>
      <x:c r="B21" s="31" t="str">
        <x:v>Professional Services</x:v>
      </x:c>
      <x:c r="C21" s="31" t="n">
        <x:v>18648</x:v>
      </x:c>
      <x:c r="D21" s="31" t="n">
        <x:v>20504.42</x:v>
      </x:c>
      <x:c r="E21" s="31" t="str">
        <x:v>Fixed</x:v>
      </x:c>
    </x:row>
    <x:row r="22">
      <x:c r="A22" s="31" t="n">
        <x:v>45047</x:v>
      </x:c>
      <x:c r="B22" s="31" t="str">
        <x:v>Marketing</x:v>
      </x:c>
      <x:c r="C22" s="31" t="n">
        <x:v>94320</x:v>
      </x:c>
      <x:c r="D22" s="31" t="n">
        <x:v>99048.52</x:v>
      </x:c>
      <x:c r="E22" s="31" t="str">
        <x:v>Variable</x:v>
      </x:c>
    </x:row>
    <x:row r="23">
      <x:c r="A23" s="31" t="n">
        <x:v>45047</x:v>
      </x:c>
      <x:c r="B23" s="31" t="str">
        <x:v>Cloud &amp; API</x:v>
      </x:c>
      <x:c r="C23" s="31" t="n">
        <x:v>16865.9</x:v>
      </x:c>
      <x:c r="D23" s="31" t="n">
        <x:v>19671.71</x:v>
      </x:c>
      <x:c r="E23" s="31" t="str">
        <x:v>Variable</x:v>
      </x:c>
    </x:row>
    <x:row r="24">
      <x:c r="A24" s="31" t="n">
        <x:v>45047</x:v>
      </x:c>
      <x:c r="B24" s="31" t="str">
        <x:v>Software</x:v>
      </x:c>
      <x:c r="C24" s="31" t="n">
        <x:v>27248</x:v>
      </x:c>
      <x:c r="D24" s="31" t="n">
        <x:v>25481.25</x:v>
      </x:c>
      <x:c r="E24" s="31" t="str">
        <x:v>Fixed</x:v>
      </x:c>
    </x:row>
    <x:row r="25">
      <x:c r="A25" s="31" t="n">
        <x:v>45047</x:v>
      </x:c>
      <x:c r="B25" s="31" t="str">
        <x:v>Office &amp; Admin</x:v>
      </x:c>
      <x:c r="C25" s="31" t="n">
        <x:v>32488</x:v>
      </x:c>
      <x:c r="D25" s="31" t="n">
        <x:v>29966.14</x:v>
      </x:c>
      <x:c r="E25" s="31" t="str">
        <x:v>Fixed</x:v>
      </x:c>
    </x:row>
    <x:row r="26">
      <x:c r="A26" s="31" t="n">
        <x:v>45047</x:v>
      </x:c>
      <x:c r="B26" s="31" t="str">
        <x:v>Professional Services</x:v>
      </x:c>
      <x:c r="C26" s="31" t="n">
        <x:v>18864</x:v>
      </x:c>
      <x:c r="D26" s="31" t="n">
        <x:v>20256.03</x:v>
      </x:c>
      <x:c r="E26" s="31" t="str">
        <x:v>Fixed</x:v>
      </x:c>
    </x:row>
    <x:row r="27">
      <x:c r="A27" s="31" t="n">
        <x:v>45078</x:v>
      </x:c>
      <x:c r="B27" s="31" t="str">
        <x:v>Marketing</x:v>
      </x:c>
      <x:c r="C27" s="31" t="n">
        <x:v>95400</x:v>
      </x:c>
      <x:c r="D27" s="31" t="n">
        <x:v>95038.31</x:v>
      </x:c>
      <x:c r="E27" s="31" t="str">
        <x:v>Variable</x:v>
      </x:c>
    </x:row>
    <x:row r="28">
      <x:c r="A28" s="31" t="n">
        <x:v>45078</x:v>
      </x:c>
      <x:c r="B28" s="31" t="str">
        <x:v>Cloud &amp; API</x:v>
      </x:c>
      <x:c r="C28" s="31" t="n">
        <x:v>17261.47</x:v>
      </x:c>
      <x:c r="D28" s="31" t="n">
        <x:v>19535.09</x:v>
      </x:c>
      <x:c r="E28" s="31" t="str">
        <x:v>Variable</x:v>
      </x:c>
    </x:row>
    <x:row r="29">
      <x:c r="A29" s="31" t="n">
        <x:v>45078</x:v>
      </x:c>
      <x:c r="B29" s="31" t="str">
        <x:v>Software</x:v>
      </x:c>
      <x:c r="C29" s="31" t="n">
        <x:v>27560</x:v>
      </x:c>
      <x:c r="D29" s="31" t="n">
        <x:v>29331.53</x:v>
      </x:c>
      <x:c r="E29" s="31" t="str">
        <x:v>Fixed</x:v>
      </x:c>
    </x:row>
    <x:row r="30">
      <x:c r="A30" s="31" t="n">
        <x:v>45078</x:v>
      </x:c>
      <x:c r="B30" s="31" t="str">
        <x:v>Office &amp; Admin</x:v>
      </x:c>
      <x:c r="C30" s="31" t="n">
        <x:v>32860</x:v>
      </x:c>
      <x:c r="D30" s="31" t="n">
        <x:v>34400.25</x:v>
      </x:c>
      <x:c r="E30" s="31" t="str">
        <x:v>Fixed</x:v>
      </x:c>
    </x:row>
    <x:row r="31">
      <x:c r="A31" s="31" t="n">
        <x:v>45078</x:v>
      </x:c>
      <x:c r="B31" s="31" t="str">
        <x:v>Professional Services</x:v>
      </x:c>
      <x:c r="C31" s="31" t="n">
        <x:v>19080</x:v>
      </x:c>
      <x:c r="D31" s="31" t="n">
        <x:v>19260.17</x:v>
      </x:c>
      <x:c r="E31" s="31" t="str">
        <x:v>Fixed</x:v>
      </x:c>
    </x:row>
    <x:row r="32">
      <x:c r="A32" s="31" t="n">
        <x:v>45108</x:v>
      </x:c>
      <x:c r="B32" s="31" t="str">
        <x:v>Marketing</x:v>
      </x:c>
      <x:c r="C32" s="31" t="n">
        <x:v>96480</x:v>
      </x:c>
      <x:c r="D32" s="31" t="n">
        <x:v>107423.37</x:v>
      </x:c>
      <x:c r="E32" s="31" t="str">
        <x:v>Variable</x:v>
      </x:c>
    </x:row>
    <x:row r="33">
      <x:c r="A33" s="31" t="n">
        <x:v>45108</x:v>
      </x:c>
      <x:c r="B33" s="31" t="str">
        <x:v>Cloud &amp; API</x:v>
      </x:c>
      <x:c r="C33" s="31" t="n">
        <x:v>17842.27</x:v>
      </x:c>
      <x:c r="D33" s="31" t="n">
        <x:v>18116.76</x:v>
      </x:c>
      <x:c r="E33" s="31" t="str">
        <x:v>Variable</x:v>
      </x:c>
    </x:row>
    <x:row r="34">
      <x:c r="A34" s="31" t="n">
        <x:v>45108</x:v>
      </x:c>
      <x:c r="B34" s="31" t="str">
        <x:v>Software</x:v>
      </x:c>
      <x:c r="C34" s="31" t="n">
        <x:v>27872</x:v>
      </x:c>
      <x:c r="D34" s="31" t="n">
        <x:v>28425.62</x:v>
      </x:c>
      <x:c r="E34" s="31" t="str">
        <x:v>Fixed</x:v>
      </x:c>
    </x:row>
    <x:row r="35">
      <x:c r="A35" s="31" t="n">
        <x:v>45108</x:v>
      </x:c>
      <x:c r="B35" s="31" t="str">
        <x:v>Office &amp; Admin</x:v>
      </x:c>
      <x:c r="C35" s="31" t="n">
        <x:v>33232</x:v>
      </x:c>
      <x:c r="D35" s="31" t="n">
        <x:v>30572.28</x:v>
      </x:c>
      <x:c r="E35" s="31" t="str">
        <x:v>Fixed</x:v>
      </x:c>
    </x:row>
    <x:row r="36">
      <x:c r="A36" s="31" t="n">
        <x:v>45108</x:v>
      </x:c>
      <x:c r="B36" s="31" t="str">
        <x:v>Professional Services</x:v>
      </x:c>
      <x:c r="C36" s="31" t="n">
        <x:v>19296</x:v>
      </x:c>
      <x:c r="D36" s="31" t="n">
        <x:v>21768.91</x:v>
      </x:c>
      <x:c r="E36" s="31" t="str">
        <x:v>Fixed</x:v>
      </x:c>
    </x:row>
    <x:row r="37">
      <x:c r="A37" s="31" t="n">
        <x:v>45139</x:v>
      </x:c>
      <x:c r="B37" s="31" t="str">
        <x:v>Marketing</x:v>
      </x:c>
      <x:c r="C37" s="31" t="n">
        <x:v>97560</x:v>
      </x:c>
      <x:c r="D37" s="31" t="n">
        <x:v>101334.49</x:v>
      </x:c>
      <x:c r="E37" s="31" t="str">
        <x:v>Variable</x:v>
      </x:c>
    </x:row>
    <x:row r="38">
      <x:c r="A38" s="31" t="n">
        <x:v>45139</x:v>
      </x:c>
      <x:c r="B38" s="31" t="str">
        <x:v>Cloud &amp; API</x:v>
      </x:c>
      <x:c r="C38" s="31" t="n">
        <x:v>18330.46</x:v>
      </x:c>
      <x:c r="D38" s="31" t="n">
        <x:v>19315.22</x:v>
      </x:c>
      <x:c r="E38" s="31" t="str">
        <x:v>Variable</x:v>
      </x:c>
    </x:row>
    <x:row r="39">
      <x:c r="A39" s="31" t="n">
        <x:v>45139</x:v>
      </x:c>
      <x:c r="B39" s="31" t="str">
        <x:v>Software</x:v>
      </x:c>
      <x:c r="C39" s="31" t="n">
        <x:v>28184</x:v>
      </x:c>
      <x:c r="D39" s="31" t="n">
        <x:v>29077.65</x:v>
      </x:c>
      <x:c r="E39" s="31" t="str">
        <x:v>Fixed</x:v>
      </x:c>
    </x:row>
    <x:row r="40">
      <x:c r="A40" s="31" t="n">
        <x:v>45139</x:v>
      </x:c>
      <x:c r="B40" s="31" t="str">
        <x:v>Office &amp; Admin</x:v>
      </x:c>
      <x:c r="C40" s="31" t="n">
        <x:v>33604</x:v>
      </x:c>
      <x:c r="D40" s="31" t="n">
        <x:v>33034.02</x:v>
      </x:c>
      <x:c r="E40" s="31" t="str">
        <x:v>Fixed</x:v>
      </x:c>
    </x:row>
    <x:row r="41">
      <x:c r="A41" s="31" t="n">
        <x:v>45139</x:v>
      </x:c>
      <x:c r="B41" s="31" t="str">
        <x:v>Professional Services</x:v>
      </x:c>
      <x:c r="C41" s="31" t="n">
        <x:v>19512</x:v>
      </x:c>
      <x:c r="D41" s="31" t="n">
        <x:v>20206.66</x:v>
      </x:c>
      <x:c r="E41" s="31" t="str">
        <x:v>Fixed</x:v>
      </x:c>
    </x:row>
    <x:row r="42">
      <x:c r="A42" s="31" t="n">
        <x:v>45170</x:v>
      </x:c>
      <x:c r="B42" s="31" t="str">
        <x:v>Marketing</x:v>
      </x:c>
      <x:c r="C42" s="31" t="n">
        <x:v>98640</x:v>
      </x:c>
      <x:c r="D42" s="31" t="n">
        <x:v>97894.12</x:v>
      </x:c>
      <x:c r="E42" s="31" t="str">
        <x:v>Variable</x:v>
      </x:c>
    </x:row>
    <x:row r="43">
      <x:c r="A43" s="31" t="n">
        <x:v>45170</x:v>
      </x:c>
      <x:c r="B43" s="31" t="str">
        <x:v>Cloud &amp; API</x:v>
      </x:c>
      <x:c r="C43" s="31" t="n">
        <x:v>18691.87</x:v>
      </x:c>
      <x:c r="D43" s="31" t="n">
        <x:v>21744.55</x:v>
      </x:c>
      <x:c r="E43" s="31" t="str">
        <x:v>Variable</x:v>
      </x:c>
    </x:row>
    <x:row r="44">
      <x:c r="A44" s="31" t="n">
        <x:v>45170</x:v>
      </x:c>
      <x:c r="B44" s="31" t="str">
        <x:v>Software</x:v>
      </x:c>
      <x:c r="C44" s="31" t="n">
        <x:v>28496</x:v>
      </x:c>
      <x:c r="D44" s="31" t="n">
        <x:v>30369</x:v>
      </x:c>
      <x:c r="E44" s="31" t="str">
        <x:v>Fixed</x:v>
      </x:c>
    </x:row>
    <x:row r="45">
      <x:c r="A45" s="31" t="n">
        <x:v>45170</x:v>
      </x:c>
      <x:c r="B45" s="31" t="str">
        <x:v>Office &amp; Admin</x:v>
      </x:c>
      <x:c r="C45" s="31" t="n">
        <x:v>33976</x:v>
      </x:c>
      <x:c r="D45" s="31" t="n">
        <x:v>29557.76</x:v>
      </x:c>
      <x:c r="E45" s="31" t="str">
        <x:v>Fixed</x:v>
      </x:c>
    </x:row>
    <x:row r="46">
      <x:c r="A46" s="31" t="n">
        <x:v>45170</x:v>
      </x:c>
      <x:c r="B46" s="31" t="str">
        <x:v>Professional Services</x:v>
      </x:c>
      <x:c r="C46" s="31" t="n">
        <x:v>19728</x:v>
      </x:c>
      <x:c r="D46" s="31" t="n">
        <x:v>21500.44</x:v>
      </x:c>
      <x:c r="E46" s="31" t="str">
        <x:v>Fixed</x:v>
      </x:c>
    </x:row>
    <x:row r="47">
      <x:c r="A47" s="31" t="n">
        <x:v>45200</x:v>
      </x:c>
      <x:c r="B47" s="31" t="str">
        <x:v>Marketing</x:v>
      </x:c>
      <x:c r="C47" s="31" t="n">
        <x:v>99720</x:v>
      </x:c>
      <x:c r="D47" s="31" t="n">
        <x:v>106306.54</x:v>
      </x:c>
      <x:c r="E47" s="31" t="str">
        <x:v>Variable</x:v>
      </x:c>
    </x:row>
    <x:row r="48">
      <x:c r="A48" s="31" t="n">
        <x:v>45200</x:v>
      </x:c>
      <x:c r="B48" s="31" t="str">
        <x:v>Cloud &amp; API</x:v>
      </x:c>
      <x:c r="C48" s="31" t="n">
        <x:v>19093.9</x:v>
      </x:c>
      <x:c r="D48" s="31" t="n">
        <x:v>21202.65</x:v>
      </x:c>
      <x:c r="E48" s="31" t="str">
        <x:v>Variable</x:v>
      </x:c>
    </x:row>
    <x:row r="49">
      <x:c r="A49" s="31" t="n">
        <x:v>45200</x:v>
      </x:c>
      <x:c r="B49" s="31" t="str">
        <x:v>Software</x:v>
      </x:c>
      <x:c r="C49" s="31" t="n">
        <x:v>28808</x:v>
      </x:c>
      <x:c r="D49" s="31" t="n">
        <x:v>30779.44</x:v>
      </x:c>
      <x:c r="E49" s="31" t="str">
        <x:v>Fixed</x:v>
      </x:c>
    </x:row>
    <x:row r="50">
      <x:c r="A50" s="31" t="n">
        <x:v>45200</x:v>
      </x:c>
      <x:c r="B50" s="31" t="str">
        <x:v>Office &amp; Admin</x:v>
      </x:c>
      <x:c r="C50" s="31" t="n">
        <x:v>34348</x:v>
      </x:c>
      <x:c r="D50" s="31" t="n">
        <x:v>32501.76</x:v>
      </x:c>
      <x:c r="E50" s="31" t="str">
        <x:v>Fixed</x:v>
      </x:c>
    </x:row>
    <x:row r="51">
      <x:c r="A51" s="31" t="n">
        <x:v>45200</x:v>
      </x:c>
      <x:c r="B51" s="31" t="str">
        <x:v>Professional Services</x:v>
      </x:c>
      <x:c r="C51" s="31" t="n">
        <x:v>19944</x:v>
      </x:c>
      <x:c r="D51" s="31" t="n">
        <x:v>20812.89</x:v>
      </x:c>
      <x:c r="E51" s="31" t="str">
        <x:v>Fixed</x:v>
      </x:c>
    </x:row>
    <x:row r="52">
      <x:c r="A52" s="31" t="n">
        <x:v>45231</x:v>
      </x:c>
      <x:c r="B52" s="31" t="str">
        <x:v>Marketing</x:v>
      </x:c>
      <x:c r="C52" s="31" t="n">
        <x:v>100800</x:v>
      </x:c>
      <x:c r="D52" s="31" t="n">
        <x:v>107202.61</x:v>
      </x:c>
      <x:c r="E52" s="31" t="str">
        <x:v>Variable</x:v>
      </x:c>
    </x:row>
    <x:row r="53">
      <x:c r="A53" s="31" t="n">
        <x:v>45231</x:v>
      </x:c>
      <x:c r="B53" s="31" t="str">
        <x:v>Cloud &amp; API</x:v>
      </x:c>
      <x:c r="C53" s="31" t="n">
        <x:v>19599.94</x:v>
      </x:c>
      <x:c r="D53" s="31" t="n">
        <x:v>22817.4</x:v>
      </x:c>
      <x:c r="E53" s="31" t="str">
        <x:v>Variable</x:v>
      </x:c>
    </x:row>
    <x:row r="54">
      <x:c r="A54" s="31" t="n">
        <x:v>45231</x:v>
      </x:c>
      <x:c r="B54" s="31" t="str">
        <x:v>Software</x:v>
      </x:c>
      <x:c r="C54" s="31" t="n">
        <x:v>29120</x:v>
      </x:c>
      <x:c r="D54" s="31" t="n">
        <x:v>29177.48</x:v>
      </x:c>
      <x:c r="E54" s="31" t="str">
        <x:v>Fixed</x:v>
      </x:c>
    </x:row>
    <x:row r="55">
      <x:c r="A55" s="31" t="n">
        <x:v>45231</x:v>
      </x:c>
      <x:c r="B55" s="31" t="str">
        <x:v>Office &amp; Admin</x:v>
      </x:c>
      <x:c r="C55" s="31" t="n">
        <x:v>34720</x:v>
      </x:c>
      <x:c r="D55" s="31" t="n">
        <x:v>35249.41</x:v>
      </x:c>
      <x:c r="E55" s="31" t="str">
        <x:v>Fixed</x:v>
      </x:c>
    </x:row>
    <x:row r="56">
      <x:c r="A56" s="31" t="n">
        <x:v>45231</x:v>
      </x:c>
      <x:c r="B56" s="31" t="str">
        <x:v>Professional Services</x:v>
      </x:c>
      <x:c r="C56" s="31" t="n">
        <x:v>20160</x:v>
      </x:c>
      <x:c r="D56" s="31" t="n">
        <x:v>21006.99</x:v>
      </x:c>
      <x:c r="E56" s="31" t="str">
        <x:v>Fixed</x:v>
      </x:c>
    </x:row>
    <x:row r="57">
      <x:c r="A57" s="31" t="n">
        <x:v>45261</x:v>
      </x:c>
      <x:c r="B57" s="31" t="str">
        <x:v>Marketing</x:v>
      </x:c>
      <x:c r="C57" s="31" t="n">
        <x:v>101880</x:v>
      </x:c>
      <x:c r="D57" s="31" t="n">
        <x:v>111974.44</x:v>
      </x:c>
      <x:c r="E57" s="31" t="str">
        <x:v>Variable</x:v>
      </x:c>
    </x:row>
    <x:row r="58">
      <x:c r="A58" s="31" t="n">
        <x:v>45261</x:v>
      </x:c>
      <x:c r="B58" s="31" t="str">
        <x:v>Cloud &amp; API</x:v>
      </x:c>
      <x:c r="C58" s="31" t="n">
        <x:v>20140.13</x:v>
      </x:c>
      <x:c r="D58" s="31" t="n">
        <x:v>21443.44</x:v>
      </x:c>
      <x:c r="E58" s="31" t="str">
        <x:v>Variable</x:v>
      </x:c>
    </x:row>
    <x:row r="59">
      <x:c r="A59" s="31" t="n">
        <x:v>45261</x:v>
      </x:c>
      <x:c r="B59" s="31" t="str">
        <x:v>Software</x:v>
      </x:c>
      <x:c r="C59" s="31" t="n">
        <x:v>29432</x:v>
      </x:c>
      <x:c r="D59" s="31" t="n">
        <x:v>29800.71</x:v>
      </x:c>
      <x:c r="E59" s="31" t="str">
        <x:v>Fixed</x:v>
      </x:c>
    </x:row>
    <x:row r="60">
      <x:c r="A60" s="31" t="n">
        <x:v>45261</x:v>
      </x:c>
      <x:c r="B60" s="31" t="str">
        <x:v>Office &amp; Admin</x:v>
      </x:c>
      <x:c r="C60" s="31" t="n">
        <x:v>35092</x:v>
      </x:c>
      <x:c r="D60" s="31" t="n">
        <x:v>33486.29</x:v>
      </x:c>
      <x:c r="E60" s="31" t="str">
        <x:v>Fixed</x:v>
      </x:c>
    </x:row>
    <x:row r="61">
      <x:c r="A61" s="31" t="n">
        <x:v>45261</x:v>
      </x:c>
      <x:c r="B61" s="31" t="str">
        <x:v>Professional Services</x:v>
      </x:c>
      <x:c r="C61" s="31" t="n">
        <x:v>20376</x:v>
      </x:c>
      <x:c r="D61" s="31" t="n">
        <x:v>22215.51</x:v>
      </x:c>
      <x:c r="E61" s="31" t="str">
        <x:v>Fixed</x:v>
      </x:c>
    </x:row>
    <x:row r="62">
      <x:c r="A62" s="31" t="n">
        <x:v>45292</x:v>
      </x:c>
      <x:c r="B62" s="31" t="str">
        <x:v>Marketing</x:v>
      </x:c>
      <x:c r="C62" s="31" t="n">
        <x:v>102960</x:v>
      </x:c>
      <x:c r="D62" s="31" t="n">
        <x:v>117178.44</x:v>
      </x:c>
      <x:c r="E62" s="31" t="str">
        <x:v>Variable</x:v>
      </x:c>
    </x:row>
    <x:row r="63">
      <x:c r="A63" s="31" t="n">
        <x:v>45292</x:v>
      </x:c>
      <x:c r="B63" s="31" t="str">
        <x:v>Cloud &amp; API</x:v>
      </x:c>
      <x:c r="C63" s="31" t="n">
        <x:v>21338.52</x:v>
      </x:c>
      <x:c r="D63" s="31" t="n">
        <x:v>24211.13</x:v>
      </x:c>
      <x:c r="E63" s="31" t="str">
        <x:v>Variable</x:v>
      </x:c>
    </x:row>
    <x:row r="64">
      <x:c r="A64" s="31" t="n">
        <x:v>45292</x:v>
      </x:c>
      <x:c r="B64" s="31" t="str">
        <x:v>Software</x:v>
      </x:c>
      <x:c r="C64" s="31" t="n">
        <x:v>29744</x:v>
      </x:c>
      <x:c r="D64" s="31" t="n">
        <x:v>29478.56</x:v>
      </x:c>
      <x:c r="E64" s="31" t="str">
        <x:v>Fixed</x:v>
      </x:c>
    </x:row>
    <x:row r="65">
      <x:c r="A65" s="31" t="n">
        <x:v>45292</x:v>
      </x:c>
      <x:c r="B65" s="31" t="str">
        <x:v>Office &amp; Admin</x:v>
      </x:c>
      <x:c r="C65" s="31" t="n">
        <x:v>35464</x:v>
      </x:c>
      <x:c r="D65" s="31" t="n">
        <x:v>34509.33</x:v>
      </x:c>
      <x:c r="E65" s="31" t="str">
        <x:v>Fixed</x:v>
      </x:c>
    </x:row>
    <x:row r="66">
      <x:c r="A66" s="31" t="n">
        <x:v>45292</x:v>
      </x:c>
      <x:c r="B66" s="31" t="str">
        <x:v>Professional Services</x:v>
      </x:c>
      <x:c r="C66" s="31" t="n">
        <x:v>20592</x:v>
      </x:c>
      <x:c r="D66" s="31" t="n">
        <x:v>21772.08</x:v>
      </x:c>
      <x:c r="E66" s="31" t="str">
        <x:v>Fixed</x:v>
      </x:c>
    </x:row>
    <x:row r="67">
      <x:c r="A67" s="31" t="n">
        <x:v>45323</x:v>
      </x:c>
      <x:c r="B67" s="31" t="str">
        <x:v>Marketing</x:v>
      </x:c>
      <x:c r="C67" s="31" t="n">
        <x:v>104040</x:v>
      </x:c>
      <x:c r="D67" s="31" t="n">
        <x:v>115687.13</x:v>
      </x:c>
      <x:c r="E67" s="31" t="str">
        <x:v>Variable</x:v>
      </x:c>
    </x:row>
    <x:row r="68">
      <x:c r="A68" s="31" t="n">
        <x:v>45323</x:v>
      </x:c>
      <x:c r="B68" s="31" t="str">
        <x:v>Cloud &amp; API</x:v>
      </x:c>
      <x:c r="C68" s="31" t="n">
        <x:v>21885.83</x:v>
      </x:c>
      <x:c r="D68" s="31" t="n">
        <x:v>25083.42</x:v>
      </x:c>
      <x:c r="E68" s="31" t="str">
        <x:v>Variable</x:v>
      </x:c>
    </x:row>
    <x:row r="69">
      <x:c r="A69" s="31" t="n">
        <x:v>45323</x:v>
      </x:c>
      <x:c r="B69" s="31" t="str">
        <x:v>Software</x:v>
      </x:c>
      <x:c r="C69" s="31" t="n">
        <x:v>30056</x:v>
      </x:c>
      <x:c r="D69" s="31" t="n">
        <x:v>35630.59</x:v>
      </x:c>
      <x:c r="E69" s="31" t="str">
        <x:v>Fixed</x:v>
      </x:c>
    </x:row>
    <x:row r="70">
      <x:c r="A70" s="31" t="n">
        <x:v>45323</x:v>
      </x:c>
      <x:c r="B70" s="31" t="str">
        <x:v>Office &amp; Admin</x:v>
      </x:c>
      <x:c r="C70" s="31" t="n">
        <x:v>35836</x:v>
      </x:c>
      <x:c r="D70" s="31" t="n">
        <x:v>32960.49</x:v>
      </x:c>
      <x:c r="E70" s="31" t="str">
        <x:v>Fixed</x:v>
      </x:c>
    </x:row>
    <x:row r="71">
      <x:c r="A71" s="31" t="n">
        <x:v>45323</x:v>
      </x:c>
      <x:c r="B71" s="31" t="str">
        <x:v>Professional Services</x:v>
      </x:c>
      <x:c r="C71" s="31" t="n">
        <x:v>20808</x:v>
      </x:c>
      <x:c r="D71" s="31" t="n">
        <x:v>21901.11</x:v>
      </x:c>
      <x:c r="E71" s="31" t="str">
        <x:v>Fixed</x:v>
      </x:c>
    </x:row>
    <x:row r="72">
      <x:c r="A72" s="31" t="n">
        <x:v>45352</x:v>
      </x:c>
      <x:c r="B72" s="31" t="str">
        <x:v>Marketing</x:v>
      </x:c>
      <x:c r="C72" s="31" t="n">
        <x:v>105120</x:v>
      </x:c>
      <x:c r="D72" s="31" t="n">
        <x:v>111183.55</x:v>
      </x:c>
      <x:c r="E72" s="31" t="str">
        <x:v>Variable</x:v>
      </x:c>
    </x:row>
    <x:row r="73">
      <x:c r="A73" s="31" t="n">
        <x:v>45352</x:v>
      </x:c>
      <x:c r="B73" s="31" t="str">
        <x:v>Cloud &amp; API</x:v>
      </x:c>
      <x:c r="C73" s="31" t="n">
        <x:v>22564.36</x:v>
      </x:c>
      <x:c r="D73" s="31" t="n">
        <x:v>25529.23</x:v>
      </x:c>
      <x:c r="E73" s="31" t="str">
        <x:v>Variable</x:v>
      </x:c>
    </x:row>
    <x:row r="74">
      <x:c r="A74" s="31" t="n">
        <x:v>45352</x:v>
      </x:c>
      <x:c r="B74" s="31" t="str">
        <x:v>Software</x:v>
      </x:c>
      <x:c r="C74" s="31" t="n">
        <x:v>30368</x:v>
      </x:c>
      <x:c r="D74" s="31" t="n">
        <x:v>31894.31</x:v>
      </x:c>
      <x:c r="E74" s="31" t="str">
        <x:v>Fixed</x:v>
      </x:c>
    </x:row>
    <x:row r="75">
      <x:c r="A75" s="31" t="n">
        <x:v>45352</x:v>
      </x:c>
      <x:c r="B75" s="31" t="str">
        <x:v>Office &amp; Admin</x:v>
      </x:c>
      <x:c r="C75" s="31" t="n">
        <x:v>36208</x:v>
      </x:c>
      <x:c r="D75" s="31" t="n">
        <x:v>36907.12</x:v>
      </x:c>
      <x:c r="E75" s="31" t="str">
        <x:v>Fixed</x:v>
      </x:c>
    </x:row>
    <x:row r="76">
      <x:c r="A76" s="31" t="n">
        <x:v>45352</x:v>
      </x:c>
      <x:c r="B76" s="31" t="str">
        <x:v>Professional Services</x:v>
      </x:c>
      <x:c r="C76" s="31" t="n">
        <x:v>21024</x:v>
      </x:c>
      <x:c r="D76" s="31" t="n">
        <x:v>20802.94</x:v>
      </x:c>
      <x:c r="E76" s="31" t="str">
        <x:v>Fixed</x:v>
      </x:c>
    </x:row>
    <x:row r="77">
      <x:c r="A77" s="31" t="n">
        <x:v>45383</x:v>
      </x:c>
      <x:c r="B77" s="31" t="str">
        <x:v>Marketing</x:v>
      </x:c>
      <x:c r="C77" s="31" t="n">
        <x:v>106200</x:v>
      </x:c>
      <x:c r="D77" s="31" t="n">
        <x:v>115395.62</x:v>
      </x:c>
      <x:c r="E77" s="31" t="str">
        <x:v>Variable</x:v>
      </x:c>
    </x:row>
    <x:row r="78">
      <x:c r="A78" s="31" t="n">
        <x:v>45383</x:v>
      </x:c>
      <x:c r="B78" s="31" t="str">
        <x:v>Cloud &amp; API</x:v>
      </x:c>
      <x:c r="C78" s="31" t="n">
        <x:v>23383.18</x:v>
      </x:c>
      <x:c r="D78" s="31" t="n">
        <x:v>26629.59</x:v>
      </x:c>
      <x:c r="E78" s="31" t="str">
        <x:v>Variable</x:v>
      </x:c>
    </x:row>
    <x:row r="79">
      <x:c r="A79" s="31" t="n">
        <x:v>45383</x:v>
      </x:c>
      <x:c r="B79" s="31" t="str">
        <x:v>Software</x:v>
      </x:c>
      <x:c r="C79" s="31" t="n">
        <x:v>30680</x:v>
      </x:c>
      <x:c r="D79" s="31" t="n">
        <x:v>33051.06</x:v>
      </x:c>
      <x:c r="E79" s="31" t="str">
        <x:v>Fixed</x:v>
      </x:c>
    </x:row>
    <x:row r="80">
      <x:c r="A80" s="31" t="n">
        <x:v>45383</x:v>
      </x:c>
      <x:c r="B80" s="31" t="str">
        <x:v>Office &amp; Admin</x:v>
      </x:c>
      <x:c r="C80" s="31" t="n">
        <x:v>36580</x:v>
      </x:c>
      <x:c r="D80" s="31" t="n">
        <x:v>34408.65</x:v>
      </x:c>
      <x:c r="E80" s="31" t="str">
        <x:v>Fixed</x:v>
      </x:c>
    </x:row>
    <x:row r="81">
      <x:c r="A81" s="31" t="n">
        <x:v>45383</x:v>
      </x:c>
      <x:c r="B81" s="31" t="str">
        <x:v>Professional Services</x:v>
      </x:c>
      <x:c r="C81" s="31" t="n">
        <x:v>21240</x:v>
      </x:c>
      <x:c r="D81" s="31" t="n">
        <x:v>22580.65</x:v>
      </x:c>
      <x:c r="E81" s="31" t="str">
        <x:v>Fixed</x:v>
      </x:c>
    </x:row>
    <x:row r="82">
      <x:c r="A82" s="31" t="n">
        <x:v>45413</x:v>
      </x:c>
      <x:c r="B82" s="31" t="str">
        <x:v>Marketing</x:v>
      </x:c>
      <x:c r="C82" s="31" t="n">
        <x:v>107280</x:v>
      </x:c>
      <x:c r="D82" s="31" t="n">
        <x:v>113555.24</x:v>
      </x:c>
      <x:c r="E82" s="31" t="str">
        <x:v>Variable</x:v>
      </x:c>
    </x:row>
    <x:row r="83">
      <x:c r="A83" s="31" t="n">
        <x:v>45413</x:v>
      </x:c>
      <x:c r="B83" s="31" t="str">
        <x:v>Cloud &amp; API</x:v>
      </x:c>
      <x:c r="C83" s="31" t="n">
        <x:v>24112.84</x:v>
      </x:c>
      <x:c r="D83" s="31" t="n">
        <x:v>27367.87</x:v>
      </x:c>
      <x:c r="E83" s="31" t="str">
        <x:v>Variable</x:v>
      </x:c>
    </x:row>
    <x:row r="84">
      <x:c r="A84" s="31" t="n">
        <x:v>45413</x:v>
      </x:c>
      <x:c r="B84" s="31" t="str">
        <x:v>Software</x:v>
      </x:c>
      <x:c r="C84" s="31" t="n">
        <x:v>30992</x:v>
      </x:c>
      <x:c r="D84" s="31" t="n">
        <x:v>32646.82</x:v>
      </x:c>
      <x:c r="E84" s="31" t="str">
        <x:v>Fixed</x:v>
      </x:c>
    </x:row>
    <x:row r="85">
      <x:c r="A85" s="31" t="n">
        <x:v>45413</x:v>
      </x:c>
      <x:c r="B85" s="31" t="str">
        <x:v>Office &amp; Admin</x:v>
      </x:c>
      <x:c r="C85" s="31" t="n">
        <x:v>36952</x:v>
      </x:c>
      <x:c r="D85" s="31" t="n">
        <x:v>35362.22</x:v>
      </x:c>
      <x:c r="E85" s="31" t="str">
        <x:v>Fixed</x:v>
      </x:c>
    </x:row>
    <x:row r="86">
      <x:c r="A86" s="31" t="n">
        <x:v>45413</x:v>
      </x:c>
      <x:c r="B86" s="31" t="str">
        <x:v>Professional Services</x:v>
      </x:c>
      <x:c r="C86" s="31" t="n">
        <x:v>21456</x:v>
      </x:c>
      <x:c r="D86" s="31" t="n">
        <x:v>24006.33</x:v>
      </x:c>
      <x:c r="E86" s="31" t="str">
        <x:v>Fixed</x:v>
      </x:c>
    </x:row>
    <x:row r="87">
      <x:c r="A87" s="31" t="n">
        <x:v>45444</x:v>
      </x:c>
      <x:c r="B87" s="31" t="str">
        <x:v>Marketing</x:v>
      </x:c>
      <x:c r="C87" s="31" t="n">
        <x:v>108360</x:v>
      </x:c>
      <x:c r="D87" s="31" t="n">
        <x:v>114467.79</x:v>
      </x:c>
      <x:c r="E87" s="31" t="str">
        <x:v>Variable</x:v>
      </x:c>
    </x:row>
    <x:row r="88">
      <x:c r="A88" s="31" t="n">
        <x:v>45444</x:v>
      </x:c>
      <x:c r="B88" s="31" t="str">
        <x:v>Cloud &amp; API</x:v>
      </x:c>
      <x:c r="C88" s="31" t="n">
        <x:v>24956.83</x:v>
      </x:c>
      <x:c r="D88" s="31" t="n">
        <x:v>26997.57</x:v>
      </x:c>
      <x:c r="E88" s="31" t="str">
        <x:v>Variable</x:v>
      </x:c>
    </x:row>
    <x:row r="89">
      <x:c r="A89" s="31" t="n">
        <x:v>45444</x:v>
      </x:c>
      <x:c r="B89" s="31" t="str">
        <x:v>Software</x:v>
      </x:c>
      <x:c r="C89" s="31" t="n">
        <x:v>31304</x:v>
      </x:c>
      <x:c r="D89" s="31" t="n">
        <x:v>29897.93</x:v>
      </x:c>
      <x:c r="E89" s="31" t="str">
        <x:v>Fixed</x:v>
      </x:c>
    </x:row>
    <x:row r="90">
      <x:c r="A90" s="31" t="n">
        <x:v>45444</x:v>
      </x:c>
      <x:c r="B90" s="31" t="str">
        <x:v>Office &amp; Admin</x:v>
      </x:c>
      <x:c r="C90" s="31" t="n">
        <x:v>37324</x:v>
      </x:c>
      <x:c r="D90" s="31" t="n">
        <x:v>36633.95</x:v>
      </x:c>
      <x:c r="E90" s="31" t="str">
        <x:v>Fixed</x:v>
      </x:c>
    </x:row>
    <x:row r="91">
      <x:c r="A91" s="31" t="n">
        <x:v>45444</x:v>
      </x:c>
      <x:c r="B91" s="31" t="str">
        <x:v>Professional Services</x:v>
      </x:c>
      <x:c r="C91" s="31" t="n">
        <x:v>21672</x:v>
      </x:c>
      <x:c r="D91" s="31" t="n">
        <x:v>21817.45</x:v>
      </x:c>
      <x:c r="E91" s="31" t="str">
        <x:v>Fixed</x:v>
      </x:c>
    </x:row>
    <x:row r="92">
      <x:c r="A92" s="31" t="n">
        <x:v>45474</x:v>
      </x:c>
      <x:c r="B92" s="31" t="str">
        <x:v>Marketing</x:v>
      </x:c>
      <x:c r="C92" s="31" t="n">
        <x:v>109440</x:v>
      </x:c>
      <x:c r="D92" s="31" t="n">
        <x:v>120336.77</x:v>
      </x:c>
      <x:c r="E92" s="31" t="str">
        <x:v>Variable</x:v>
      </x:c>
    </x:row>
    <x:row r="93">
      <x:c r="A93" s="31" t="n">
        <x:v>45474</x:v>
      </x:c>
      <x:c r="B93" s="31" t="str">
        <x:v>Cloud &amp; API</x:v>
      </x:c>
      <x:c r="C93" s="31" t="n">
        <x:v>25733.62</x:v>
      </x:c>
      <x:c r="D93" s="31" t="n">
        <x:v>27873.47</x:v>
      </x:c>
      <x:c r="E93" s="31" t="str">
        <x:v>Variable</x:v>
      </x:c>
    </x:row>
    <x:row r="94">
      <x:c r="A94" s="31" t="n">
        <x:v>45474</x:v>
      </x:c>
      <x:c r="B94" s="31" t="str">
        <x:v>Software</x:v>
      </x:c>
      <x:c r="C94" s="31" t="n">
        <x:v>31616</x:v>
      </x:c>
      <x:c r="D94" s="31" t="n">
        <x:v>33592.99</x:v>
      </x:c>
      <x:c r="E94" s="31" t="str">
        <x:v>Fixed</x:v>
      </x:c>
    </x:row>
    <x:row r="95">
      <x:c r="A95" s="31" t="n">
        <x:v>45474</x:v>
      </x:c>
      <x:c r="B95" s="31" t="str">
        <x:v>Office &amp; Admin</x:v>
      </x:c>
      <x:c r="C95" s="31" t="n">
        <x:v>37696</x:v>
      </x:c>
      <x:c r="D95" s="31" t="n">
        <x:v>36724.98</x:v>
      </x:c>
      <x:c r="E95" s="31" t="str">
        <x:v>Fixed</x:v>
      </x:c>
    </x:row>
    <x:row r="96">
      <x:c r="A96" s="31" t="n">
        <x:v>45474</x:v>
      </x:c>
      <x:c r="B96" s="31" t="str">
        <x:v>Professional Services</x:v>
      </x:c>
      <x:c r="C96" s="31" t="n">
        <x:v>21888</x:v>
      </x:c>
      <x:c r="D96" s="31" t="n">
        <x:v>21420.89</x:v>
      </x:c>
      <x:c r="E96" s="31" t="str">
        <x:v>Fixed</x:v>
      </x:c>
    </x:row>
    <x:row r="97">
      <x:c r="A97" s="31" t="n">
        <x:v>45505</x:v>
      </x:c>
      <x:c r="B97" s="31" t="str">
        <x:v>Marketing</x:v>
      </x:c>
      <x:c r="C97" s="31" t="n">
        <x:v>110520</x:v>
      </x:c>
      <x:c r="D97" s="31" t="n">
        <x:v>112899.36</x:v>
      </x:c>
      <x:c r="E97" s="31" t="str">
        <x:v>Variable</x:v>
      </x:c>
    </x:row>
    <x:row r="98">
      <x:c r="A98" s="31" t="n">
        <x:v>45505</x:v>
      </x:c>
      <x:c r="B98" s="31" t="str">
        <x:v>Cloud &amp; API</x:v>
      </x:c>
      <x:c r="C98" s="31" t="n">
        <x:v>26505.31</x:v>
      </x:c>
      <x:c r="D98" s="31" t="n">
        <x:v>29117.21</x:v>
      </x:c>
      <x:c r="E98" s="31" t="str">
        <x:v>Variable</x:v>
      </x:c>
    </x:row>
    <x:row r="99">
      <x:c r="A99" s="31" t="n">
        <x:v>45505</x:v>
      </x:c>
      <x:c r="B99" s="31" t="str">
        <x:v>Software</x:v>
      </x:c>
      <x:c r="C99" s="31" t="n">
        <x:v>31928</x:v>
      </x:c>
      <x:c r="D99" s="31" t="n">
        <x:v>36715.75</x:v>
      </x:c>
      <x:c r="E99" s="31" t="str">
        <x:v>Fixed</x:v>
      </x:c>
    </x:row>
    <x:row r="100">
      <x:c r="A100" s="31" t="n">
        <x:v>45505</x:v>
      </x:c>
      <x:c r="B100" s="31" t="str">
        <x:v>Office &amp; Admin</x:v>
      </x:c>
      <x:c r="C100" s="31" t="n">
        <x:v>38068</x:v>
      </x:c>
      <x:c r="D100" s="31" t="n">
        <x:v>38148.97</x:v>
      </x:c>
      <x:c r="E100" s="31" t="str">
        <x:v>Fixed</x:v>
      </x:c>
    </x:row>
    <x:row r="101">
      <x:c r="A101" s="31" t="n">
        <x:v>45505</x:v>
      </x:c>
      <x:c r="B101" s="31" t="str">
        <x:v>Professional Services</x:v>
      </x:c>
      <x:c r="C101" s="31" t="n">
        <x:v>22104</x:v>
      </x:c>
      <x:c r="D101" s="31" t="n">
        <x:v>24528.7</x:v>
      </x:c>
      <x:c r="E101" s="31" t="str">
        <x:v>Fixed</x:v>
      </x:c>
    </x:row>
    <x:row r="102">
      <x:c r="A102" s="31" t="n">
        <x:v>45536</x:v>
      </x:c>
      <x:c r="B102" s="31" t="str">
        <x:v>Marketing</x:v>
      </x:c>
      <x:c r="C102" s="31" t="n">
        <x:v>111600</x:v>
      </x:c>
      <x:c r="D102" s="31" t="n">
        <x:v>114619.29</x:v>
      </x:c>
      <x:c r="E102" s="31" t="str">
        <x:v>Variable</x:v>
      </x:c>
    </x:row>
    <x:row r="103">
      <x:c r="A103" s="31" t="n">
        <x:v>45536</x:v>
      </x:c>
      <x:c r="B103" s="31" t="str">
        <x:v>Cloud &amp; API</x:v>
      </x:c>
      <x:c r="C103" s="31" t="n">
        <x:v>27124.91</x:v>
      </x:c>
      <x:c r="D103" s="31" t="n">
        <x:v>30633.18</x:v>
      </x:c>
      <x:c r="E103" s="31" t="str">
        <x:v>Variable</x:v>
      </x:c>
    </x:row>
    <x:row r="104">
      <x:c r="A104" s="31" t="n">
        <x:v>45536</x:v>
      </x:c>
      <x:c r="B104" s="31" t="str">
        <x:v>Software</x:v>
      </x:c>
      <x:c r="C104" s="31" t="n">
        <x:v>32240</x:v>
      </x:c>
      <x:c r="D104" s="31" t="n">
        <x:v>33136.15</x:v>
      </x:c>
      <x:c r="E104" s="31" t="str">
        <x:v>Fixed</x:v>
      </x:c>
    </x:row>
    <x:row r="105">
      <x:c r="A105" s="31" t="n">
        <x:v>45536</x:v>
      </x:c>
      <x:c r="B105" s="31" t="str">
        <x:v>Office &amp; Admin</x:v>
      </x:c>
      <x:c r="C105" s="31" t="n">
        <x:v>38440</x:v>
      </x:c>
      <x:c r="D105" s="31" t="n">
        <x:v>37286.25</x:v>
      </x:c>
      <x:c r="E105" s="31" t="str">
        <x:v>Fixed</x:v>
      </x:c>
    </x:row>
    <x:row r="106">
      <x:c r="A106" s="31" t="n">
        <x:v>45536</x:v>
      </x:c>
      <x:c r="B106" s="31" t="str">
        <x:v>Professional Services</x:v>
      </x:c>
      <x:c r="C106" s="31" t="n">
        <x:v>22320</x:v>
      </x:c>
      <x:c r="D106" s="31" t="n">
        <x:v>23166.92</x:v>
      </x:c>
      <x:c r="E106" s="31" t="str">
        <x:v>Fixed</x:v>
      </x:c>
    </x:row>
    <x:row r="107">
      <x:c r="A107" s="31" t="n">
        <x:v>45566</x:v>
      </x:c>
      <x:c r="B107" s="31" t="str">
        <x:v>Marketing</x:v>
      </x:c>
      <x:c r="C107" s="31" t="n">
        <x:v>112680</x:v>
      </x:c>
      <x:c r="D107" s="31" t="n">
        <x:v>118345.03</x:v>
      </x:c>
      <x:c r="E107" s="31" t="str">
        <x:v>Variable</x:v>
      </x:c>
    </x:row>
    <x:row r="108">
      <x:c r="A108" s="31" t="n">
        <x:v>45566</x:v>
      </x:c>
      <x:c r="B108" s="31" t="str">
        <x:v>Cloud &amp; API</x:v>
      </x:c>
      <x:c r="C108" s="31" t="n">
        <x:v>27768.09</x:v>
      </x:c>
      <x:c r="D108" s="31" t="n">
        <x:v>32489.96</x:v>
      </x:c>
      <x:c r="E108" s="31" t="str">
        <x:v>Variable</x:v>
      </x:c>
    </x:row>
    <x:row r="109">
      <x:c r="A109" s="31" t="n">
        <x:v>45566</x:v>
      </x:c>
      <x:c r="B109" s="31" t="str">
        <x:v>Software</x:v>
      </x:c>
      <x:c r="C109" s="31" t="n">
        <x:v>32552</x:v>
      </x:c>
      <x:c r="D109" s="31" t="n">
        <x:v>35887.37</x:v>
      </x:c>
      <x:c r="E109" s="31" t="str">
        <x:v>Fixed</x:v>
      </x:c>
    </x:row>
    <x:row r="110">
      <x:c r="A110" s="31" t="n">
        <x:v>45566</x:v>
      </x:c>
      <x:c r="B110" s="31" t="str">
        <x:v>Office &amp; Admin</x:v>
      </x:c>
      <x:c r="C110" s="31" t="n">
        <x:v>38812</x:v>
      </x:c>
      <x:c r="D110" s="31" t="n">
        <x:v>40216.86</x:v>
      </x:c>
      <x:c r="E110" s="31" t="str">
        <x:v>Fixed</x:v>
      </x:c>
    </x:row>
    <x:row r="111">
      <x:c r="A111" s="31" t="n">
        <x:v>45566</x:v>
      </x:c>
      <x:c r="B111" s="31" t="str">
        <x:v>Professional Services</x:v>
      </x:c>
      <x:c r="C111" s="31" t="n">
        <x:v>22536</x:v>
      </x:c>
      <x:c r="D111" s="31" t="n">
        <x:v>23382.61</x:v>
      </x:c>
      <x:c r="E111" s="31" t="str">
        <x:v>Fixed</x:v>
      </x:c>
    </x:row>
    <x:row r="112">
      <x:c r="A112" s="31" t="n">
        <x:v>45597</x:v>
      </x:c>
      <x:c r="B112" s="31" t="str">
        <x:v>Marketing</x:v>
      </x:c>
      <x:c r="C112" s="31" t="n">
        <x:v>113760</x:v>
      </x:c>
      <x:c r="D112" s="31" t="n">
        <x:v>124095.23</x:v>
      </x:c>
      <x:c r="E112" s="31" t="str">
        <x:v>Variable</x:v>
      </x:c>
    </x:row>
    <x:row r="113">
      <x:c r="A113" s="31" t="n">
        <x:v>45597</x:v>
      </x:c>
      <x:c r="B113" s="31" t="str">
        <x:v>Cloud &amp; API</x:v>
      </x:c>
      <x:c r="C113" s="31" t="n">
        <x:v>28399.47</x:v>
      </x:c>
      <x:c r="D113" s="31" t="n">
        <x:v>30413.87</x:v>
      </x:c>
      <x:c r="E113" s="31" t="str">
        <x:v>Variable</x:v>
      </x:c>
    </x:row>
    <x:row r="114">
      <x:c r="A114" s="31" t="n">
        <x:v>45597</x:v>
      </x:c>
      <x:c r="B114" s="31" t="str">
        <x:v>Software</x:v>
      </x:c>
      <x:c r="C114" s="31" t="n">
        <x:v>32864</x:v>
      </x:c>
      <x:c r="D114" s="31" t="n">
        <x:v>33154.85</x:v>
      </x:c>
      <x:c r="E114" s="31" t="str">
        <x:v>Fixed</x:v>
      </x:c>
    </x:row>
    <x:row r="115">
      <x:c r="A115" s="31" t="n">
        <x:v>45597</x:v>
      </x:c>
      <x:c r="B115" s="31" t="str">
        <x:v>Office &amp; Admin</x:v>
      </x:c>
      <x:c r="C115" s="31" t="n">
        <x:v>39184</x:v>
      </x:c>
      <x:c r="D115" s="31" t="n">
        <x:v>37133.82</x:v>
      </x:c>
      <x:c r="E115" s="31" t="str">
        <x:v>Fixed</x:v>
      </x:c>
    </x:row>
    <x:row r="116">
      <x:c r="A116" s="31" t="n">
        <x:v>45597</x:v>
      </x:c>
      <x:c r="B116" s="31" t="str">
        <x:v>Professional Services</x:v>
      </x:c>
      <x:c r="C116" s="31" t="n">
        <x:v>22752</x:v>
      </x:c>
      <x:c r="D116" s="31" t="n">
        <x:v>23977.64</x:v>
      </x:c>
      <x:c r="E116" s="31" t="str">
        <x:v>Fixed</x:v>
      </x:c>
    </x:row>
    <x:row r="117">
      <x:c r="A117" s="31" t="n">
        <x:v>45627</x:v>
      </x:c>
      <x:c r="B117" s="31" t="str">
        <x:v>Marketing</x:v>
      </x:c>
      <x:c r="C117" s="31" t="n">
        <x:v>114840</x:v>
      </x:c>
      <x:c r="D117" s="31" t="n">
        <x:v>132655.98</x:v>
      </x:c>
      <x:c r="E117" s="31" t="str">
        <x:v>Variable</x:v>
      </x:c>
    </x:row>
    <x:row r="118">
      <x:c r="A118" s="31" t="n">
        <x:v>45627</x:v>
      </x:c>
      <x:c r="B118" s="31" t="str">
        <x:v>Cloud &amp; API</x:v>
      </x:c>
      <x:c r="C118" s="31" t="n">
        <x:v>29000.61</x:v>
      </x:c>
      <x:c r="D118" s="31" t="n">
        <x:v>29750.54</x:v>
      </x:c>
      <x:c r="E118" s="31" t="str">
        <x:v>Variable</x:v>
      </x:c>
    </x:row>
    <x:row r="119">
      <x:c r="A119" s="31" t="n">
        <x:v>45627</x:v>
      </x:c>
      <x:c r="B119" s="31" t="str">
        <x:v>Software</x:v>
      </x:c>
      <x:c r="C119" s="31" t="n">
        <x:v>33176</x:v>
      </x:c>
      <x:c r="D119" s="31" t="n">
        <x:v>33223.77</x:v>
      </x:c>
      <x:c r="E119" s="31" t="str">
        <x:v>Fixed</x:v>
      </x:c>
    </x:row>
    <x:row r="120">
      <x:c r="A120" s="31" t="n">
        <x:v>45627</x:v>
      </x:c>
      <x:c r="B120" s="31" t="str">
        <x:v>Office &amp; Admin</x:v>
      </x:c>
      <x:c r="C120" s="31" t="n">
        <x:v>39556</x:v>
      </x:c>
      <x:c r="D120" s="31" t="n">
        <x:v>39579.16</x:v>
      </x:c>
      <x:c r="E120" s="31" t="str">
        <x:v>Fixed</x:v>
      </x:c>
    </x:row>
    <x:row r="121">
      <x:c r="A121" s="31" t="n">
        <x:v>45627</x:v>
      </x:c>
      <x:c r="B121" s="31" t="str">
        <x:v>Professional Services</x:v>
      </x:c>
      <x:c r="C121" s="31" t="n">
        <x:v>22968</x:v>
      </x:c>
      <x:c r="D121" s="31" t="n">
        <x:v>24374.79</x:v>
      </x:c>
      <x:c r="E121" s="31" t="str">
        <x:v>Fixed</x:v>
      </x:c>
    </x:row>
    <x:row r="122">
      <x:c r="A122" s="31" t="n">
        <x:v>45658</x:v>
      </x:c>
      <x:c r="B122" s="31" t="str">
        <x:v>Marketing</x:v>
      </x:c>
      <x:c r="C122" s="31" t="n">
        <x:v>115920</x:v>
      </x:c>
      <x:c r="D122" s="31" t="n">
        <x:v>120516.14</x:v>
      </x:c>
      <x:c r="E122" s="31" t="str">
        <x:v>Variable</x:v>
      </x:c>
    </x:row>
    <x:row r="123">
      <x:c r="A123" s="31" t="n">
        <x:v>45658</x:v>
      </x:c>
      <x:c r="B123" s="31" t="str">
        <x:v>Cloud &amp; API</x:v>
      </x:c>
      <x:c r="C123" s="31" t="n">
        <x:v>30850.92</x:v>
      </x:c>
      <x:c r="D123" s="31" t="n">
        <x:v>35057.76</x:v>
      </x:c>
      <x:c r="E123" s="31" t="str">
        <x:v>Variable</x:v>
      </x:c>
    </x:row>
    <x:row r="124">
      <x:c r="A124" s="31" t="n">
        <x:v>45658</x:v>
      </x:c>
      <x:c r="B124" s="31" t="str">
        <x:v>Software</x:v>
      </x:c>
      <x:c r="C124" s="31" t="n">
        <x:v>33488</x:v>
      </x:c>
      <x:c r="D124" s="31" t="n">
        <x:v>35008.12</x:v>
      </x:c>
      <x:c r="E124" s="31" t="str">
        <x:v>Fixed</x:v>
      </x:c>
    </x:row>
    <x:row r="125">
      <x:c r="A125" s="31" t="n">
        <x:v>45658</x:v>
      </x:c>
      <x:c r="B125" s="31" t="str">
        <x:v>Office &amp; Admin</x:v>
      </x:c>
      <x:c r="C125" s="31" t="n">
        <x:v>39928</x:v>
      </x:c>
      <x:c r="D125" s="31" t="n">
        <x:v>36996</x:v>
      </x:c>
      <x:c r="E125" s="31" t="str">
        <x:v>Fixed</x:v>
      </x:c>
    </x:row>
    <x:row r="126">
      <x:c r="A126" s="31" t="n">
        <x:v>45658</x:v>
      </x:c>
      <x:c r="B126" s="31" t="str">
        <x:v>Professional Services</x:v>
      </x:c>
      <x:c r="C126" s="31" t="n">
        <x:v>23184</x:v>
      </x:c>
      <x:c r="D126" s="31" t="n">
        <x:v>25142.82</x:v>
      </x:c>
      <x:c r="E126" s="31" t="str">
        <x:v>Fixed</x:v>
      </x:c>
    </x:row>
    <x:row r="127">
      <x:c r="A127" s="31" t="n">
        <x:v>45689</x:v>
      </x:c>
      <x:c r="B127" s="31" t="str">
        <x:v>Marketing</x:v>
      </x:c>
      <x:c r="C127" s="31" t="n">
        <x:v>117000</x:v>
      </x:c>
      <x:c r="D127" s="31" t="n">
        <x:v>118371.57</x:v>
      </x:c>
      <x:c r="E127" s="31" t="str">
        <x:v>Variable</x:v>
      </x:c>
    </x:row>
    <x:row r="128">
      <x:c r="A128" s="31" t="n">
        <x:v>45689</x:v>
      </x:c>
      <x:c r="B128" s="31" t="str">
        <x:v>Cloud &amp; API</x:v>
      </x:c>
      <x:c r="C128" s="31" t="n">
        <x:v>31780.15</x:v>
      </x:c>
      <x:c r="D128" s="31" t="n">
        <x:v>33733.19</x:v>
      </x:c>
      <x:c r="E128" s="31" t="str">
        <x:v>Variable</x:v>
      </x:c>
    </x:row>
    <x:row r="129">
      <x:c r="A129" s="31" t="n">
        <x:v>45689</x:v>
      </x:c>
      <x:c r="B129" s="31" t="str">
        <x:v>Software</x:v>
      </x:c>
      <x:c r="C129" s="31" t="n">
        <x:v>33800</x:v>
      </x:c>
      <x:c r="D129" s="31" t="n">
        <x:v>37555.48</x:v>
      </x:c>
      <x:c r="E129" s="31" t="str">
        <x:v>Fixed</x:v>
      </x:c>
    </x:row>
    <x:row r="130">
      <x:c r="A130" s="31" t="n">
        <x:v>45689</x:v>
      </x:c>
      <x:c r="B130" s="31" t="str">
        <x:v>Office &amp; Admin</x:v>
      </x:c>
      <x:c r="C130" s="31" t="n">
        <x:v>40300</x:v>
      </x:c>
      <x:c r="D130" s="31" t="n">
        <x:v>40700.75</x:v>
      </x:c>
      <x:c r="E130" s="31" t="str">
        <x:v>Fixed</x:v>
      </x:c>
    </x:row>
    <x:row r="131">
      <x:c r="A131" s="31" t="n">
        <x:v>45689</x:v>
      </x:c>
      <x:c r="B131" s="31" t="str">
        <x:v>Professional Services</x:v>
      </x:c>
      <x:c r="C131" s="31" t="n">
        <x:v>23400</x:v>
      </x:c>
      <x:c r="D131" s="31" t="n">
        <x:v>24654.5</x:v>
      </x:c>
      <x:c r="E131" s="31" t="str">
        <x:v>Fixed</x:v>
      </x:c>
    </x:row>
    <x:row r="132">
      <x:c r="A132" s="31" t="n">
        <x:v>45717</x:v>
      </x:c>
      <x:c r="B132" s="31" t="str">
        <x:v>Marketing</x:v>
      </x:c>
      <x:c r="C132" s="31" t="n">
        <x:v>118080</x:v>
      </x:c>
      <x:c r="D132" s="31" t="n">
        <x:v>129587.66</x:v>
      </x:c>
      <x:c r="E132" s="31" t="str">
        <x:v>Variable</x:v>
      </x:c>
    </x:row>
    <x:row r="133">
      <x:c r="A133" s="31" t="n">
        <x:v>45717</x:v>
      </x:c>
      <x:c r="B133" s="31" t="str">
        <x:v>Cloud &amp; API</x:v>
      </x:c>
      <x:c r="C133" s="31" t="n">
        <x:v>32801.68</x:v>
      </x:c>
      <x:c r="D133" s="31" t="n">
        <x:v>35552.86</x:v>
      </x:c>
      <x:c r="E133" s="31" t="str">
        <x:v>Variable</x:v>
      </x:c>
    </x:row>
    <x:row r="134">
      <x:c r="A134" s="31" t="n">
        <x:v>45717</x:v>
      </x:c>
      <x:c r="B134" s="31" t="str">
        <x:v>Software</x:v>
      </x:c>
      <x:c r="C134" s="31" t="n">
        <x:v>34112</x:v>
      </x:c>
      <x:c r="D134" s="31" t="n">
        <x:v>34422.62</x:v>
      </x:c>
      <x:c r="E134" s="31" t="str">
        <x:v>Fixed</x:v>
      </x:c>
    </x:row>
    <x:row r="135">
      <x:c r="A135" s="31" t="n">
        <x:v>45717</x:v>
      </x:c>
      <x:c r="B135" s="31" t="str">
        <x:v>Office &amp; Admin</x:v>
      </x:c>
      <x:c r="C135" s="31" t="n">
        <x:v>40672</x:v>
      </x:c>
      <x:c r="D135" s="31" t="n">
        <x:v>40280.63</x:v>
      </x:c>
      <x:c r="E135" s="31" t="str">
        <x:v>Fixed</x:v>
      </x:c>
    </x:row>
    <x:row r="136">
      <x:c r="A136" s="31" t="n">
        <x:v>45717</x:v>
      </x:c>
      <x:c r="B136" s="31" t="str">
        <x:v>Professional Services</x:v>
      </x:c>
      <x:c r="C136" s="31" t="n">
        <x:v>23616</x:v>
      </x:c>
      <x:c r="D136" s="31" t="n">
        <x:v>23620.41</x:v>
      </x:c>
      <x:c r="E136" s="31" t="str">
        <x:v>Fixed</x:v>
      </x:c>
    </x:row>
    <x:row r="137">
      <x:c r="A137" s="31" t="n">
        <x:v>45748</x:v>
      </x:c>
      <x:c r="B137" s="31" t="str">
        <x:v>Marketing</x:v>
      </x:c>
      <x:c r="C137" s="31" t="n">
        <x:v>119160</x:v>
      </x:c>
      <x:c r="D137" s="31" t="n">
        <x:v>134208.81</x:v>
      </x:c>
      <x:c r="E137" s="31" t="str">
        <x:v>Variable</x:v>
      </x:c>
    </x:row>
    <x:row r="138">
      <x:c r="A138" s="31" t="n">
        <x:v>45748</x:v>
      </x:c>
      <x:c r="B138" s="31" t="str">
        <x:v>Cloud &amp; API</x:v>
      </x:c>
      <x:c r="C138" s="31" t="n">
        <x:v>33658.87</x:v>
      </x:c>
      <x:c r="D138" s="31" t="n">
        <x:v>33824.79</x:v>
      </x:c>
      <x:c r="E138" s="31" t="str">
        <x:v>Variable</x:v>
      </x:c>
    </x:row>
    <x:row r="139">
      <x:c r="A139" s="31" t="n">
        <x:v>45748</x:v>
      </x:c>
      <x:c r="B139" s="31" t="str">
        <x:v>Software</x:v>
      </x:c>
      <x:c r="C139" s="31" t="n">
        <x:v>34424</x:v>
      </x:c>
      <x:c r="D139" s="31" t="n">
        <x:v>34481.04</x:v>
      </x:c>
      <x:c r="E139" s="31" t="str">
        <x:v>Fixed</x:v>
      </x:c>
    </x:row>
    <x:row r="140">
      <x:c r="A140" s="31" t="n">
        <x:v>45748</x:v>
      </x:c>
      <x:c r="B140" s="31" t="str">
        <x:v>Office &amp; Admin</x:v>
      </x:c>
      <x:c r="C140" s="31" t="n">
        <x:v>41044</x:v>
      </x:c>
      <x:c r="D140" s="31" t="n">
        <x:v>38175.68</x:v>
      </x:c>
      <x:c r="E140" s="31" t="str">
        <x:v>Fixed</x:v>
      </x:c>
    </x:row>
    <x:row r="141">
      <x:c r="A141" s="31" t="n">
        <x:v>45748</x:v>
      </x:c>
      <x:c r="B141" s="31" t="str">
        <x:v>Professional Services</x:v>
      </x:c>
      <x:c r="C141" s="31" t="n">
        <x:v>23832</x:v>
      </x:c>
      <x:c r="D141" s="31" t="n">
        <x:v>25198.84</x:v>
      </x:c>
      <x:c r="E141" s="31" t="str">
        <x:v>Fixed</x:v>
      </x:c>
    </x:row>
    <x:row r="142">
      <x:c r="A142" s="31" t="n">
        <x:v>45778</x:v>
      </x:c>
      <x:c r="B142" s="31" t="str">
        <x:v>Marketing</x:v>
      </x:c>
      <x:c r="C142" s="31" t="n">
        <x:v>120240</x:v>
      </x:c>
      <x:c r="D142" s="31" t="n">
        <x:v>133552.62</x:v>
      </x:c>
      <x:c r="E142" s="31" t="str">
        <x:v>Variable</x:v>
      </x:c>
    </x:row>
    <x:row r="143">
      <x:c r="A143" s="31" t="n">
        <x:v>45778</x:v>
      </x:c>
      <x:c r="B143" s="31" t="str">
        <x:v>Cloud &amp; API</x:v>
      </x:c>
      <x:c r="C143" s="31" t="n">
        <x:v>34774.33</x:v>
      </x:c>
      <x:c r="D143" s="31" t="n">
        <x:v>39548.47</x:v>
      </x:c>
      <x:c r="E143" s="31" t="str">
        <x:v>Variable</x:v>
      </x:c>
    </x:row>
    <x:row r="144">
      <x:c r="A144" s="31" t="n">
        <x:v>45778</x:v>
      </x:c>
      <x:c r="B144" s="31" t="str">
        <x:v>Software</x:v>
      </x:c>
      <x:c r="C144" s="31" t="n">
        <x:v>34736</x:v>
      </x:c>
      <x:c r="D144" s="31" t="n">
        <x:v>33470.99</x:v>
      </x:c>
      <x:c r="E144" s="31" t="str">
        <x:v>Fixed</x:v>
      </x:c>
    </x:row>
    <x:row r="145">
      <x:c r="A145" s="31" t="n">
        <x:v>45778</x:v>
      </x:c>
      <x:c r="B145" s="31" t="str">
        <x:v>Office &amp; Admin</x:v>
      </x:c>
      <x:c r="C145" s="31" t="n">
        <x:v>41416</x:v>
      </x:c>
      <x:c r="D145" s="31" t="n">
        <x:v>39837.61</x:v>
      </x:c>
      <x:c r="E145" s="31" t="str">
        <x:v>Fixed</x:v>
      </x:c>
    </x:row>
    <x:row r="146">
      <x:c r="A146" s="31" t="n">
        <x:v>45778</x:v>
      </x:c>
      <x:c r="B146" s="31" t="str">
        <x:v>Professional Services</x:v>
      </x:c>
      <x:c r="C146" s="31" t="n">
        <x:v>24048</x:v>
      </x:c>
      <x:c r="D146" s="31" t="n">
        <x:v>25690.24</x:v>
      </x:c>
      <x:c r="E146" s="31" t="str">
        <x:v>Fixed</x:v>
      </x:c>
    </x:row>
    <x:row r="147">
      <x:c r="A147" s="31" t="n">
        <x:v>45809</x:v>
      </x:c>
      <x:c r="B147" s="31" t="str">
        <x:v>Marketing</x:v>
      </x:c>
      <x:c r="C147" s="31" t="n">
        <x:v>121320</x:v>
      </x:c>
      <x:c r="D147" s="31" t="n">
        <x:v>134809.9</x:v>
      </x:c>
      <x:c r="E147" s="31" t="str">
        <x:v>Variable</x:v>
      </x:c>
    </x:row>
    <x:row r="148">
      <x:c r="A148" s="31" t="n">
        <x:v>45809</x:v>
      </x:c>
      <x:c r="B148" s="31" t="str">
        <x:v>Cloud &amp; API</x:v>
      </x:c>
      <x:c r="C148" s="31" t="n">
        <x:v>35713.27</x:v>
      </x:c>
      <x:c r="D148" s="31" t="n">
        <x:v>39324.39</x:v>
      </x:c>
      <x:c r="E148" s="31" t="str">
        <x:v>Variable</x:v>
      </x:c>
    </x:row>
    <x:row r="149">
      <x:c r="A149" s="31" t="n">
        <x:v>45809</x:v>
      </x:c>
      <x:c r="B149" s="31" t="str">
        <x:v>Software</x:v>
      </x:c>
      <x:c r="C149" s="31" t="n">
        <x:v>35048</x:v>
      </x:c>
      <x:c r="D149" s="31" t="n">
        <x:v>33901.72</x:v>
      </x:c>
      <x:c r="E149" s="31" t="str">
        <x:v>Fixed</x:v>
      </x:c>
    </x:row>
    <x:row r="150">
      <x:c r="A150" s="31" t="n">
        <x:v>45809</x:v>
      </x:c>
      <x:c r="B150" s="31" t="str">
        <x:v>Office &amp; Admin</x:v>
      </x:c>
      <x:c r="C150" s="31" t="n">
        <x:v>41788</x:v>
      </x:c>
      <x:c r="D150" s="31" t="n">
        <x:v>40623.44</x:v>
      </x:c>
      <x:c r="E150" s="31" t="str">
        <x:v>Fixed</x:v>
      </x:c>
    </x:row>
    <x:row r="151">
      <x:c r="A151" s="31" t="n">
        <x:v>45809</x:v>
      </x:c>
      <x:c r="B151" s="31" t="str">
        <x:v>Professional Services</x:v>
      </x:c>
      <x:c r="C151" s="31" t="n">
        <x:v>24264</x:v>
      </x:c>
      <x:c r="D151" s="31" t="n">
        <x:v>26036.45</x:v>
      </x:c>
      <x:c r="E151" s="31" t="str">
        <x:v>Fixed</x:v>
      </x:c>
    </x:row>
    <x:row r="152">
      <x:c r="A152" s="31" t="n">
        <x:v>45839</x:v>
      </x:c>
      <x:c r="B152" s="31" t="str">
        <x:v>Marketing</x:v>
      </x:c>
      <x:c r="C152" s="31" t="n">
        <x:v>122400</x:v>
      </x:c>
      <x:c r="D152" s="31" t="n">
        <x:v>128802.7</x:v>
      </x:c>
      <x:c r="E152" s="31" t="str">
        <x:v>Variable</x:v>
      </x:c>
    </x:row>
    <x:row r="153">
      <x:c r="A153" s="31" t="n">
        <x:v>45839</x:v>
      </x:c>
      <x:c r="B153" s="31" t="str">
        <x:v>Cloud &amp; API</x:v>
      </x:c>
      <x:c r="C153" s="31" t="n">
        <x:v>36671.32</x:v>
      </x:c>
      <x:c r="D153" s="31" t="n">
        <x:v>36503.84</x:v>
      </x:c>
      <x:c r="E153" s="31" t="str">
        <x:v>Variable</x:v>
      </x:c>
    </x:row>
    <x:row r="154">
      <x:c r="A154" s="31" t="n">
        <x:v>45839</x:v>
      </x:c>
      <x:c r="B154" s="31" t="str">
        <x:v>Software</x:v>
      </x:c>
      <x:c r="C154" s="31" t="n">
        <x:v>35360</x:v>
      </x:c>
      <x:c r="D154" s="31" t="n">
        <x:v>38480.17</x:v>
      </x:c>
      <x:c r="E154" s="31" t="str">
        <x:v>Fixed</x:v>
      </x:c>
    </x:row>
    <x:row r="155">
      <x:c r="A155" s="31" t="n">
        <x:v>45839</x:v>
      </x:c>
      <x:c r="B155" s="31" t="str">
        <x:v>Office &amp; Admin</x:v>
      </x:c>
      <x:c r="C155" s="31" t="n">
        <x:v>42160</x:v>
      </x:c>
      <x:c r="D155" s="31" t="n">
        <x:v>41504.88</x:v>
      </x:c>
      <x:c r="E155" s="31" t="str">
        <x:v>Fixed</x:v>
      </x:c>
    </x:row>
    <x:row r="156">
      <x:c r="A156" s="31" t="n">
        <x:v>45839</x:v>
      </x:c>
      <x:c r="B156" s="31" t="str">
        <x:v>Professional Services</x:v>
      </x:c>
      <x:c r="C156" s="31" t="n">
        <x:v>24480</x:v>
      </x:c>
      <x:c r="D156" s="31" t="n">
        <x:v>26130.2</x:v>
      </x:c>
      <x:c r="E156" s="31" t="str">
        <x:v>Fixed</x:v>
      </x:c>
    </x:row>
    <x:row r="157">
      <x:c r="A157" s="31" t="n">
        <x:v>45870</x:v>
      </x:c>
      <x:c r="B157" s="31" t="str">
        <x:v>Marketing</x:v>
      </x:c>
      <x:c r="C157" s="31" t="n">
        <x:v>123480</x:v>
      </x:c>
      <x:c r="D157" s="31" t="n">
        <x:v>133039.61</x:v>
      </x:c>
      <x:c r="E157" s="31" t="str">
        <x:v>Variable</x:v>
      </x:c>
    </x:row>
    <x:row r="158">
      <x:c r="A158" s="31" t="n">
        <x:v>45870</x:v>
      </x:c>
      <x:c r="B158" s="31" t="str">
        <x:v>Cloud &amp; API</x:v>
      </x:c>
      <x:c r="C158" s="31" t="n">
        <x:v>37574.52</x:v>
      </x:c>
      <x:c r="D158" s="31" t="n">
        <x:v>41048.75</x:v>
      </x:c>
      <x:c r="E158" s="31" t="str">
        <x:v>Variable</x:v>
      </x:c>
    </x:row>
    <x:row r="159">
      <x:c r="A159" s="31" t="n">
        <x:v>45870</x:v>
      </x:c>
      <x:c r="B159" s="31" t="str">
        <x:v>Software</x:v>
      </x:c>
      <x:c r="C159" s="31" t="n">
        <x:v>35672</x:v>
      </x:c>
      <x:c r="D159" s="31" t="n">
        <x:v>34036</x:v>
      </x:c>
      <x:c r="E159" s="31" t="str">
        <x:v>Fixed</x:v>
      </x:c>
    </x:row>
    <x:row r="160">
      <x:c r="A160" s="31" t="n">
        <x:v>45870</x:v>
      </x:c>
      <x:c r="B160" s="31" t="str">
        <x:v>Office &amp; Admin</x:v>
      </x:c>
      <x:c r="C160" s="31" t="n">
        <x:v>42532</x:v>
      </x:c>
      <x:c r="D160" s="31" t="n">
        <x:v>38880.72</x:v>
      </x:c>
      <x:c r="E160" s="31" t="str">
        <x:v>Fixed</x:v>
      </x:c>
    </x:row>
    <x:row r="161">
      <x:c r="A161" s="31" t="n">
        <x:v>45870</x:v>
      </x:c>
      <x:c r="B161" s="31" t="str">
        <x:v>Professional Services</x:v>
      </x:c>
      <x:c r="C161" s="31" t="n">
        <x:v>24696</x:v>
      </x:c>
      <x:c r="D161" s="31" t="n">
        <x:v>24265.13</x:v>
      </x:c>
      <x:c r="E161" s="31" t="str">
        <x:v>Fixed</x:v>
      </x:c>
    </x:row>
    <x:row r="162">
      <x:c r="A162" s="31" t="n">
        <x:v>45901</x:v>
      </x:c>
      <x:c r="B162" s="31" t="str">
        <x:v>Marketing</x:v>
      </x:c>
      <x:c r="C162" s="31" t="n">
        <x:v>124560</x:v>
      </x:c>
      <x:c r="D162" s="31" t="n">
        <x:v>139448.6</x:v>
      </x:c>
      <x:c r="E162" s="31" t="str">
        <x:v>Variable</x:v>
      </x:c>
    </x:row>
    <x:row r="163">
      <x:c r="A163" s="31" t="n">
        <x:v>45901</x:v>
      </x:c>
      <x:c r="B163" s="31" t="str">
        <x:v>Cloud &amp; API</x:v>
      </x:c>
      <x:c r="C163" s="31" t="n">
        <x:v>38290.63</x:v>
      </x:c>
      <x:c r="D163" s="31" t="n">
        <x:v>42258.58</x:v>
      </x:c>
      <x:c r="E163" s="31" t="str">
        <x:v>Variable</x:v>
      </x:c>
    </x:row>
    <x:row r="164">
      <x:c r="A164" s="31" t="n">
        <x:v>45901</x:v>
      </x:c>
      <x:c r="B164" s="31" t="str">
        <x:v>Software</x:v>
      </x:c>
      <x:c r="C164" s="31" t="n">
        <x:v>35984</x:v>
      </x:c>
      <x:c r="D164" s="31" t="n">
        <x:v>34828.23</x:v>
      </x:c>
      <x:c r="E164" s="31" t="str">
        <x:v>Fixed</x:v>
      </x:c>
    </x:row>
    <x:row r="165">
      <x:c r="A165" s="31" t="n">
        <x:v>45901</x:v>
      </x:c>
      <x:c r="B165" s="31" t="str">
        <x:v>Office &amp; Admin</x:v>
      </x:c>
      <x:c r="C165" s="31" t="n">
        <x:v>42904</x:v>
      </x:c>
      <x:c r="D165" s="31" t="n">
        <x:v>44680.98</x:v>
      </x:c>
      <x:c r="E165" s="31" t="str">
        <x:v>Fixed</x:v>
      </x:c>
    </x:row>
    <x:row r="166">
      <x:c r="A166" s="31" t="n">
        <x:v>45901</x:v>
      </x:c>
      <x:c r="B166" s="31" t="str">
        <x:v>Professional Services</x:v>
      </x:c>
      <x:c r="C166" s="31" t="n">
        <x:v>24912</x:v>
      </x:c>
      <x:c r="D166" s="31" t="n">
        <x:v>27237.74</x:v>
      </x:c>
      <x:c r="E166" s="31" t="str">
        <x:v>Fixed</x:v>
      </x:c>
    </x:row>
    <x:row r="167">
      <x:c r="A167" s="31" t="n">
        <x:v>45931</x:v>
      </x:c>
      <x:c r="B167" s="31" t="str">
        <x:v>Marketing</x:v>
      </x:c>
      <x:c r="C167" s="31" t="n">
        <x:v>125640</x:v>
      </x:c>
      <x:c r="D167" s="31" t="n">
        <x:v>126334.44</x:v>
      </x:c>
      <x:c r="E167" s="31" t="str">
        <x:v>Variable</x:v>
      </x:c>
    </x:row>
    <x:row r="168">
      <x:c r="A168" s="31" t="n">
        <x:v>45931</x:v>
      </x:c>
      <x:c r="B168" s="31" t="str">
        <x:v>Cloud &amp; API</x:v>
      </x:c>
      <x:c r="C168" s="31" t="n">
        <x:v>39086.84</x:v>
      </x:c>
      <x:c r="D168" s="31" t="n">
        <x:v>45543.74</x:v>
      </x:c>
      <x:c r="E168" s="31" t="str">
        <x:v>Variable</x:v>
      </x:c>
    </x:row>
    <x:row r="169">
      <x:c r="A169" s="31" t="n">
        <x:v>45931</x:v>
      </x:c>
      <x:c r="B169" s="31" t="str">
        <x:v>Software</x:v>
      </x:c>
      <x:c r="C169" s="31" t="n">
        <x:v>36296</x:v>
      </x:c>
      <x:c r="D169" s="31" t="n">
        <x:v>37430.04</x:v>
      </x:c>
      <x:c r="E169" s="31" t="str">
        <x:v>Fixed</x:v>
      </x:c>
    </x:row>
    <x:row r="170">
      <x:c r="A170" s="31" t="n">
        <x:v>45931</x:v>
      </x:c>
      <x:c r="B170" s="31" t="str">
        <x:v>Office &amp; Admin</x:v>
      </x:c>
      <x:c r="C170" s="31" t="n">
        <x:v>43276</x:v>
      </x:c>
      <x:c r="D170" s="31" t="n">
        <x:v>39744.32</x:v>
      </x:c>
      <x:c r="E170" s="31" t="str">
        <x:v>Fixed</x:v>
      </x:c>
    </x:row>
    <x:row r="171">
      <x:c r="A171" s="31" t="n">
        <x:v>45931</x:v>
      </x:c>
      <x:c r="B171" s="31" t="str">
        <x:v>Professional Services</x:v>
      </x:c>
      <x:c r="C171" s="31" t="n">
        <x:v>25128</x:v>
      </x:c>
      <x:c r="D171" s="31" t="n">
        <x:v>25186.5</x:v>
      </x:c>
      <x:c r="E171" s="31" t="str">
        <x:v>Fixed</x:v>
      </x:c>
    </x:row>
    <x:row r="172">
      <x:c r="A172" s="31" t="n">
        <x:v>45962</x:v>
      </x:c>
      <x:c r="B172" s="31" t="str">
        <x:v>Marketing</x:v>
      </x:c>
      <x:c r="C172" s="31" t="n">
        <x:v>126720</x:v>
      </x:c>
      <x:c r="D172" s="31" t="n">
        <x:v>137159.81</x:v>
      </x:c>
      <x:c r="E172" s="31" t="str">
        <x:v>Variable</x:v>
      </x:c>
    </x:row>
    <x:row r="173">
      <x:c r="A173" s="31" t="n">
        <x:v>45962</x:v>
      </x:c>
      <x:c r="B173" s="31" t="str">
        <x:v>Cloud &amp; API</x:v>
      </x:c>
      <x:c r="C173" s="31" t="n">
        <x:v>39919.64</x:v>
      </x:c>
      <x:c r="D173" s="31" t="n">
        <x:v>44686.81</x:v>
      </x:c>
      <x:c r="E173" s="31" t="str">
        <x:v>Variable</x:v>
      </x:c>
    </x:row>
    <x:row r="174">
      <x:c r="A174" s="31" t="n">
        <x:v>45962</x:v>
      </x:c>
      <x:c r="B174" s="31" t="str">
        <x:v>Software</x:v>
      </x:c>
      <x:c r="C174" s="31" t="n">
        <x:v>36608</x:v>
      </x:c>
      <x:c r="D174" s="31" t="n">
        <x:v>37701.41</x:v>
      </x:c>
      <x:c r="E174" s="31" t="str">
        <x:v>Fixed</x:v>
      </x:c>
    </x:row>
    <x:row r="175">
      <x:c r="A175" s="31" t="n">
        <x:v>45962</x:v>
      </x:c>
      <x:c r="B175" s="31" t="str">
        <x:v>Office &amp; Admin</x:v>
      </x:c>
      <x:c r="C175" s="31" t="n">
        <x:v>43648</x:v>
      </x:c>
      <x:c r="D175" s="31" t="n">
        <x:v>40145.64</x:v>
      </x:c>
      <x:c r="E175" s="31" t="str">
        <x:v>Fixed</x:v>
      </x:c>
    </x:row>
    <x:row r="176">
      <x:c r="A176" s="31" t="n">
        <x:v>45962</x:v>
      </x:c>
      <x:c r="B176" s="31" t="str">
        <x:v>Professional Services</x:v>
      </x:c>
      <x:c r="C176" s="31" t="n">
        <x:v>25344</x:v>
      </x:c>
      <x:c r="D176" s="31" t="n">
        <x:v>29107.52</x:v>
      </x:c>
      <x:c r="E176" s="31" t="str">
        <x:v>Fixed</x:v>
      </x:c>
    </x:row>
    <x:row r="177">
      <x:c r="A177" s="31" t="n">
        <x:v>45992</x:v>
      </x:c>
      <x:c r="B177" s="31" t="str">
        <x:v>Marketing</x:v>
      </x:c>
      <x:c r="C177" s="31" t="n">
        <x:v>127800</x:v>
      </x:c>
      <x:c r="D177" s="31" t="n">
        <x:v>130204.62</x:v>
      </x:c>
      <x:c r="E177" s="31" t="str">
        <x:v>Variable</x:v>
      </x:c>
    </x:row>
    <x:row r="178">
      <x:c r="A178" s="31" t="n">
        <x:v>45992</x:v>
      </x:c>
      <x:c r="B178" s="31" t="str">
        <x:v>Cloud &amp; API</x:v>
      </x:c>
      <x:c r="C178" s="31" t="n">
        <x:v>40548.74</x:v>
      </x:c>
      <x:c r="D178" s="31" t="n">
        <x:v>46945.64</x:v>
      </x:c>
      <x:c r="E178" s="31" t="str">
        <x:v>Variable</x:v>
      </x:c>
    </x:row>
    <x:row r="179">
      <x:c r="A179" s="31" t="n">
        <x:v>45992</x:v>
      </x:c>
      <x:c r="B179" s="31" t="str">
        <x:v>Software</x:v>
      </x:c>
      <x:c r="C179" s="31" t="n">
        <x:v>36920</x:v>
      </x:c>
      <x:c r="D179" s="31" t="n">
        <x:v>41711.9</x:v>
      </x:c>
      <x:c r="E179" s="31" t="str">
        <x:v>Fixed</x:v>
      </x:c>
    </x:row>
    <x:row r="180">
      <x:c r="A180" s="31" t="n">
        <x:v>45992</x:v>
      </x:c>
      <x:c r="B180" s="31" t="str">
        <x:v>Office &amp; Admin</x:v>
      </x:c>
      <x:c r="C180" s="31" t="n">
        <x:v>44020</x:v>
      </x:c>
      <x:c r="D180" s="31" t="n">
        <x:v>40370.05</x:v>
      </x:c>
      <x:c r="E180" s="31" t="str">
        <x:v>Fixed</x:v>
      </x:c>
    </x:row>
    <x:row r="181">
      <x:c r="A181" s="31" t="n">
        <x:v>45992</x:v>
      </x:c>
      <x:c r="B181" s="31" t="str">
        <x:v>Professional Services</x:v>
      </x:c>
      <x:c r="C181" s="31" t="n">
        <x:v>25560</x:v>
      </x:c>
      <x:c r="D181" s="31" t="n">
        <x:v>25641.27</x:v>
      </x:c>
      <x:c r="E181" s="31" t="str">
        <x:v>Fixed</x:v>
      </x:c>
    </x:row>
    <x:row r="182">
      <x:c r="A182" s="31" t="n">
        <x:v>46023</x:v>
      </x:c>
      <x:c r="B182" s="31" t="str">
        <x:v>Marketing</x:v>
      </x:c>
      <x:c r="C182" s="31" t="n">
        <x:v>128880</x:v>
      </x:c>
      <x:c r="D182" s="31" t="n">
        <x:v>137683.61</x:v>
      </x:c>
      <x:c r="E182" s="31" t="str">
        <x:v>Variable</x:v>
      </x:c>
    </x:row>
    <x:row r="183">
      <x:c r="A183" s="31" t="n">
        <x:v>46023</x:v>
      </x:c>
      <x:c r="B183" s="31" t="str">
        <x:v>Cloud &amp; API</x:v>
      </x:c>
      <x:c r="C183" s="31" t="n">
        <x:v>43015.48</x:v>
      </x:c>
      <x:c r="D183" s="31" t="n">
        <x:v>46462.6</x:v>
      </x:c>
      <x:c r="E183" s="31" t="str">
        <x:v>Variable</x:v>
      </x:c>
    </x:row>
    <x:row r="184">
      <x:c r="A184" s="31" t="n">
        <x:v>46023</x:v>
      </x:c>
      <x:c r="B184" s="31" t="str">
        <x:v>Software</x:v>
      </x:c>
      <x:c r="C184" s="31" t="n">
        <x:v>37232</x:v>
      </x:c>
      <x:c r="D184" s="31" t="n">
        <x:v>36769.83</x:v>
      </x:c>
      <x:c r="E184" s="31" t="str">
        <x:v>Fixed</x:v>
      </x:c>
    </x:row>
    <x:row r="185">
      <x:c r="A185" s="31" t="n">
        <x:v>46023</x:v>
      </x:c>
      <x:c r="B185" s="31" t="str">
        <x:v>Office &amp; Admin</x:v>
      </x:c>
      <x:c r="C185" s="31" t="n">
        <x:v>44392</x:v>
      </x:c>
      <x:c r="D185" s="31" t="n">
        <x:v>45578.93</x:v>
      </x:c>
      <x:c r="E185" s="31" t="str">
        <x:v>Fixed</x:v>
      </x:c>
    </x:row>
    <x:row r="186">
      <x:c r="A186" s="31" t="n">
        <x:v>46023</x:v>
      </x:c>
      <x:c r="B186" s="31" t="str">
        <x:v>Professional Services</x:v>
      </x:c>
      <x:c r="C186" s="31" t="n">
        <x:v>25776</x:v>
      </x:c>
      <x:c r="D186" s="31" t="n">
        <x:v>27930.96</x:v>
      </x:c>
      <x:c r="E186" s="31" t="str">
        <x:v>Fixed</x:v>
      </x:c>
    </x:row>
    <x:row r="187">
      <x:c r="A187" s="31" t="n">
        <x:v>46054</x:v>
      </x:c>
      <x:c r="B187" s="31" t="str">
        <x:v>Marketing</x:v>
      </x:c>
      <x:c r="C187" s="31" t="n">
        <x:v>129960</x:v>
      </x:c>
      <x:c r="D187" s="31" t="n">
        <x:v>127797.7</x:v>
      </x:c>
      <x:c r="E187" s="31" t="str">
        <x:v>Variable</x:v>
      </x:c>
    </x:row>
    <x:row r="188">
      <x:c r="A188" s="31" t="n">
        <x:v>46054</x:v>
      </x:c>
      <x:c r="B188" s="31" t="str">
        <x:v>Cloud &amp; API</x:v>
      </x:c>
      <x:c r="C188" s="31" t="n">
        <x:v>44406.06</x:v>
      </x:c>
      <x:c r="D188" s="31" t="n">
        <x:v>48128.64</x:v>
      </x:c>
      <x:c r="E188" s="31" t="str">
        <x:v>Variable</x:v>
      </x:c>
    </x:row>
    <x:row r="189">
      <x:c r="A189" s="31" t="n">
        <x:v>46054</x:v>
      </x:c>
      <x:c r="B189" s="31" t="str">
        <x:v>Software</x:v>
      </x:c>
      <x:c r="C189" s="31" t="n">
        <x:v>37544</x:v>
      </x:c>
      <x:c r="D189" s="31" t="n">
        <x:v>38217.93</x:v>
      </x:c>
      <x:c r="E189" s="31" t="str">
        <x:v>Fixed</x:v>
      </x:c>
    </x:row>
    <x:row r="190">
      <x:c r="A190" s="31" t="n">
        <x:v>46054</x:v>
      </x:c>
      <x:c r="B190" s="31" t="str">
        <x:v>Office &amp; Admin</x:v>
      </x:c>
      <x:c r="C190" s="31" t="n">
        <x:v>44764</x:v>
      </x:c>
      <x:c r="D190" s="31" t="n">
        <x:v>42804.3</x:v>
      </x:c>
      <x:c r="E190" s="31" t="str">
        <x:v>Fixed</x:v>
      </x:c>
    </x:row>
    <x:row r="191">
      <x:c r="A191" s="31" t="n">
        <x:v>46054</x:v>
      </x:c>
      <x:c r="B191" s="31" t="str">
        <x:v>Professional Services</x:v>
      </x:c>
      <x:c r="C191" s="31" t="n">
        <x:v>25992</x:v>
      </x:c>
      <x:c r="D191" s="31" t="n">
        <x:v>29053.59</x:v>
      </x:c>
      <x:c r="E191" s="31" t="str">
        <x:v>Fixed</x:v>
      </x:c>
    </x:row>
    <x:row r="192">
      <x:c r="A192" s="31" t="n">
        <x:v>46082</x:v>
      </x:c>
      <x:c r="B192" s="31" t="str">
        <x:v>Marketing</x:v>
      </x:c>
      <x:c r="C192" s="31" t="n">
        <x:v>131040</x:v>
      </x:c>
      <x:c r="D192" s="31" t="n">
        <x:v>152524.22</x:v>
      </x:c>
      <x:c r="E192" s="31" t="str">
        <x:v>Variable</x:v>
      </x:c>
    </x:row>
    <x:row r="193">
      <x:c r="A193" s="31" t="n">
        <x:v>46082</x:v>
      </x:c>
      <x:c r="B193" s="31" t="str">
        <x:v>Cloud &amp; API</x:v>
      </x:c>
      <x:c r="C193" s="31" t="n">
        <x:v>45675.88</x:v>
      </x:c>
      <x:c r="D193" s="31" t="n">
        <x:v>48210.42</x:v>
      </x:c>
      <x:c r="E193" s="31" t="str">
        <x:v>Variable</x:v>
      </x:c>
    </x:row>
    <x:row r="194">
      <x:c r="A194" s="31" t="n">
        <x:v>46082</x:v>
      </x:c>
      <x:c r="B194" s="31" t="str">
        <x:v>Software</x:v>
      </x:c>
      <x:c r="C194" s="31" t="n">
        <x:v>37856</x:v>
      </x:c>
      <x:c r="D194" s="31" t="n">
        <x:v>43593.53</x:v>
      </x:c>
      <x:c r="E194" s="31" t="str">
        <x:v>Fixed</x:v>
      </x:c>
    </x:row>
    <x:row r="195">
      <x:c r="A195" s="31" t="n">
        <x:v>46082</x:v>
      </x:c>
      <x:c r="B195" s="31" t="str">
        <x:v>Office &amp; Admin</x:v>
      </x:c>
      <x:c r="C195" s="31" t="n">
        <x:v>45136</x:v>
      </x:c>
      <x:c r="D195" s="31" t="n">
        <x:v>43489.07</x:v>
      </x:c>
      <x:c r="E195" s="31" t="str">
        <x:v>Fixed</x:v>
      </x:c>
    </x:row>
    <x:row r="196">
      <x:c r="A196" s="31" t="n">
        <x:v>46082</x:v>
      </x:c>
      <x:c r="B196" s="31" t="str">
        <x:v>Professional Services</x:v>
      </x:c>
      <x:c r="C196" s="31" t="n">
        <x:v>26208</x:v>
      </x:c>
      <x:c r="D196" s="31" t="n">
        <x:v>26070.33</x:v>
      </x:c>
      <x:c r="E196" s="31" t="str">
        <x:v>Fixed</x:v>
      </x:c>
    </x:row>
    <x:row r="197">
      <x:c r="A197" s="31" t="n">
        <x:v>46113</x:v>
      </x:c>
      <x:c r="B197" s="31" t="str">
        <x:v>Marketing</x:v>
      </x:c>
      <x:c r="C197" s="31" t="n">
        <x:v>132120</x:v>
      </x:c>
      <x:c r="D197" s="31" t="n">
        <x:v>134115.75</x:v>
      </x:c>
      <x:c r="E197" s="31" t="str">
        <x:v>Variable</x:v>
      </x:c>
    </x:row>
    <x:row r="198">
      <x:c r="A198" s="31" t="n">
        <x:v>46113</x:v>
      </x:c>
      <x:c r="B198" s="31" t="str">
        <x:v>Cloud &amp; API</x:v>
      </x:c>
      <x:c r="C198" s="31" t="n">
        <x:v>47201.56</x:v>
      </x:c>
      <x:c r="D198" s="31" t="n">
        <x:v>46529.04</x:v>
      </x:c>
      <x:c r="E198" s="31" t="str">
        <x:v>Variable</x:v>
      </x:c>
    </x:row>
    <x:row r="199">
      <x:c r="A199" s="31" t="n">
        <x:v>46113</x:v>
      </x:c>
      <x:c r="B199" s="31" t="str">
        <x:v>Software</x:v>
      </x:c>
      <x:c r="C199" s="31" t="n">
        <x:v>38168</x:v>
      </x:c>
      <x:c r="D199" s="31" t="n">
        <x:v>37997.74</x:v>
      </x:c>
      <x:c r="E199" s="31" t="str">
        <x:v>Fixed</x:v>
      </x:c>
    </x:row>
    <x:row r="200">
      <x:c r="A200" s="31" t="n">
        <x:v>46113</x:v>
      </x:c>
      <x:c r="B200" s="31" t="str">
        <x:v>Office &amp; Admin</x:v>
      </x:c>
      <x:c r="C200" s="31" t="n">
        <x:v>45508</x:v>
      </x:c>
      <x:c r="D200" s="31" t="n">
        <x:v>44765.55</x:v>
      </x:c>
      <x:c r="E200" s="31" t="str">
        <x:v>Fixed</x:v>
      </x:c>
    </x:row>
    <x:row r="201">
      <x:c r="A201" s="31" t="n">
        <x:v>46113</x:v>
      </x:c>
      <x:c r="B201" s="31" t="str">
        <x:v>Professional Services</x:v>
      </x:c>
      <x:c r="C201" s="31" t="n">
        <x:v>26424</x:v>
      </x:c>
      <x:c r="D201" s="31" t="n">
        <x:v>27267.23</x:v>
      </x:c>
      <x:c r="E201" s="31" t="str">
        <x:v>Fixed</x:v>
      </x:c>
    </x:row>
    <x:row r="202">
      <x:c r="A202" s="31" t="n">
        <x:v>46143</x:v>
      </x:c>
      <x:c r="B202" s="31" t="str">
        <x:v>Marketing</x:v>
      </x:c>
      <x:c r="C202" s="31" t="n">
        <x:v>133200</x:v>
      </x:c>
      <x:c r="D202" s="31" t="n">
        <x:v>139145.47</x:v>
      </x:c>
      <x:c r="E202" s="31" t="str">
        <x:v>Variable</x:v>
      </x:c>
    </x:row>
    <x:row r="203">
      <x:c r="A203" s="31" t="n">
        <x:v>46143</x:v>
      </x:c>
      <x:c r="B203" s="31" t="str">
        <x:v>Cloud &amp; API</x:v>
      </x:c>
      <x:c r="C203" s="31" t="n">
        <x:v>48366.11</x:v>
      </x:c>
      <x:c r="D203" s="31" t="n">
        <x:v>52667.16</x:v>
      </x:c>
      <x:c r="E203" s="31" t="str">
        <x:v>Variable</x:v>
      </x:c>
    </x:row>
    <x:row r="204">
      <x:c r="A204" s="31" t="n">
        <x:v>46143</x:v>
      </x:c>
      <x:c r="B204" s="31" t="str">
        <x:v>Software</x:v>
      </x:c>
      <x:c r="C204" s="31" t="n">
        <x:v>38480</x:v>
      </x:c>
      <x:c r="D204" s="31" t="n">
        <x:v>41304.36</x:v>
      </x:c>
      <x:c r="E204" s="31" t="str">
        <x:v>Fixed</x:v>
      </x:c>
    </x:row>
    <x:row r="205">
      <x:c r="A205" s="31" t="n">
        <x:v>46143</x:v>
      </x:c>
      <x:c r="B205" s="31" t="str">
        <x:v>Office &amp; Admin</x:v>
      </x:c>
      <x:c r="C205" s="31" t="n">
        <x:v>45880</x:v>
      </x:c>
      <x:c r="D205" s="31" t="n">
        <x:v>45172.88</x:v>
      </x:c>
      <x:c r="E205" s="31" t="str">
        <x:v>Fixed</x:v>
      </x:c>
    </x:row>
    <x:row r="206">
      <x:c r="A206" s="31" t="n">
        <x:v>46143</x:v>
      </x:c>
      <x:c r="B206" s="31" t="str">
        <x:v>Professional Services</x:v>
      </x:c>
      <x:c r="C206" s="31" t="n">
        <x:v>26640</x:v>
      </x:c>
      <x:c r="D206" s="31" t="n">
        <x:v>29689.92</x:v>
      </x:c>
      <x:c r="E206" s="31" t="str">
        <x:v>Fixed</x:v>
      </x:c>
    </x:row>
    <x:row r="207">
      <x:c r="A207" s="31" t="n">
        <x:v>46174</x:v>
      </x:c>
      <x:c r="B207" s="31" t="str">
        <x:v>Marketing</x:v>
      </x:c>
      <x:c r="C207" s="31" t="n">
        <x:v>134280</x:v>
      </x:c>
      <x:c r="D207" s="31" t="n">
        <x:v>134066.21</x:v>
      </x:c>
      <x:c r="E207" s="31" t="str">
        <x:v>Variable</x:v>
      </x:c>
    </x:row>
    <x:row r="208">
      <x:c r="A208" s="31" t="n">
        <x:v>46174</x:v>
      </x:c>
      <x:c r="B208" s="31" t="str">
        <x:v>Cloud &amp; API</x:v>
      </x:c>
      <x:c r="C208" s="31" t="n">
        <x:v>49491.09</x:v>
      </x:c>
      <x:c r="D208" s="31" t="n">
        <x:v>52318.63</x:v>
      </x:c>
      <x:c r="E208" s="31" t="str">
        <x:v>Variable</x:v>
      </x:c>
    </x:row>
    <x:row r="209">
      <x:c r="A209" s="31" t="n">
        <x:v>46174</x:v>
      </x:c>
      <x:c r="B209" s="31" t="str">
        <x:v>Software</x:v>
      </x:c>
      <x:c r="C209" s="31" t="n">
        <x:v>38792</x:v>
      </x:c>
      <x:c r="D209" s="31" t="n">
        <x:v>36375.5</x:v>
      </x:c>
      <x:c r="E209" s="31" t="str">
        <x:v>Fixed</x:v>
      </x:c>
    </x:row>
    <x:row r="210">
      <x:c r="A210" s="31" t="n">
        <x:v>46174</x:v>
      </x:c>
      <x:c r="B210" s="31" t="str">
        <x:v>Office &amp; Admin</x:v>
      </x:c>
      <x:c r="C210" s="31" t="n">
        <x:v>46252</x:v>
      </x:c>
      <x:c r="D210" s="31" t="n">
        <x:v>45490.35</x:v>
      </x:c>
      <x:c r="E210" s="31" t="str">
        <x:v>Fixed</x:v>
      </x:c>
    </x:row>
    <x:row r="211">
      <x:c r="A211" s="31" t="n">
        <x:v>46174</x:v>
      </x:c>
      <x:c r="B211" s="31" t="str">
        <x:v>Professional Services</x:v>
      </x:c>
      <x:c r="C211" s="31" t="n">
        <x:v>26856</x:v>
      </x:c>
      <x:c r="D211" s="31" t="n">
        <x:v>27147.48</x:v>
      </x:c>
      <x:c r="E211" s="31" t="str">
        <x:v>Fixed</x:v>
      </x:c>
    </x:row>
    <x:row r="212">
      <x:c r="A212" s="31" t="n">
        <x:v>46204</x:v>
      </x:c>
      <x:c r="B212" s="31" t="str">
        <x:v>Marketing</x:v>
      </x:c>
      <x:c r="C212" s="31" t="n">
        <x:v>135360</x:v>
      </x:c>
      <x:c r="D212" s="31"/>
      <x:c r="E212" s="31" t="str">
        <x:v>Variable</x:v>
      </x:c>
    </x:row>
    <x:row r="213">
      <x:c r="A213" s="31" t="n">
        <x:v>46204</x:v>
      </x:c>
      <x:c r="B213" s="31" t="str">
        <x:v>Cloud &amp; API</x:v>
      </x:c>
      <x:c r="C213" s="31" t="n">
        <x:v>50668.27</x:v>
      </x:c>
      <x:c r="D213" s="31"/>
      <x:c r="E213" s="31" t="str">
        <x:v>Variable</x:v>
      </x:c>
    </x:row>
    <x:row r="214">
      <x:c r="A214" s="31" t="n">
        <x:v>46204</x:v>
      </x:c>
      <x:c r="B214" s="31" t="str">
        <x:v>Software</x:v>
      </x:c>
      <x:c r="C214" s="31" t="n">
        <x:v>39104</x:v>
      </x:c>
      <x:c r="D214" s="31"/>
      <x:c r="E214" s="31" t="str">
        <x:v>Fixed</x:v>
      </x:c>
    </x:row>
    <x:row r="215">
      <x:c r="A215" s="31" t="n">
        <x:v>46204</x:v>
      </x:c>
      <x:c r="B215" s="31" t="str">
        <x:v>Office &amp; Admin</x:v>
      </x:c>
      <x:c r="C215" s="31" t="n">
        <x:v>46624</x:v>
      </x:c>
      <x:c r="D215" s="31"/>
      <x:c r="E215" s="31" t="str">
        <x:v>Fixed</x:v>
      </x:c>
    </x:row>
    <x:row r="216">
      <x:c r="A216" s="31" t="n">
        <x:v>46204</x:v>
      </x:c>
      <x:c r="B216" s="31" t="str">
        <x:v>Professional Services</x:v>
      </x:c>
      <x:c r="C216" s="31" t="n">
        <x:v>27072</x:v>
      </x:c>
      <x:c r="D216" s="31"/>
      <x:c r="E216" s="31" t="str">
        <x:v>Fixed</x:v>
      </x:c>
    </x:row>
    <x:row r="217">
      <x:c r="A217" s="31" t="n">
        <x:v>46235</x:v>
      </x:c>
      <x:c r="B217" s="31" t="str">
        <x:v>Marketing</x:v>
      </x:c>
      <x:c r="C217" s="31" t="n">
        <x:v>136440</x:v>
      </x:c>
      <x:c r="D217" s="31"/>
      <x:c r="E217" s="31" t="str">
        <x:v>Variable</x:v>
      </x:c>
    </x:row>
    <x:row r="218">
      <x:c r="A218" s="31" t="n">
        <x:v>46235</x:v>
      </x:c>
      <x:c r="B218" s="31" t="str">
        <x:v>Cloud &amp; API</x:v>
      </x:c>
      <x:c r="C218" s="31" t="n">
        <x:v>51742.75</x:v>
      </x:c>
      <x:c r="D218" s="31"/>
      <x:c r="E218" s="31" t="str">
        <x:v>Variable</x:v>
      </x:c>
    </x:row>
    <x:row r="219">
      <x:c r="A219" s="31" t="n">
        <x:v>46235</x:v>
      </x:c>
      <x:c r="B219" s="31" t="str">
        <x:v>Software</x:v>
      </x:c>
      <x:c r="C219" s="31" t="n">
        <x:v>39416</x:v>
      </x:c>
      <x:c r="D219" s="31"/>
      <x:c r="E219" s="31" t="str">
        <x:v>Fixed</x:v>
      </x:c>
    </x:row>
    <x:row r="220">
      <x:c r="A220" s="31" t="n">
        <x:v>46235</x:v>
      </x:c>
      <x:c r="B220" s="31" t="str">
        <x:v>Office &amp; Admin</x:v>
      </x:c>
      <x:c r="C220" s="31" t="n">
        <x:v>46996</x:v>
      </x:c>
      <x:c r="D220" s="31"/>
      <x:c r="E220" s="31" t="str">
        <x:v>Fixed</x:v>
      </x:c>
    </x:row>
    <x:row r="221">
      <x:c r="A221" s="31" t="n">
        <x:v>46235</x:v>
      </x:c>
      <x:c r="B221" s="31" t="str">
        <x:v>Professional Services</x:v>
      </x:c>
      <x:c r="C221" s="31" t="n">
        <x:v>27288</x:v>
      </x:c>
      <x:c r="D221" s="31"/>
      <x:c r="E221" s="31" t="str">
        <x:v>Fixed</x:v>
      </x:c>
    </x:row>
    <x:row r="222">
      <x:c r="A222" s="31" t="n">
        <x:v>46266</x:v>
      </x:c>
      <x:c r="B222" s="31" t="str">
        <x:v>Marketing</x:v>
      </x:c>
      <x:c r="C222" s="31" t="n">
        <x:v>137520</x:v>
      </x:c>
      <x:c r="D222" s="31"/>
      <x:c r="E222" s="31" t="str">
        <x:v>Variable</x:v>
      </x:c>
    </x:row>
    <x:row r="223">
      <x:c r="A223" s="31" t="n">
        <x:v>46266</x:v>
      </x:c>
      <x:c r="B223" s="31" t="str">
        <x:v>Cloud &amp; API</x:v>
      </x:c>
      <x:c r="C223" s="31" t="n">
        <x:v>52791.99</x:v>
      </x:c>
      <x:c r="D223" s="31"/>
      <x:c r="E223" s="31" t="str">
        <x:v>Variable</x:v>
      </x:c>
    </x:row>
    <x:row r="224">
      <x:c r="A224" s="31" t="n">
        <x:v>46266</x:v>
      </x:c>
      <x:c r="B224" s="31" t="str">
        <x:v>Software</x:v>
      </x:c>
      <x:c r="C224" s="31" t="n">
        <x:v>39728</x:v>
      </x:c>
      <x:c r="D224" s="31"/>
      <x:c r="E224" s="31" t="str">
        <x:v>Fixed</x:v>
      </x:c>
    </x:row>
    <x:row r="225">
      <x:c r="A225" s="31" t="n">
        <x:v>46266</x:v>
      </x:c>
      <x:c r="B225" s="31" t="str">
        <x:v>Office &amp; Admin</x:v>
      </x:c>
      <x:c r="C225" s="31" t="n">
        <x:v>47368</x:v>
      </x:c>
      <x:c r="D225" s="31"/>
      <x:c r="E225" s="31" t="str">
        <x:v>Fixed</x:v>
      </x:c>
    </x:row>
    <x:row r="226">
      <x:c r="A226" s="31" t="n">
        <x:v>46266</x:v>
      </x:c>
      <x:c r="B226" s="31" t="str">
        <x:v>Professional Services</x:v>
      </x:c>
      <x:c r="C226" s="31" t="n">
        <x:v>27504</x:v>
      </x:c>
      <x:c r="D226" s="31"/>
      <x:c r="E226" s="31" t="str">
        <x:v>Fixed</x:v>
      </x:c>
    </x:row>
    <x:row r="227">
      <x:c r="A227" s="31" t="n">
        <x:v>46296</x:v>
      </x:c>
      <x:c r="B227" s="31" t="str">
        <x:v>Marketing</x:v>
      </x:c>
      <x:c r="C227" s="31" t="n">
        <x:v>138600</x:v>
      </x:c>
      <x:c r="D227" s="31"/>
      <x:c r="E227" s="31" t="str">
        <x:v>Variable</x:v>
      </x:c>
    </x:row>
    <x:row r="228">
      <x:c r="A228" s="31" t="n">
        <x:v>46296</x:v>
      </x:c>
      <x:c r="B228" s="31" t="str">
        <x:v>Cloud &amp; API</x:v>
      </x:c>
      <x:c r="C228" s="31" t="n">
        <x:v>53841.23</x:v>
      </x:c>
      <x:c r="D228" s="31"/>
      <x:c r="E228" s="31" t="str">
        <x:v>Variable</x:v>
      </x:c>
    </x:row>
    <x:row r="229">
      <x:c r="A229" s="31" t="n">
        <x:v>46296</x:v>
      </x:c>
      <x:c r="B229" s="31" t="str">
        <x:v>Software</x:v>
      </x:c>
      <x:c r="C229" s="31" t="n">
        <x:v>40040</x:v>
      </x:c>
      <x:c r="D229" s="31"/>
      <x:c r="E229" s="31" t="str">
        <x:v>Fixed</x:v>
      </x:c>
    </x:row>
    <x:row r="230">
      <x:c r="A230" s="31" t="n">
        <x:v>46296</x:v>
      </x:c>
      <x:c r="B230" s="31" t="str">
        <x:v>Office &amp; Admin</x:v>
      </x:c>
      <x:c r="C230" s="31" t="n">
        <x:v>47740</x:v>
      </x:c>
      <x:c r="D230" s="31"/>
      <x:c r="E230" s="31" t="str">
        <x:v>Fixed</x:v>
      </x:c>
    </x:row>
    <x:row r="231">
      <x:c r="A231" s="31" t="n">
        <x:v>46296</x:v>
      </x:c>
      <x:c r="B231" s="31" t="str">
        <x:v>Professional Services</x:v>
      </x:c>
      <x:c r="C231" s="31" t="n">
        <x:v>27720</x:v>
      </x:c>
      <x:c r="D231" s="31"/>
      <x:c r="E231" s="31" t="str">
        <x:v>Fixed</x:v>
      </x:c>
    </x:row>
    <x:row r="232">
      <x:c r="A232" s="31" t="n">
        <x:v>46327</x:v>
      </x:c>
      <x:c r="B232" s="31" t="str">
        <x:v>Marketing</x:v>
      </x:c>
      <x:c r="C232" s="31" t="n">
        <x:v>139680</x:v>
      </x:c>
      <x:c r="D232" s="31"/>
      <x:c r="E232" s="31" t="str">
        <x:v>Variable</x:v>
      </x:c>
    </x:row>
    <x:row r="233">
      <x:c r="A233" s="31" t="n">
        <x:v>46327</x:v>
      </x:c>
      <x:c r="B233" s="31" t="str">
        <x:v>Cloud &amp; API</x:v>
      </x:c>
      <x:c r="C233" s="31" t="n">
        <x:v>54948.13</x:v>
      </x:c>
      <x:c r="D233" s="31"/>
      <x:c r="E233" s="31" t="str">
        <x:v>Variable</x:v>
      </x:c>
    </x:row>
    <x:row r="234">
      <x:c r="A234" s="31" t="n">
        <x:v>46327</x:v>
      </x:c>
      <x:c r="B234" s="31" t="str">
        <x:v>Software</x:v>
      </x:c>
      <x:c r="C234" s="31" t="n">
        <x:v>40352</x:v>
      </x:c>
      <x:c r="D234" s="31"/>
      <x:c r="E234" s="31" t="str">
        <x:v>Fixed</x:v>
      </x:c>
    </x:row>
    <x:row r="235">
      <x:c r="A235" s="31" t="n">
        <x:v>46327</x:v>
      </x:c>
      <x:c r="B235" s="31" t="str">
        <x:v>Office &amp; Admin</x:v>
      </x:c>
      <x:c r="C235" s="31" t="n">
        <x:v>48112</x:v>
      </x:c>
      <x:c r="D235" s="31"/>
      <x:c r="E235" s="31" t="str">
        <x:v>Fixed</x:v>
      </x:c>
    </x:row>
    <x:row r="236">
      <x:c r="A236" s="31" t="n">
        <x:v>46327</x:v>
      </x:c>
      <x:c r="B236" s="31" t="str">
        <x:v>Professional Services</x:v>
      </x:c>
      <x:c r="C236" s="31" t="n">
        <x:v>27936</x:v>
      </x:c>
      <x:c r="D236" s="31"/>
      <x:c r="E236" s="31" t="str">
        <x:v>Fixed</x:v>
      </x:c>
    </x:row>
    <x:row r="237">
      <x:c r="A237" s="31" t="n">
        <x:v>46357</x:v>
      </x:c>
      <x:c r="B237" s="31" t="str">
        <x:v>Marketing</x:v>
      </x:c>
      <x:c r="C237" s="31" t="n">
        <x:v>140760</x:v>
      </x:c>
      <x:c r="D237" s="31"/>
      <x:c r="E237" s="31" t="str">
        <x:v>Variable</x:v>
      </x:c>
    </x:row>
    <x:row r="238">
      <x:c r="A238" s="31" t="n">
        <x:v>46357</x:v>
      </x:c>
      <x:c r="B238" s="31" t="str">
        <x:v>Cloud &amp; API</x:v>
      </x:c>
      <x:c r="C238" s="31" t="n">
        <x:v>56112.68</x:v>
      </x:c>
      <x:c r="D238" s="31"/>
      <x:c r="E238" s="31" t="str">
        <x:v>Variable</x:v>
      </x:c>
    </x:row>
    <x:row r="239">
      <x:c r="A239" s="31" t="n">
        <x:v>46357</x:v>
      </x:c>
      <x:c r="B239" s="31" t="str">
        <x:v>Software</x:v>
      </x:c>
      <x:c r="C239" s="31" t="n">
        <x:v>40664</x:v>
      </x:c>
      <x:c r="D239" s="31"/>
      <x:c r="E239" s="31" t="str">
        <x:v>Fixed</x:v>
      </x:c>
    </x:row>
    <x:row r="240">
      <x:c r="A240" s="31" t="n">
        <x:v>46357</x:v>
      </x:c>
      <x:c r="B240" s="31" t="str">
        <x:v>Office &amp; Admin</x:v>
      </x:c>
      <x:c r="C240" s="31" t="n">
        <x:v>48484</x:v>
      </x:c>
      <x:c r="D240" s="31"/>
      <x:c r="E240" s="31" t="str">
        <x:v>Fixed</x:v>
      </x:c>
    </x:row>
    <x:row r="241">
      <x:c r="A241" s="31" t="n">
        <x:v>46357</x:v>
      </x:c>
      <x:c r="B241" s="31" t="str">
        <x:v>Professional Services</x:v>
      </x:c>
      <x:c r="C241" s="31" t="n">
        <x:v>28152</x:v>
      </x:c>
      <x:c r="D241" s="31"/>
      <x:c r="E241" s="31" t="str">
        <x:v>Fixed</x:v>
      </x:c>
    </x:row>
  </x:sheetData>
  <x:pageMargins left="0.7" right="0.7" top="0.75" bottom="0.75" header="0.3" footer="0.3"/>
  <x:tableParts count="1">
    <x:tablePart xmlns:r="http://schemas.openxmlformats.org/officeDocument/2006/relationships" r:id="Rd3a855e92c404c3e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4" customHeight="1">
      <x:c r="A1" s="24" t="str">
        <x:v>Model audit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Terminal checks only; no model output depends on this sheet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Check</x:v>
      </x:c>
      <x:c r="B4" s="27" t="str">
        <x:v>Result</x:v>
      </x:c>
      <x:c r="C4" s="27" t="str">
        <x:v>Status</x:v>
      </x:c>
      <x:c r="D4" s="31"/>
      <x:c r="E4" s="31"/>
      <x:c r="F4" s="31"/>
      <x:c r="G4" s="31"/>
      <x:c r="H4" s="31"/>
      <x:c r="I4" s="31"/>
      <x:c r="J4" s="31"/>
      <x:c r="K4" s="31"/>
      <x:c r="L4" s="31"/>
    </x:row>
    <x:row r="5">
      <x:c r="A5" s="31" t="str">
        <x:v>Customer roll-forward</x:v>
      </x:c>
      <x:c r="B5" s="31" t="n">
        <x:f>ABS(SUM('Revenue Model'!B6:B52)-SUM('Revenue Model'!E5:E51))</x:f>
        <x:v>0</x:v>
      </x:c>
      <x:c r="C5" s="31" t="str">
        <x:f>IF(B5&lt;0.01,"PASS","REVIEW")</x:f>
        <x:v>PASS</x:v>
      </x:c>
      <x:c r="D5" s="31"/>
      <x:c r="E5" s="31"/>
      <x:c r="F5" s="31"/>
      <x:c r="G5" s="31"/>
      <x:c r="H5" s="31"/>
      <x:c r="I5" s="31"/>
      <x:c r="J5" s="31"/>
      <x:c r="K5" s="31"/>
      <x:c r="L5" s="31"/>
    </x:row>
    <x:row r="6">
      <x:c r="A6" s="31" t="str">
        <x:v>Cash roll-forward</x:v>
      </x:c>
      <x:c r="B6" s="31" t="n">
        <x:f>ABS(SUM('Cash Flow'!B6:B52)-SUM('Cash Flow'!H5:H51))</x:f>
        <x:v>0</x:v>
      </x:c>
      <x:c r="C6" s="31" t="str">
        <x:f>IF(B6&lt;0.01,"PASS","REVIEW")</x:f>
        <x:v>PASS</x:v>
      </x:c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31" t="str">
        <x:v>BvA actual periods</x:v>
      </x:c>
      <x:c r="B7" s="31" t="n">
        <x:f>COUNT(BvA!C5:C52)</x:f>
        <x:v>48</x:v>
      </x:c>
      <x:c r="C7" s="31" t="str">
        <x:f>IF(B7=42,"PASS","REVIEW")</x:f>
        <x:v>REVIEW</x:v>
      </x:c>
      <x:c r="D7" s="31"/>
      <x:c r="E7" s="31"/>
      <x:c r="F7" s="31"/>
      <x:c r="G7" s="31"/>
      <x:c r="H7" s="31"/>
      <x:c r="I7" s="31"/>
      <x:c r="J7" s="31"/>
      <x:c r="K7" s="31"/>
      <x:c r="L7" s="31"/>
    </x:row>
    <x:row r="8">
      <x:c r="A8" s="31" t="str">
        <x:v>Scenario selector</x:v>
      </x:c>
      <x:c r="B8" s="31" t="n">
        <x:f>COUNTIF(Assumptions!A8:A10,Assumptions!B4)</x:f>
        <x:v>1</x:v>
      </x:c>
      <x:c r="C8" s="31" t="str">
        <x:f>IF(B8&lt;0.01,"PASS","REVIEW")</x:f>
        <x:v>REVIEW</x:v>
      </x:c>
      <x:c r="D8" s="31"/>
      <x:c r="E8" s="31"/>
      <x:c r="F8" s="31"/>
      <x:c r="G8" s="31"/>
      <x:c r="H8" s="31"/>
      <x:c r="I8" s="31"/>
      <x:c r="J8" s="31"/>
      <x:c r="K8" s="31"/>
      <x:c r="L8" s="31"/>
    </x:row>
    <x:row r="9">
      <x:c r="A9" s="31" t="str">
        <x:v>No negative customers</x:v>
      </x:c>
      <x:c r="B9" s="31" t="n">
        <x:f>MIN('Revenue Model'!E5:E52)</x:f>
        <x:v>503</x:v>
      </x:c>
      <x:c r="C9" s="31" t="str">
        <x:f>IF(B9&gt;=0,"PASS","REVIEW")</x:f>
        <x:v>PASS</x:v>
      </x:c>
      <x:c r="D9" s="31"/>
      <x:c r="E9" s="31"/>
      <x:c r="F9" s="31"/>
      <x:c r="G9" s="31"/>
      <x:c r="H9" s="31"/>
      <x:c r="I9" s="31"/>
      <x:c r="J9" s="31"/>
      <x:c r="K9" s="31"/>
      <x:c r="L9" s="31"/>
    </x:row>
  </x:sheetData>
  <x:mergeCells>
    <x:mergeCell ref="A1:L1"/>
    <x:mergeCell ref="A2:L2"/>
  </x:mergeCells>
  <x:conditionalFormatting sqref="C5:C9">
    <x:cfRule type="containsText" dxfId="3" priority="1" operator="containsText" text="PASS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</x:cols>
  <x:sheetData>
    <x:row r="1" ht="34" customHeight="1">
      <x:c r="A1" s="24" t="str">
        <x:v>Model guide</x:v>
      </x:c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</x:row>
    <x:row r="2" ht="22" customHeight="1">
      <x:c r="A2" s="30" t="str">
        <x:v>Synthetic SaaS portfolio case study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>
      <x:c r="A3" s="31"/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</x:row>
    <x:row r="4">
      <x:c r="A4" s="27" t="str">
        <x:v>Topic</x:v>
      </x:c>
      <x:c r="B4" s="27" t="str">
        <x:v>Details</x:v>
      </x:c>
      <x:c r="C4" s="31"/>
      <x:c r="D4" s="31"/>
      <x:c r="E4" s="31"/>
      <x:c r="F4" s="31"/>
      <x:c r="G4" s="31"/>
      <x:c r="H4" s="31"/>
      <x:c r="I4" s="31"/>
      <x:c r="J4" s="31"/>
      <x:c r="K4" s="31"/>
      <x:c r="L4" s="31"/>
    </x:row>
    <x:row r="5">
      <x:c r="A5" s="31" t="str">
        <x:v>Period</x:v>
      </x:c>
      <x:c r="B5" s="53" t="str">
        <x:v>Jan-2023 to Dec-2026; actuals through Jun-2026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</x:row>
    <x:row r="6">
      <x:c r="A6" s="31" t="str">
        <x:v>Scenario control</x:v>
      </x:c>
      <x:c r="B6" s="53" t="str">
        <x:v>Change Assumptions!B4; active drivers update automatically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31" t="str">
        <x:v>Revenue</x:v>
      </x:c>
      <x:c r="B7" s="53" t="str">
        <x:v>Customer bridge by plan, MRR, ARR, growth, churn, and ARPC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</x:row>
    <x:row r="8">
      <x:c r="A8" s="31" t="str">
        <x:v>Unit economics</x:v>
      </x:c>
      <x:c r="B8" s="53" t="str">
        <x:v>GRR, NRR, CAC, LTV, LTV/CAC, cohort retention, and ARR movement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</x:row>
    <x:row r="9">
      <x:c r="A9" s="31" t="str">
        <x:v>Accrual model</x:v>
      </x:c>
      <x:c r="B9" s="53" t="str">
        <x:v>Recognized revenue, billings, collections, accounts receivable, and deferred revenue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</x:row>
    <x:row r="10">
      <x:c r="A10" s="31" t="str">
        <x:v>Statements</x:v>
      </x:c>
      <x:c r="B10" s="53" t="str">
        <x:v>Integrated P&amp;L and cash-flow bridge with ending cash and deferred revenue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</x:row>
    <x:row r="11">
      <x:c r="A11" s="31" t="str">
        <x:v>Forecast QA</x:v>
      </x:c>
      <x:c r="B11" s="53" t="str">
        <x:v>Rolling back-test, MAPE, and forecast bias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</x:row>
    <x:row r="12">
      <x:c r="A12" s="31" t="str">
        <x:v>Risk</x:v>
      </x:c>
      <x:c r="B12" s="53" t="str">
        <x:v>2,000-path Monte Carlo simulation of December liquidity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</x:row>
    <x:row r="13">
      <x:c r="A13" s="31" t="str">
        <x:v>Expenses</x:v>
      </x:c>
      <x:c r="B13" s="53" t="str">
        <x:v>Payroll, benefits, marketing, cloud/API, software, office/admin, professional services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</x:row>
    <x:row r="14">
      <x:c r="A14" s="31" t="str">
        <x:v>Cash flow</x:v>
      </x:c>
      <x:c r="B14" s="53" t="str">
        <x:v>Operating cash proxy, capex, financing, burn, runway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</x:row>
    <x:row r="15">
      <x:c r="A15" s="31" t="str">
        <x:v>Variance convention</x:v>
      </x:c>
      <x:c r="B15" s="53" t="str">
        <x:v>Positive is favorable for revenue and expense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</x:row>
    <x:row r="16">
      <x:c r="A16" s="31" t="str">
        <x:v>Power BI</x:v>
      </x:c>
      <x:c r="B16" s="53" t="str">
        <x:v>Load CSV files in /data and use /powerbi model and measures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</x:row>
    <x:row r="17">
      <x:c r="A17" s="31" t="str">
        <x:v>AI commentary</x:v>
      </x:c>
      <x:c r="B17" s="53" t="str">
        <x:v>Claude-ready prompt plus manual validation; no claim that Claude ran here</x:v>
      </x:c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</x:row>
    <x:row r="18">
      <x:c r="A18" s="31" t="str">
        <x:v>Disclosure</x:v>
      </x:c>
      <x:c r="B18" s="53" t="str">
        <x:v>All entities and amounts are synthetic</x:v>
      </x:c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</x:row>
  </x:sheetData>
  <x:mergeCells>
    <x:mergeCell ref="A1:L1"/>
    <x:mergeCell ref="A2:L2"/>
  </x:mergeCells>
  <x:pageMargins left="0.7" right="0.7" top="0.75" bottom="0.75" header="0.3" footer="0.3"/>
</x:worksheet>
</file>